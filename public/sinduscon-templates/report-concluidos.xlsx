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embeddings/oleObject3.bin" ContentType="application/vnd.openxmlformats-officedocument.oleObject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embeddings/oleObject4.bin" ContentType="application/vnd.openxmlformats-officedocument.oleObject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embeddings/oleObject5.bin" ContentType="application/vnd.openxmlformats-officedocument.oleObject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embeddings/oleObject6.bin" ContentType="application/vnd.openxmlformats-officedocument.oleObject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embeddings/oleObject7.bin" ContentType="application/vnd.openxmlformats-officedocument.oleObject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embeddings/oleObject8.bin" ContentType="application/vnd.openxmlformats-officedocument.oleObject"/>
  <Override PartName="/xl/charts/chart14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192.168.1.20\reBRAIN\1. CLIENTES\CLIENTES INSTITUCIONAIS\SINDUSCON - PARANÁ\2026\6.JUNHO\3.Relatórios\"/>
    </mc:Choice>
  </mc:AlternateContent>
  <xr:revisionPtr revIDLastSave="0" documentId="13_ncr:1_{3FBCE106-BEF2-429C-AF3E-16F3BED74E12}" xr6:coauthVersionLast="47" xr6:coauthVersionMax="47" xr10:uidLastSave="{00000000-0000-0000-0000-000000000000}"/>
  <bookViews>
    <workbookView xWindow="-120" yWindow="-120" windowWidth="20730" windowHeight="11160" tabRatio="938" firstSheet="1" activeTab="1" xr2:uid="{00000000-000D-0000-FFFF-FFFF00000000}"/>
  </bookViews>
  <sheets>
    <sheet name="Mapa" sheetId="50770" state="hidden" r:id="rId1"/>
    <sheet name="Folha 03 Resid-area " sheetId="50764" r:id="rId2"/>
    <sheet name="Folha 04 Resid-Pav " sheetId="50762" r:id="rId3"/>
    <sheet name="Folha 05 Resid-zona " sheetId="50750" r:id="rId4"/>
    <sheet name="Folha 06 Resid-area " sheetId="50767" r:id="rId5"/>
    <sheet name="Folha 07 Resid-Pav " sheetId="50768" r:id="rId6"/>
    <sheet name="Folha 08 Resid-zona" sheetId="50751" r:id="rId7"/>
    <sheet name="Folha 9 area por bairro " sheetId="50761" r:id="rId8"/>
    <sheet name="Folha 10 serie hist " sheetId="50758" r:id="rId9"/>
  </sheets>
  <definedNames>
    <definedName name="_xlnm.Print_Area" localSheetId="1">'Folha 03 Resid-area '!$A$1:$U$87</definedName>
    <definedName name="_xlnm.Print_Area" localSheetId="2">'Folha 04 Resid-Pav '!$A$1:$K$86</definedName>
    <definedName name="_xlnm.Print_Area" localSheetId="3">'Folha 05 Resid-zona '!$A$1:$P$68</definedName>
    <definedName name="_xlnm.Print_Area" localSheetId="4">'Folha 06 Resid-area '!$A$1:$U$87</definedName>
    <definedName name="_xlnm.Print_Area" localSheetId="5">'Folha 07 Resid-Pav '!$A$1:$K$86</definedName>
    <definedName name="_xlnm.Print_Area" localSheetId="6">'Folha 08 Resid-zona'!$B$1:$P$66</definedName>
    <definedName name="_xlnm.Print_Area" localSheetId="8">'Folha 10 serie hist '!$B$1:$H$86</definedName>
    <definedName name="_xlnm.Print_Area" localSheetId="7">'Folha 9 area por bairro '!$A$1:$I$87</definedName>
  </definedNames>
  <calcPr calcId="181029"/>
</workbook>
</file>

<file path=xl/calcChain.xml><?xml version="1.0" encoding="utf-8"?>
<calcChain xmlns="http://schemas.openxmlformats.org/spreadsheetml/2006/main">
  <c r="H51" i="50758" l="1"/>
  <c r="G51" i="50758"/>
  <c r="B50" i="50762"/>
  <c r="C50" i="50762"/>
  <c r="D50" i="50762"/>
  <c r="F58" i="50758"/>
  <c r="E58" i="50758"/>
  <c r="D58" i="50758"/>
  <c r="C58" i="50758"/>
  <c r="H57" i="50758"/>
  <c r="G57" i="50758"/>
  <c r="H56" i="50758"/>
  <c r="G56" i="50758"/>
  <c r="H55" i="50758"/>
  <c r="G55" i="50758"/>
  <c r="H54" i="50758"/>
  <c r="G54" i="50758"/>
  <c r="H53" i="50758"/>
  <c r="G53" i="50758"/>
  <c r="H52" i="50758"/>
  <c r="G52" i="50758"/>
  <c r="H50" i="50758"/>
  <c r="G50" i="50758"/>
  <c r="H49" i="50758"/>
  <c r="G49" i="50758"/>
  <c r="H48" i="50758"/>
  <c r="G48" i="50758"/>
  <c r="H47" i="50758"/>
  <c r="G47" i="50758"/>
  <c r="H46" i="50758"/>
  <c r="G46" i="50758"/>
  <c r="E85" i="50762"/>
  <c r="I29" i="50768"/>
  <c r="C45" i="50758"/>
  <c r="F45" i="50758"/>
  <c r="E45" i="50758"/>
  <c r="D45" i="50758"/>
  <c r="H44" i="50758"/>
  <c r="G44" i="50758"/>
  <c r="H43" i="50758"/>
  <c r="G43" i="50758"/>
  <c r="H42" i="50758"/>
  <c r="G42" i="50758"/>
  <c r="H41" i="50758"/>
  <c r="G41" i="50758"/>
  <c r="H40" i="50758"/>
  <c r="G40" i="50758"/>
  <c r="H39" i="50758"/>
  <c r="G39" i="50758"/>
  <c r="H38" i="50758"/>
  <c r="G38" i="50758"/>
  <c r="H37" i="50758"/>
  <c r="G37" i="50758"/>
  <c r="H36" i="50758"/>
  <c r="G36" i="50758"/>
  <c r="H35" i="50758"/>
  <c r="G35" i="50758"/>
  <c r="H34" i="50758"/>
  <c r="G34" i="50758"/>
  <c r="H33" i="50758"/>
  <c r="G33" i="50758"/>
  <c r="B33" i="50764"/>
  <c r="C33" i="50764"/>
  <c r="D33" i="50764"/>
  <c r="E33" i="50764"/>
  <c r="F33" i="50764"/>
  <c r="G33" i="50764"/>
  <c r="H33" i="50764"/>
  <c r="I33" i="50764"/>
  <c r="H31" i="50758"/>
  <c r="G31" i="50758"/>
  <c r="G68" i="50761"/>
  <c r="G58" i="50758" l="1"/>
  <c r="H58" i="50758"/>
  <c r="H45" i="50758"/>
  <c r="G45" i="50758"/>
  <c r="H30" i="50758"/>
  <c r="G30" i="50758"/>
  <c r="E84" i="50762" l="1"/>
  <c r="H29" i="50758"/>
  <c r="G29" i="50758"/>
  <c r="H28" i="50758"/>
  <c r="G28" i="50758"/>
  <c r="B50" i="50761"/>
  <c r="C50" i="50761"/>
  <c r="H27" i="50758"/>
  <c r="G27" i="50758"/>
  <c r="H26" i="50758"/>
  <c r="G26" i="50758"/>
  <c r="M9" i="50767"/>
  <c r="N9" i="50767"/>
  <c r="O9" i="50767"/>
  <c r="P9" i="50767"/>
  <c r="Q9" i="50767"/>
  <c r="R9" i="50767"/>
  <c r="S9" i="50767"/>
  <c r="T9" i="50767"/>
  <c r="H25" i="50758"/>
  <c r="G25" i="50758"/>
  <c r="H24" i="50758"/>
  <c r="G24" i="50758"/>
  <c r="H23" i="50758"/>
  <c r="G23" i="50758"/>
  <c r="H22" i="50758"/>
  <c r="G22" i="50758"/>
  <c r="H21" i="50758"/>
  <c r="G21" i="50758"/>
  <c r="D36" i="50761"/>
  <c r="B56" i="50761"/>
  <c r="C56" i="50761"/>
  <c r="B39" i="50761"/>
  <c r="C39" i="50761"/>
  <c r="M58" i="50767"/>
  <c r="N58" i="50767"/>
  <c r="O58" i="50767"/>
  <c r="P58" i="50767"/>
  <c r="Q58" i="50767"/>
  <c r="R58" i="50767"/>
  <c r="S58" i="50767"/>
  <c r="T58" i="50767"/>
  <c r="M16" i="50764" l="1"/>
  <c r="N16" i="50764"/>
  <c r="O16" i="50764"/>
  <c r="P16" i="50764"/>
  <c r="Q16" i="50764"/>
  <c r="R16" i="50764"/>
  <c r="S16" i="50764"/>
  <c r="T16" i="50764"/>
  <c r="O20" i="50750"/>
  <c r="E13" i="50762"/>
  <c r="E14" i="50762"/>
  <c r="E15" i="50762"/>
  <c r="D20" i="50761" l="1"/>
  <c r="D21" i="50761"/>
  <c r="D22" i="50761"/>
  <c r="D23" i="50761"/>
  <c r="D24" i="50761"/>
  <c r="I44" i="50768"/>
  <c r="J49" i="50764"/>
  <c r="J48" i="50764"/>
  <c r="J47" i="50764"/>
  <c r="J46" i="50764"/>
  <c r="J45" i="50764"/>
  <c r="J44" i="50764"/>
  <c r="J43" i="50764"/>
  <c r="J42" i="50764"/>
  <c r="J8" i="50764"/>
  <c r="J9" i="50764"/>
  <c r="C17" i="50761"/>
  <c r="C10" i="50761"/>
  <c r="G64" i="50761"/>
  <c r="O10" i="50750"/>
  <c r="H20" i="50758"/>
  <c r="G20" i="50758"/>
  <c r="G32" i="50758" s="1"/>
  <c r="O35" i="50751"/>
  <c r="E6" i="50762"/>
  <c r="E7" i="50762"/>
  <c r="E8" i="50762"/>
  <c r="E9" i="50762"/>
  <c r="H9" i="50762"/>
  <c r="I9" i="50762"/>
  <c r="H29" i="50768"/>
  <c r="H16" i="50768"/>
  <c r="B50" i="50768"/>
  <c r="B33" i="50768"/>
  <c r="B25" i="50768"/>
  <c r="B17" i="50768"/>
  <c r="B10" i="50768"/>
  <c r="O34" i="50751"/>
  <c r="O35" i="50750"/>
  <c r="O33" i="50751"/>
  <c r="O34" i="50750"/>
  <c r="M21" i="50750"/>
  <c r="O32" i="50751"/>
  <c r="O15" i="50751"/>
  <c r="B70" i="50768"/>
  <c r="O33" i="50750"/>
  <c r="K61" i="50762"/>
  <c r="H44" i="50761"/>
  <c r="H9" i="50761"/>
  <c r="G9" i="50761"/>
  <c r="O14" i="50751"/>
  <c r="O32" i="50750"/>
  <c r="O15" i="50750"/>
  <c r="H68" i="50761" l="1"/>
  <c r="I67" i="50761"/>
  <c r="I68" i="50761" s="1"/>
  <c r="I62" i="50761"/>
  <c r="I49" i="50761"/>
  <c r="I48" i="50761"/>
  <c r="I43" i="50761"/>
  <c r="I32" i="50761"/>
  <c r="I28" i="50761"/>
  <c r="D69" i="50761"/>
  <c r="D68" i="50761"/>
  <c r="D67" i="50761"/>
  <c r="D66" i="50761"/>
  <c r="D62" i="50761"/>
  <c r="D61" i="50761"/>
  <c r="D60" i="50761"/>
  <c r="D59" i="50761"/>
  <c r="D55" i="50761"/>
  <c r="D54" i="50761"/>
  <c r="D53" i="50761"/>
  <c r="D9" i="50761"/>
  <c r="D32" i="50761"/>
  <c r="D31" i="50761"/>
  <c r="D30" i="50761"/>
  <c r="D29" i="50761"/>
  <c r="D28" i="50761"/>
  <c r="O13" i="50751"/>
  <c r="O12" i="50751"/>
  <c r="H44" i="50768"/>
  <c r="H9" i="50768"/>
  <c r="E10" i="50767"/>
  <c r="O14" i="50750"/>
  <c r="I44" i="50762"/>
  <c r="E62" i="50762"/>
  <c r="E61" i="50762"/>
  <c r="E60" i="50762"/>
  <c r="E59" i="50762"/>
  <c r="E31" i="50762"/>
  <c r="E29" i="50762"/>
  <c r="E32" i="50762"/>
  <c r="E30" i="50762"/>
  <c r="E28" i="50762"/>
  <c r="E54" i="50762"/>
  <c r="E49" i="50762"/>
  <c r="E47" i="50762"/>
  <c r="E45" i="50762"/>
  <c r="E43" i="50762"/>
  <c r="E55" i="50762"/>
  <c r="E53" i="50762"/>
  <c r="E48" i="50762"/>
  <c r="E46" i="50762"/>
  <c r="E44" i="50762"/>
  <c r="E42" i="50762"/>
  <c r="O26" i="50750"/>
  <c r="O13" i="50750"/>
  <c r="I42" i="50761"/>
  <c r="G44" i="50761"/>
  <c r="O12" i="50750"/>
  <c r="H44" i="50762"/>
  <c r="D56" i="50761" l="1"/>
  <c r="I53" i="50761"/>
  <c r="J68" i="50762"/>
  <c r="I68" i="50762"/>
  <c r="H68" i="50762"/>
  <c r="I55" i="50761"/>
  <c r="I54" i="50761"/>
  <c r="K67" i="50768"/>
  <c r="K63" i="50768"/>
  <c r="K62" i="50768"/>
  <c r="K61" i="50768"/>
  <c r="K57" i="50768"/>
  <c r="K56" i="50768"/>
  <c r="K55" i="50768"/>
  <c r="K54" i="50768"/>
  <c r="K53" i="50768"/>
  <c r="K49" i="50768"/>
  <c r="K48" i="50768"/>
  <c r="K47" i="50768"/>
  <c r="K43" i="50768"/>
  <c r="K42" i="50768"/>
  <c r="K41" i="50768"/>
  <c r="K40" i="50768"/>
  <c r="K39" i="50768"/>
  <c r="K35" i="50768"/>
  <c r="K34" i="50768"/>
  <c r="K33" i="50768"/>
  <c r="K32" i="50768"/>
  <c r="K28" i="50768"/>
  <c r="K27" i="50768"/>
  <c r="K26" i="50768"/>
  <c r="K25" i="50768"/>
  <c r="K21" i="50768"/>
  <c r="K20" i="50768"/>
  <c r="K19" i="50768"/>
  <c r="K15" i="50768"/>
  <c r="K14" i="50768"/>
  <c r="K13" i="50768"/>
  <c r="K12" i="50768"/>
  <c r="K8" i="50768"/>
  <c r="K7" i="50768"/>
  <c r="K6" i="50768"/>
  <c r="E69" i="50768"/>
  <c r="E68" i="50768"/>
  <c r="E67" i="50768"/>
  <c r="E66" i="50768"/>
  <c r="E62" i="50768"/>
  <c r="E61" i="50768"/>
  <c r="E60" i="50768"/>
  <c r="E59" i="50768"/>
  <c r="E42" i="50768"/>
  <c r="E43" i="50768"/>
  <c r="E44" i="50768"/>
  <c r="E45" i="50768"/>
  <c r="E46" i="50768"/>
  <c r="E47" i="50768"/>
  <c r="E48" i="50768"/>
  <c r="E49" i="50768"/>
  <c r="E38" i="50768"/>
  <c r="E37" i="50768"/>
  <c r="E36" i="50768"/>
  <c r="E55" i="50768"/>
  <c r="E54" i="50768"/>
  <c r="E53" i="50768"/>
  <c r="E32" i="50768"/>
  <c r="E30" i="50768"/>
  <c r="E29" i="50768"/>
  <c r="E28" i="50768"/>
  <c r="E24" i="50768"/>
  <c r="E23" i="50768"/>
  <c r="E22" i="50768"/>
  <c r="E21" i="50768"/>
  <c r="E20" i="50768"/>
  <c r="E16" i="50768"/>
  <c r="E15" i="50768"/>
  <c r="E14" i="50768"/>
  <c r="E13" i="50768"/>
  <c r="E9" i="50768"/>
  <c r="E8" i="50768"/>
  <c r="E7" i="50768"/>
  <c r="E6" i="50768"/>
  <c r="E31" i="50768"/>
  <c r="D32" i="50758"/>
  <c r="E32" i="50758"/>
  <c r="F32" i="50758"/>
  <c r="C32" i="50758"/>
  <c r="C19" i="50758"/>
  <c r="I61" i="50761"/>
  <c r="I47" i="50761"/>
  <c r="D70" i="50761"/>
  <c r="H29" i="50761"/>
  <c r="G29" i="50761"/>
  <c r="B17" i="50761"/>
  <c r="E25" i="50768" l="1"/>
  <c r="N20" i="50751"/>
  <c r="M20" i="50751"/>
  <c r="L20" i="50751"/>
  <c r="K20" i="50751"/>
  <c r="J20" i="50751"/>
  <c r="I20" i="50751"/>
  <c r="H20" i="50751"/>
  <c r="G20" i="50751"/>
  <c r="F20" i="50751"/>
  <c r="E20" i="50751"/>
  <c r="D20" i="50751"/>
  <c r="C20" i="50751"/>
  <c r="O8" i="50751"/>
  <c r="M38" i="50750" l="1"/>
  <c r="N21" i="50750"/>
  <c r="E69" i="50762"/>
  <c r="E68" i="50762"/>
  <c r="E67" i="50762"/>
  <c r="E66" i="50762"/>
  <c r="J29" i="50762"/>
  <c r="I29" i="50762"/>
  <c r="H29" i="50762"/>
  <c r="O37" i="50750" l="1"/>
  <c r="C33" i="50761" l="1"/>
  <c r="C63" i="50761" l="1"/>
  <c r="B63" i="50761"/>
  <c r="O27" i="50750" l="1"/>
  <c r="O36" i="50750"/>
  <c r="O31" i="50750"/>
  <c r="O30" i="50750"/>
  <c r="O29" i="50750"/>
  <c r="O28" i="50750"/>
  <c r="O19" i="50750"/>
  <c r="O18" i="50750"/>
  <c r="O17" i="50750"/>
  <c r="O16" i="50750"/>
  <c r="O11" i="50750"/>
  <c r="C70" i="50761"/>
  <c r="B70" i="50761"/>
  <c r="H64" i="50761"/>
  <c r="I63" i="50761"/>
  <c r="H58" i="50761"/>
  <c r="G58" i="50761"/>
  <c r="I57" i="50761"/>
  <c r="I56" i="50761"/>
  <c r="H50" i="50761"/>
  <c r="G50" i="50761"/>
  <c r="D49" i="50761"/>
  <c r="D48" i="50761"/>
  <c r="D47" i="50761"/>
  <c r="D46" i="50761"/>
  <c r="D45" i="50761"/>
  <c r="D44" i="50761"/>
  <c r="D43" i="50761"/>
  <c r="D42" i="50761"/>
  <c r="I41" i="50761"/>
  <c r="I40" i="50761"/>
  <c r="I39" i="50761"/>
  <c r="D38" i="50761"/>
  <c r="D37" i="50761"/>
  <c r="H36" i="50761"/>
  <c r="G36" i="50761"/>
  <c r="I35" i="50761"/>
  <c r="I34" i="50761"/>
  <c r="I33" i="50761"/>
  <c r="B33" i="50761"/>
  <c r="I27" i="50761"/>
  <c r="I26" i="50761"/>
  <c r="I25" i="50761"/>
  <c r="C25" i="50761"/>
  <c r="B25" i="50761"/>
  <c r="H22" i="50761"/>
  <c r="G22" i="50761"/>
  <c r="I21" i="50761"/>
  <c r="I20" i="50761"/>
  <c r="I19" i="50761"/>
  <c r="H16" i="50761"/>
  <c r="G16" i="50761"/>
  <c r="D16" i="50761"/>
  <c r="I15" i="50761"/>
  <c r="D15" i="50761"/>
  <c r="I14" i="50761"/>
  <c r="D14" i="50761"/>
  <c r="I13" i="50761"/>
  <c r="D13" i="50761"/>
  <c r="I12" i="50761"/>
  <c r="B10" i="50761"/>
  <c r="I8" i="50761"/>
  <c r="D8" i="50761"/>
  <c r="I7" i="50761"/>
  <c r="D7" i="50761"/>
  <c r="I6" i="50761"/>
  <c r="D6" i="50761"/>
  <c r="J68" i="50768"/>
  <c r="K68" i="50768"/>
  <c r="J64" i="50768"/>
  <c r="I64" i="50768"/>
  <c r="I68" i="50768" s="1"/>
  <c r="H64" i="50768"/>
  <c r="H68" i="50768" s="1"/>
  <c r="D63" i="50768"/>
  <c r="C63" i="50768"/>
  <c r="B63" i="50768"/>
  <c r="J58" i="50768"/>
  <c r="I58" i="50768"/>
  <c r="H58" i="50768"/>
  <c r="D56" i="50768"/>
  <c r="C56" i="50768"/>
  <c r="B56" i="50768"/>
  <c r="J50" i="50768"/>
  <c r="I50" i="50768"/>
  <c r="H50" i="50768"/>
  <c r="D50" i="50768"/>
  <c r="C50" i="50768"/>
  <c r="J44" i="50768"/>
  <c r="D39" i="50768"/>
  <c r="C39" i="50768"/>
  <c r="B39" i="50768"/>
  <c r="J36" i="50768"/>
  <c r="I36" i="50768"/>
  <c r="H36" i="50768"/>
  <c r="D33" i="50768"/>
  <c r="C33" i="50768"/>
  <c r="J29" i="50768"/>
  <c r="D25" i="50768"/>
  <c r="C25" i="50768"/>
  <c r="J22" i="50768"/>
  <c r="I22" i="50768"/>
  <c r="H22" i="50768"/>
  <c r="D17" i="50768"/>
  <c r="C17" i="50768"/>
  <c r="J16" i="50768"/>
  <c r="I16" i="50768"/>
  <c r="D10" i="50768"/>
  <c r="C10" i="50768"/>
  <c r="J9" i="50768"/>
  <c r="I9" i="50768"/>
  <c r="I70" i="50767"/>
  <c r="H70" i="50767"/>
  <c r="G70" i="50767"/>
  <c r="F70" i="50767"/>
  <c r="E70" i="50767"/>
  <c r="D70" i="50767"/>
  <c r="C70" i="50767"/>
  <c r="B70" i="50767"/>
  <c r="J69" i="50767"/>
  <c r="T68" i="50767"/>
  <c r="S68" i="50767"/>
  <c r="R68" i="50767"/>
  <c r="Q68" i="50767"/>
  <c r="P68" i="50767"/>
  <c r="O68" i="50767"/>
  <c r="N68" i="50767"/>
  <c r="M68" i="50767"/>
  <c r="J68" i="50767"/>
  <c r="U67" i="50767"/>
  <c r="U68" i="50767" s="1"/>
  <c r="J67" i="50767"/>
  <c r="J66" i="50767"/>
  <c r="T64" i="50767"/>
  <c r="S64" i="50767"/>
  <c r="R64" i="50767"/>
  <c r="Q64" i="50767"/>
  <c r="P64" i="50767"/>
  <c r="O64" i="50767"/>
  <c r="N64" i="50767"/>
  <c r="M64" i="50767"/>
  <c r="U63" i="50767"/>
  <c r="I63" i="50767"/>
  <c r="H63" i="50767"/>
  <c r="G63" i="50767"/>
  <c r="F63" i="50767"/>
  <c r="E63" i="50767"/>
  <c r="D63" i="50767"/>
  <c r="C63" i="50767"/>
  <c r="B63" i="50767"/>
  <c r="U62" i="50767"/>
  <c r="J62" i="50767"/>
  <c r="U61" i="50767"/>
  <c r="J61" i="50767"/>
  <c r="J60" i="50767"/>
  <c r="J59" i="50767"/>
  <c r="U57" i="50767"/>
  <c r="U56" i="50767"/>
  <c r="I56" i="50767"/>
  <c r="H56" i="50767"/>
  <c r="G56" i="50767"/>
  <c r="F56" i="50767"/>
  <c r="E56" i="50767"/>
  <c r="D56" i="50767"/>
  <c r="C56" i="50767"/>
  <c r="B56" i="50767"/>
  <c r="U55" i="50767"/>
  <c r="J55" i="50767"/>
  <c r="U54" i="50767"/>
  <c r="J54" i="50767"/>
  <c r="U53" i="50767"/>
  <c r="J53" i="50767"/>
  <c r="T50" i="50767"/>
  <c r="S50" i="50767"/>
  <c r="R50" i="50767"/>
  <c r="Q50" i="50767"/>
  <c r="P50" i="50767"/>
  <c r="O50" i="50767"/>
  <c r="N50" i="50767"/>
  <c r="M50" i="50767"/>
  <c r="I50" i="50767"/>
  <c r="H50" i="50767"/>
  <c r="G50" i="50767"/>
  <c r="F50" i="50767"/>
  <c r="E50" i="50767"/>
  <c r="D50" i="50767"/>
  <c r="C50" i="50767"/>
  <c r="B50" i="50767"/>
  <c r="U49" i="50767"/>
  <c r="J49" i="50767"/>
  <c r="U48" i="50767"/>
  <c r="J48" i="50767"/>
  <c r="U47" i="50767"/>
  <c r="J47" i="50767"/>
  <c r="J46" i="50767"/>
  <c r="J45" i="50767"/>
  <c r="T44" i="50767"/>
  <c r="S44" i="50767"/>
  <c r="R44" i="50767"/>
  <c r="Q44" i="50767"/>
  <c r="P44" i="50767"/>
  <c r="O44" i="50767"/>
  <c r="N44" i="50767"/>
  <c r="M44" i="50767"/>
  <c r="J44" i="50767"/>
  <c r="U43" i="50767"/>
  <c r="J43" i="50767"/>
  <c r="U42" i="50767"/>
  <c r="J42" i="50767"/>
  <c r="U41" i="50767"/>
  <c r="U40" i="50767"/>
  <c r="U39" i="50767"/>
  <c r="I39" i="50767"/>
  <c r="H39" i="50767"/>
  <c r="G39" i="50767"/>
  <c r="F39" i="50767"/>
  <c r="E39" i="50767"/>
  <c r="D39" i="50767"/>
  <c r="C39" i="50767"/>
  <c r="B39" i="50767"/>
  <c r="J38" i="50767"/>
  <c r="J37" i="50767"/>
  <c r="T36" i="50767"/>
  <c r="S36" i="50767"/>
  <c r="R36" i="50767"/>
  <c r="Q36" i="50767"/>
  <c r="P36" i="50767"/>
  <c r="O36" i="50767"/>
  <c r="N36" i="50767"/>
  <c r="M36" i="50767"/>
  <c r="J36" i="50767"/>
  <c r="U35" i="50767"/>
  <c r="U34" i="50767"/>
  <c r="U33" i="50767"/>
  <c r="I33" i="50767"/>
  <c r="H33" i="50767"/>
  <c r="G33" i="50767"/>
  <c r="F33" i="50767"/>
  <c r="E33" i="50767"/>
  <c r="D33" i="50767"/>
  <c r="C33" i="50767"/>
  <c r="B33" i="50767"/>
  <c r="U32" i="50767"/>
  <c r="J32" i="50767"/>
  <c r="J31" i="50767"/>
  <c r="J30" i="50767"/>
  <c r="T29" i="50767"/>
  <c r="S29" i="50767"/>
  <c r="R29" i="50767"/>
  <c r="Q29" i="50767"/>
  <c r="P29" i="50767"/>
  <c r="O29" i="50767"/>
  <c r="N29" i="50767"/>
  <c r="M29" i="50767"/>
  <c r="J29" i="50767"/>
  <c r="U28" i="50767"/>
  <c r="J28" i="50767"/>
  <c r="U27" i="50767"/>
  <c r="U26" i="50767"/>
  <c r="U25" i="50767"/>
  <c r="I25" i="50767"/>
  <c r="H25" i="50767"/>
  <c r="G25" i="50767"/>
  <c r="F25" i="50767"/>
  <c r="E25" i="50767"/>
  <c r="D25" i="50767"/>
  <c r="C25" i="50767"/>
  <c r="B25" i="50767"/>
  <c r="J24" i="50767"/>
  <c r="J23" i="50767"/>
  <c r="T22" i="50767"/>
  <c r="S22" i="50767"/>
  <c r="R22" i="50767"/>
  <c r="Q22" i="50767"/>
  <c r="P22" i="50767"/>
  <c r="O22" i="50767"/>
  <c r="N22" i="50767"/>
  <c r="M22" i="50767"/>
  <c r="J22" i="50767"/>
  <c r="U21" i="50767"/>
  <c r="J21" i="50767"/>
  <c r="U20" i="50767"/>
  <c r="J20" i="50767"/>
  <c r="U19" i="50767"/>
  <c r="I17" i="50767"/>
  <c r="H17" i="50767"/>
  <c r="G17" i="50767"/>
  <c r="F17" i="50767"/>
  <c r="E17" i="50767"/>
  <c r="D17" i="50767"/>
  <c r="C17" i="50767"/>
  <c r="B17" i="50767"/>
  <c r="T16" i="50767"/>
  <c r="S16" i="50767"/>
  <c r="R16" i="50767"/>
  <c r="Q16" i="50767"/>
  <c r="P16" i="50767"/>
  <c r="O16" i="50767"/>
  <c r="N16" i="50767"/>
  <c r="M16" i="50767"/>
  <c r="J16" i="50767"/>
  <c r="U15" i="50767"/>
  <c r="J15" i="50767"/>
  <c r="U14" i="50767"/>
  <c r="J14" i="50767"/>
  <c r="U13" i="50767"/>
  <c r="J13" i="50767"/>
  <c r="U12" i="50767"/>
  <c r="I10" i="50767"/>
  <c r="H10" i="50767"/>
  <c r="G10" i="50767"/>
  <c r="F10" i="50767"/>
  <c r="D10" i="50767"/>
  <c r="C10" i="50767"/>
  <c r="B10" i="50767"/>
  <c r="J9" i="50767"/>
  <c r="U8" i="50767"/>
  <c r="J8" i="50767"/>
  <c r="U7" i="50767"/>
  <c r="J7" i="50767"/>
  <c r="U6" i="50767"/>
  <c r="J6" i="50767"/>
  <c r="E75" i="50762"/>
  <c r="D70" i="50762"/>
  <c r="C70" i="50762"/>
  <c r="B70" i="50762"/>
  <c r="K67" i="50762"/>
  <c r="K68" i="50762" s="1"/>
  <c r="J64" i="50762"/>
  <c r="I64" i="50762"/>
  <c r="H64" i="50762"/>
  <c r="K63" i="50762"/>
  <c r="D63" i="50762"/>
  <c r="C63" i="50762"/>
  <c r="B63" i="50762"/>
  <c r="K62" i="50762"/>
  <c r="J58" i="50762"/>
  <c r="I58" i="50762"/>
  <c r="H58" i="50762"/>
  <c r="K57" i="50762"/>
  <c r="K56" i="50762"/>
  <c r="D56" i="50762"/>
  <c r="C56" i="50762"/>
  <c r="B56" i="50762"/>
  <c r="K55" i="50762"/>
  <c r="K54" i="50762"/>
  <c r="K53" i="50762"/>
  <c r="J50" i="50762"/>
  <c r="I50" i="50762"/>
  <c r="H50" i="50762"/>
  <c r="K49" i="50762"/>
  <c r="K48" i="50762"/>
  <c r="K47" i="50762"/>
  <c r="J44" i="50762"/>
  <c r="K43" i="50762"/>
  <c r="K42" i="50762"/>
  <c r="K41" i="50762"/>
  <c r="K40" i="50762"/>
  <c r="K39" i="50762"/>
  <c r="D39" i="50762"/>
  <c r="C39" i="50762"/>
  <c r="B39" i="50762"/>
  <c r="E38" i="50762"/>
  <c r="E37" i="50762"/>
  <c r="J36" i="50762"/>
  <c r="I36" i="50762"/>
  <c r="H36" i="50762"/>
  <c r="E36" i="50762"/>
  <c r="K35" i="50762"/>
  <c r="K34" i="50762"/>
  <c r="K33" i="50762"/>
  <c r="D33" i="50762"/>
  <c r="C33" i="50762"/>
  <c r="B33" i="50762"/>
  <c r="K32" i="50762"/>
  <c r="K28" i="50762"/>
  <c r="K27" i="50762"/>
  <c r="K26" i="50762"/>
  <c r="K25" i="50762"/>
  <c r="D25" i="50762"/>
  <c r="C25" i="50762"/>
  <c r="B25" i="50762"/>
  <c r="E24" i="50762"/>
  <c r="E23" i="50762"/>
  <c r="J22" i="50762"/>
  <c r="I22" i="50762"/>
  <c r="H22" i="50762"/>
  <c r="E22" i="50762"/>
  <c r="K21" i="50762"/>
  <c r="E21" i="50762"/>
  <c r="K20" i="50762"/>
  <c r="E20" i="50762"/>
  <c r="K19" i="50762"/>
  <c r="D17" i="50762"/>
  <c r="C17" i="50762"/>
  <c r="B17" i="50762"/>
  <c r="J16" i="50762"/>
  <c r="I16" i="50762"/>
  <c r="H16" i="50762"/>
  <c r="E16" i="50762"/>
  <c r="K15" i="50762"/>
  <c r="K14" i="50762"/>
  <c r="K13" i="50762"/>
  <c r="K12" i="50762"/>
  <c r="D10" i="50762"/>
  <c r="C10" i="50762"/>
  <c r="B10" i="50762"/>
  <c r="J9" i="50762"/>
  <c r="K8" i="50762"/>
  <c r="K7" i="50762"/>
  <c r="K6" i="50762"/>
  <c r="I70" i="50764"/>
  <c r="H70" i="50764"/>
  <c r="G70" i="50764"/>
  <c r="F70" i="50764"/>
  <c r="E70" i="50764"/>
  <c r="D70" i="50764"/>
  <c r="C70" i="50764"/>
  <c r="B70" i="50764"/>
  <c r="J69" i="50764"/>
  <c r="T68" i="50764"/>
  <c r="S68" i="50764"/>
  <c r="R68" i="50764"/>
  <c r="Q68" i="50764"/>
  <c r="P68" i="50764"/>
  <c r="O68" i="50764"/>
  <c r="N68" i="50764"/>
  <c r="M68" i="50764"/>
  <c r="J68" i="50764"/>
  <c r="U67" i="50764"/>
  <c r="U68" i="50764" s="1"/>
  <c r="J67" i="50764"/>
  <c r="J66" i="50764"/>
  <c r="T64" i="50764"/>
  <c r="S64" i="50764"/>
  <c r="R64" i="50764"/>
  <c r="Q64" i="50764"/>
  <c r="P64" i="50764"/>
  <c r="O64" i="50764"/>
  <c r="N64" i="50764"/>
  <c r="M64" i="50764"/>
  <c r="U63" i="50764"/>
  <c r="I63" i="50764"/>
  <c r="H63" i="50764"/>
  <c r="G63" i="50764"/>
  <c r="F63" i="50764"/>
  <c r="E63" i="50764"/>
  <c r="D63" i="50764"/>
  <c r="C63" i="50764"/>
  <c r="B63" i="50764"/>
  <c r="U62" i="50764"/>
  <c r="J62" i="50764"/>
  <c r="U61" i="50764"/>
  <c r="J61" i="50764"/>
  <c r="J60" i="50764"/>
  <c r="J59" i="50764"/>
  <c r="T58" i="50764"/>
  <c r="S58" i="50764"/>
  <c r="R58" i="50764"/>
  <c r="Q58" i="50764"/>
  <c r="P58" i="50764"/>
  <c r="O58" i="50764"/>
  <c r="N58" i="50764"/>
  <c r="M58" i="50764"/>
  <c r="U57" i="50764"/>
  <c r="U56" i="50764"/>
  <c r="I56" i="50764"/>
  <c r="H56" i="50764"/>
  <c r="G56" i="50764"/>
  <c r="F56" i="50764"/>
  <c r="E56" i="50764"/>
  <c r="D56" i="50764"/>
  <c r="C56" i="50764"/>
  <c r="B56" i="50764"/>
  <c r="U55" i="50764"/>
  <c r="J55" i="50764"/>
  <c r="U54" i="50764"/>
  <c r="J54" i="50764"/>
  <c r="U53" i="50764"/>
  <c r="J53" i="50764"/>
  <c r="T50" i="50764"/>
  <c r="S50" i="50764"/>
  <c r="R50" i="50764"/>
  <c r="Q50" i="50764"/>
  <c r="P50" i="50764"/>
  <c r="O50" i="50764"/>
  <c r="N50" i="50764"/>
  <c r="M50" i="50764"/>
  <c r="I50" i="50764"/>
  <c r="H50" i="50764"/>
  <c r="G50" i="50764"/>
  <c r="F50" i="50764"/>
  <c r="E50" i="50764"/>
  <c r="D50" i="50764"/>
  <c r="C50" i="50764"/>
  <c r="B50" i="50764"/>
  <c r="U49" i="50764"/>
  <c r="U48" i="50764"/>
  <c r="U47" i="50764"/>
  <c r="T44" i="50764"/>
  <c r="S44" i="50764"/>
  <c r="R44" i="50764"/>
  <c r="Q44" i="50764"/>
  <c r="P44" i="50764"/>
  <c r="O44" i="50764"/>
  <c r="N44" i="50764"/>
  <c r="M44" i="50764"/>
  <c r="U43" i="50764"/>
  <c r="U42" i="50764"/>
  <c r="U41" i="50764"/>
  <c r="U40" i="50764"/>
  <c r="U39" i="50764"/>
  <c r="I39" i="50764"/>
  <c r="H39" i="50764"/>
  <c r="G39" i="50764"/>
  <c r="F39" i="50764"/>
  <c r="E39" i="50764"/>
  <c r="D39" i="50764"/>
  <c r="C39" i="50764"/>
  <c r="B39" i="50764"/>
  <c r="J38" i="50764"/>
  <c r="J37" i="50764"/>
  <c r="T36" i="50764"/>
  <c r="S36" i="50764"/>
  <c r="R36" i="50764"/>
  <c r="Q36" i="50764"/>
  <c r="P36" i="50764"/>
  <c r="O36" i="50764"/>
  <c r="N36" i="50764"/>
  <c r="M36" i="50764"/>
  <c r="J36" i="50764"/>
  <c r="U35" i="50764"/>
  <c r="U34" i="50764"/>
  <c r="U33" i="50764"/>
  <c r="U32" i="50764"/>
  <c r="J32" i="50764"/>
  <c r="J31" i="50764"/>
  <c r="J30" i="50764"/>
  <c r="T29" i="50764"/>
  <c r="S29" i="50764"/>
  <c r="R29" i="50764"/>
  <c r="Q29" i="50764"/>
  <c r="P29" i="50764"/>
  <c r="O29" i="50764"/>
  <c r="N29" i="50764"/>
  <c r="M29" i="50764"/>
  <c r="J29" i="50764"/>
  <c r="U28" i="50764"/>
  <c r="J28" i="50764"/>
  <c r="U27" i="50764"/>
  <c r="U26" i="50764"/>
  <c r="U25" i="50764"/>
  <c r="I25" i="50764"/>
  <c r="H25" i="50764"/>
  <c r="G25" i="50764"/>
  <c r="F25" i="50764"/>
  <c r="E25" i="50764"/>
  <c r="D25" i="50764"/>
  <c r="C25" i="50764"/>
  <c r="B25" i="50764"/>
  <c r="J24" i="50764"/>
  <c r="J23" i="50764"/>
  <c r="T22" i="50764"/>
  <c r="S22" i="50764"/>
  <c r="R22" i="50764"/>
  <c r="Q22" i="50764"/>
  <c r="P22" i="50764"/>
  <c r="O22" i="50764"/>
  <c r="N22" i="50764"/>
  <c r="M22" i="50764"/>
  <c r="J22" i="50764"/>
  <c r="U21" i="50764"/>
  <c r="J21" i="50764"/>
  <c r="U20" i="50764"/>
  <c r="J20" i="50764"/>
  <c r="U19" i="50764"/>
  <c r="I17" i="50764"/>
  <c r="H17" i="50764"/>
  <c r="G17" i="50764"/>
  <c r="F17" i="50764"/>
  <c r="E17" i="50764"/>
  <c r="D17" i="50764"/>
  <c r="C17" i="50764"/>
  <c r="B17" i="50764"/>
  <c r="J16" i="50764"/>
  <c r="U15" i="50764"/>
  <c r="J15" i="50764"/>
  <c r="U14" i="50764"/>
  <c r="J14" i="50764"/>
  <c r="U13" i="50764"/>
  <c r="J13" i="50764"/>
  <c r="U12" i="50764"/>
  <c r="I10" i="50764"/>
  <c r="H10" i="50764"/>
  <c r="G10" i="50764"/>
  <c r="F10" i="50764"/>
  <c r="E10" i="50764"/>
  <c r="D10" i="50764"/>
  <c r="C10" i="50764"/>
  <c r="B10" i="50764"/>
  <c r="T9" i="50764"/>
  <c r="S9" i="50764"/>
  <c r="R9" i="50764"/>
  <c r="Q9" i="50764"/>
  <c r="P9" i="50764"/>
  <c r="O9" i="50764"/>
  <c r="N9" i="50764"/>
  <c r="M9" i="50764"/>
  <c r="U8" i="50764"/>
  <c r="U7" i="50764"/>
  <c r="J7" i="50764"/>
  <c r="U6" i="50764"/>
  <c r="J6" i="50764"/>
  <c r="G70" i="50761" l="1"/>
  <c r="H70" i="50761"/>
  <c r="H70" i="50768"/>
  <c r="O38" i="50750"/>
  <c r="H70" i="50762"/>
  <c r="I70" i="50768"/>
  <c r="I29" i="50761"/>
  <c r="I44" i="50761"/>
  <c r="K64" i="50768"/>
  <c r="E39" i="50762"/>
  <c r="J39" i="50764"/>
  <c r="J10" i="50764"/>
  <c r="K64" i="50762"/>
  <c r="J56" i="50764"/>
  <c r="U22" i="50767"/>
  <c r="U44" i="50767"/>
  <c r="J70" i="50768"/>
  <c r="U36" i="50767"/>
  <c r="U64" i="50767"/>
  <c r="I50" i="50761"/>
  <c r="I9" i="50761"/>
  <c r="K36" i="50768"/>
  <c r="K16" i="50768"/>
  <c r="E56" i="50768"/>
  <c r="E50" i="50768"/>
  <c r="J70" i="50767"/>
  <c r="J56" i="50767"/>
  <c r="J33" i="50767"/>
  <c r="K44" i="50762"/>
  <c r="K16" i="50762"/>
  <c r="K9" i="50762"/>
  <c r="E70" i="50762"/>
  <c r="U29" i="50764"/>
  <c r="U22" i="50764"/>
  <c r="J63" i="50764"/>
  <c r="I64" i="50761"/>
  <c r="I36" i="50761"/>
  <c r="D63" i="50761"/>
  <c r="D17" i="50761"/>
  <c r="I58" i="50761"/>
  <c r="I22" i="50761"/>
  <c r="I16" i="50761"/>
  <c r="D50" i="50761"/>
  <c r="D39" i="50761"/>
  <c r="D33" i="50761"/>
  <c r="D25" i="50761"/>
  <c r="D10" i="50761"/>
  <c r="K58" i="50768"/>
  <c r="K50" i="50768"/>
  <c r="K44" i="50768"/>
  <c r="K29" i="50768"/>
  <c r="K22" i="50768"/>
  <c r="K9" i="50768"/>
  <c r="E70" i="50768"/>
  <c r="E63" i="50768"/>
  <c r="E39" i="50768"/>
  <c r="E33" i="50768"/>
  <c r="E17" i="50768"/>
  <c r="E10" i="50768"/>
  <c r="U58" i="50767"/>
  <c r="U50" i="50767"/>
  <c r="U29" i="50767"/>
  <c r="O70" i="50767"/>
  <c r="U16" i="50767"/>
  <c r="U9" i="50767"/>
  <c r="N70" i="50767"/>
  <c r="T70" i="50767"/>
  <c r="Q70" i="50767"/>
  <c r="J63" i="50767"/>
  <c r="R70" i="50767"/>
  <c r="J50" i="50767"/>
  <c r="M70" i="50767"/>
  <c r="S70" i="50767"/>
  <c r="J39" i="50767"/>
  <c r="P70" i="50767"/>
  <c r="J25" i="50767"/>
  <c r="J17" i="50767"/>
  <c r="J10" i="50767"/>
  <c r="K58" i="50762"/>
  <c r="K50" i="50762"/>
  <c r="K36" i="50762"/>
  <c r="K29" i="50762"/>
  <c r="K22" i="50762"/>
  <c r="E63" i="50762"/>
  <c r="E56" i="50762"/>
  <c r="E50" i="50762"/>
  <c r="E33" i="50762"/>
  <c r="E25" i="50762"/>
  <c r="I70" i="50762"/>
  <c r="J70" i="50762"/>
  <c r="E17" i="50762"/>
  <c r="E10" i="50762"/>
  <c r="U64" i="50764"/>
  <c r="Q70" i="50764"/>
  <c r="U58" i="50764"/>
  <c r="U50" i="50764"/>
  <c r="U44" i="50764"/>
  <c r="U36" i="50764"/>
  <c r="U16" i="50764"/>
  <c r="P70" i="50764"/>
  <c r="U9" i="50764"/>
  <c r="J70" i="50764"/>
  <c r="T70" i="50764"/>
  <c r="O70" i="50764"/>
  <c r="J50" i="50764"/>
  <c r="R70" i="50764"/>
  <c r="J33" i="50764"/>
  <c r="M70" i="50764"/>
  <c r="S70" i="50764"/>
  <c r="J25" i="50764"/>
  <c r="J17" i="50764"/>
  <c r="N70" i="50764"/>
  <c r="I70" i="50761" l="1"/>
  <c r="K70" i="50762"/>
  <c r="K70" i="50768"/>
  <c r="U70" i="50767"/>
  <c r="U70" i="50764"/>
  <c r="J38" i="50750"/>
  <c r="F89" i="50750" s="1"/>
  <c r="K38" i="50750"/>
  <c r="F90" i="50750" s="1"/>
  <c r="L38" i="50750"/>
  <c r="F91" i="50750" s="1"/>
  <c r="F92" i="50750"/>
  <c r="N38" i="50750"/>
  <c r="F93" i="50750" s="1"/>
  <c r="J21" i="50750"/>
  <c r="C89" i="50750" s="1"/>
  <c r="K21" i="50750"/>
  <c r="C90" i="50750" s="1"/>
  <c r="L21" i="50750"/>
  <c r="C91" i="50750" s="1"/>
  <c r="C92" i="50750"/>
  <c r="C93" i="50750"/>
  <c r="O9" i="50750"/>
  <c r="O21" i="50750" s="1"/>
  <c r="K37" i="50751"/>
  <c r="F87" i="50751" s="1"/>
  <c r="L37" i="50751"/>
  <c r="F88" i="50751" s="1"/>
  <c r="M37" i="50751"/>
  <c r="F89" i="50751" s="1"/>
  <c r="N37" i="50751"/>
  <c r="F90" i="50751" s="1"/>
  <c r="C87" i="50751"/>
  <c r="C88" i="50751"/>
  <c r="C89" i="50751"/>
  <c r="C90" i="50751"/>
  <c r="O36" i="50751" l="1"/>
  <c r="O31" i="50751"/>
  <c r="O30" i="50751"/>
  <c r="O29" i="50751"/>
  <c r="O28" i="50751"/>
  <c r="O27" i="50751"/>
  <c r="O26" i="50751"/>
  <c r="O25" i="50751"/>
  <c r="O19" i="50751"/>
  <c r="O18" i="50751"/>
  <c r="O17" i="50751"/>
  <c r="O16" i="50751"/>
  <c r="O11" i="50751"/>
  <c r="O10" i="50751"/>
  <c r="O9" i="50751"/>
  <c r="O20" i="50751" l="1"/>
  <c r="O37" i="50751"/>
  <c r="J37" i="50751"/>
  <c r="F86" i="50751" s="1"/>
  <c r="I37" i="50751"/>
  <c r="F85" i="50751" s="1"/>
  <c r="H37" i="50751"/>
  <c r="F84" i="50751" s="1"/>
  <c r="G37" i="50751"/>
  <c r="F83" i="50751" s="1"/>
  <c r="F37" i="50751"/>
  <c r="F82" i="50751" s="1"/>
  <c r="E37" i="50751"/>
  <c r="F81" i="50751" s="1"/>
  <c r="D37" i="50751"/>
  <c r="F80" i="50751" s="1"/>
  <c r="C37" i="50751"/>
  <c r="F79" i="50751" s="1"/>
  <c r="F91" i="50751" l="1"/>
  <c r="H32" i="50758"/>
  <c r="G84" i="50751" l="1"/>
  <c r="G83" i="50751"/>
  <c r="G81" i="50751"/>
  <c r="G82" i="50751"/>
  <c r="G85" i="50751"/>
  <c r="G90" i="50751"/>
  <c r="G89" i="50751"/>
  <c r="G79" i="50751"/>
  <c r="G86" i="50751"/>
  <c r="G88" i="50751"/>
  <c r="G87" i="50751"/>
  <c r="G80" i="50751"/>
  <c r="H19" i="50758"/>
  <c r="G19" i="50758"/>
  <c r="F19" i="50758"/>
  <c r="E19" i="50758"/>
  <c r="D19" i="50758"/>
  <c r="E74" i="50762" l="1"/>
  <c r="E76" i="50762"/>
  <c r="E77" i="50762"/>
  <c r="E78" i="50762"/>
  <c r="E79" i="50762"/>
  <c r="E80" i="50762"/>
  <c r="E81" i="50762"/>
  <c r="E82" i="50762"/>
  <c r="E83" i="50762"/>
  <c r="B86" i="50762"/>
  <c r="C86" i="50762"/>
  <c r="D86" i="50762"/>
  <c r="E86" i="50762" l="1"/>
  <c r="E74" i="50768" l="1"/>
  <c r="E79" i="50768"/>
  <c r="E85" i="50768"/>
  <c r="E84" i="50768"/>
  <c r="E83" i="50768"/>
  <c r="E82" i="50768"/>
  <c r="E81" i="50768"/>
  <c r="E80" i="50768"/>
  <c r="E78" i="50768"/>
  <c r="E77" i="50768"/>
  <c r="E76" i="50768"/>
  <c r="E75" i="50768"/>
  <c r="E86" i="50768" l="1"/>
  <c r="I38" i="50750" l="1"/>
  <c r="F88" i="50750" s="1"/>
  <c r="B86" i="50768" l="1"/>
  <c r="B20" i="50758" l="1"/>
  <c r="B21" i="50758" s="1"/>
  <c r="B22" i="50758" s="1"/>
  <c r="B23" i="50758" s="1"/>
  <c r="B24" i="50758" s="1"/>
  <c r="B25" i="50758" s="1"/>
  <c r="B26" i="50758" s="1"/>
  <c r="B27" i="50758" s="1"/>
  <c r="B28" i="50758" s="1"/>
  <c r="B29" i="50758" s="1"/>
  <c r="B30" i="50758" s="1"/>
  <c r="B31" i="50758" s="1"/>
  <c r="B33" i="50758" s="1"/>
  <c r="B34" i="50758" s="1"/>
  <c r="B35" i="50758" s="1"/>
  <c r="B36" i="50758" s="1"/>
  <c r="B37" i="50758" s="1"/>
  <c r="B38" i="50758" s="1"/>
  <c r="B39" i="50758" s="1"/>
  <c r="B40" i="50758" s="1"/>
  <c r="B41" i="50758" s="1"/>
  <c r="B42" i="50758" s="1"/>
  <c r="B43" i="50758" s="1"/>
  <c r="B44" i="50758" s="1"/>
  <c r="B46" i="50758" s="1"/>
  <c r="B47" i="50758" s="1"/>
  <c r="B48" i="50758" s="1"/>
  <c r="B49" i="50758" s="1"/>
  <c r="B50" i="50758" s="1"/>
  <c r="C108" i="50761"/>
  <c r="B108" i="50761"/>
  <c r="C118" i="50761"/>
  <c r="B117" i="50761"/>
  <c r="C107" i="50761"/>
  <c r="B107" i="50761"/>
  <c r="C116" i="50761"/>
  <c r="B116" i="50761"/>
  <c r="C106" i="50761"/>
  <c r="B106" i="50761"/>
  <c r="C115" i="50761"/>
  <c r="B115" i="50761"/>
  <c r="C105" i="50761"/>
  <c r="B105" i="50761"/>
  <c r="C114" i="50761"/>
  <c r="B114" i="50761"/>
  <c r="C104" i="50761"/>
  <c r="B104" i="50761"/>
  <c r="C113" i="50761"/>
  <c r="B113" i="50761"/>
  <c r="B103" i="50761"/>
  <c r="C112" i="50761"/>
  <c r="B112" i="50761"/>
  <c r="C102" i="50761"/>
  <c r="B102" i="50761"/>
  <c r="C111" i="50761"/>
  <c r="B111" i="50761"/>
  <c r="C101" i="50761"/>
  <c r="B101" i="50761"/>
  <c r="C110" i="50761"/>
  <c r="B110" i="50761"/>
  <c r="B100" i="50761"/>
  <c r="C109" i="50761"/>
  <c r="B109" i="50761"/>
  <c r="C86" i="50751"/>
  <c r="C85" i="50751"/>
  <c r="C84" i="50751"/>
  <c r="C83" i="50751"/>
  <c r="C82" i="50751"/>
  <c r="C81" i="50751"/>
  <c r="C80" i="50751"/>
  <c r="C79" i="50751"/>
  <c r="D86" i="50768"/>
  <c r="C86" i="50768"/>
  <c r="B113" i="50767"/>
  <c r="P38" i="50750"/>
  <c r="H38" i="50750"/>
  <c r="F87" i="50750" s="1"/>
  <c r="G38" i="50750"/>
  <c r="F86" i="50750" s="1"/>
  <c r="F38" i="50750"/>
  <c r="F85" i="50750" s="1"/>
  <c r="E38" i="50750"/>
  <c r="F84" i="50750" s="1"/>
  <c r="D38" i="50750"/>
  <c r="F83" i="50750" s="1"/>
  <c r="C38" i="50750"/>
  <c r="F82" i="50750" s="1"/>
  <c r="I21" i="50750"/>
  <c r="C88" i="50750" s="1"/>
  <c r="H21" i="50750"/>
  <c r="C87" i="50750" s="1"/>
  <c r="G21" i="50750"/>
  <c r="C86" i="50750" s="1"/>
  <c r="F21" i="50750"/>
  <c r="C85" i="50750" s="1"/>
  <c r="E21" i="50750"/>
  <c r="C84" i="50750" s="1"/>
  <c r="D21" i="50750"/>
  <c r="C83" i="50750" s="1"/>
  <c r="C21" i="50750"/>
  <c r="C82" i="50750" s="1"/>
  <c r="B113" i="50764"/>
  <c r="B52" i="50758" l="1"/>
  <c r="B53" i="50758" s="1"/>
  <c r="B54" i="50758" s="1"/>
  <c r="B55" i="50758" s="1"/>
  <c r="B56" i="50758" s="1"/>
  <c r="B57" i="50758" s="1"/>
  <c r="B51" i="50758"/>
  <c r="F94" i="50750"/>
  <c r="G82" i="50750" s="1"/>
  <c r="C94" i="50750"/>
  <c r="D88" i="50750" s="1"/>
  <c r="C91" i="50751"/>
  <c r="D80" i="50751" s="1"/>
  <c r="B118" i="50761"/>
  <c r="D118" i="50761" s="1"/>
  <c r="C117" i="50761"/>
  <c r="D117" i="50761" s="1"/>
  <c r="C100" i="50761"/>
  <c r="D100" i="50761" s="1"/>
  <c r="N98" i="50767"/>
  <c r="N97" i="50767"/>
  <c r="N101" i="50767"/>
  <c r="N96" i="50767"/>
  <c r="N100" i="50767"/>
  <c r="N99" i="50767"/>
  <c r="N102" i="50767"/>
  <c r="B112" i="50767"/>
  <c r="D113" i="50761"/>
  <c r="N95" i="50767"/>
  <c r="D101" i="50761"/>
  <c r="B102" i="50767"/>
  <c r="B110" i="50764"/>
  <c r="B112" i="50764"/>
  <c r="D110" i="50761"/>
  <c r="B106" i="50764"/>
  <c r="B107" i="50764"/>
  <c r="B101" i="50764"/>
  <c r="B102" i="50764"/>
  <c r="B104" i="50767"/>
  <c r="B101" i="50767"/>
  <c r="B103" i="50767"/>
  <c r="B99" i="50767"/>
  <c r="D108" i="50761"/>
  <c r="D104" i="50761"/>
  <c r="AC52" i="50767"/>
  <c r="B106" i="50767"/>
  <c r="B100" i="50764"/>
  <c r="B97" i="50764"/>
  <c r="B99" i="50764"/>
  <c r="B103" i="50764"/>
  <c r="B98" i="50764"/>
  <c r="AC65" i="50764"/>
  <c r="B109" i="50764"/>
  <c r="B111" i="50764"/>
  <c r="B98" i="50767"/>
  <c r="B107" i="50767"/>
  <c r="B109" i="50767"/>
  <c r="B110" i="50767"/>
  <c r="D106" i="50761"/>
  <c r="D105" i="50761"/>
  <c r="D102" i="50761"/>
  <c r="D109" i="50761"/>
  <c r="D112" i="50761"/>
  <c r="D115" i="50761"/>
  <c r="D116" i="50761"/>
  <c r="D114" i="50761"/>
  <c r="D111" i="50761"/>
  <c r="D107" i="50761"/>
  <c r="C103" i="50761"/>
  <c r="D103" i="50761" s="1"/>
  <c r="B111" i="50767"/>
  <c r="N96" i="50764"/>
  <c r="N100" i="50764"/>
  <c r="N98" i="50764"/>
  <c r="N102" i="50764"/>
  <c r="N95" i="50764"/>
  <c r="N99" i="50764"/>
  <c r="N97" i="50764"/>
  <c r="N101" i="50764"/>
  <c r="D85" i="50750" l="1"/>
  <c r="D92" i="50750"/>
  <c r="D86" i="50750"/>
  <c r="D90" i="50750"/>
  <c r="D91" i="50750"/>
  <c r="D83" i="50750"/>
  <c r="D87" i="50750"/>
  <c r="D82" i="50750"/>
  <c r="D93" i="50750"/>
  <c r="G84" i="50750"/>
  <c r="G93" i="50750"/>
  <c r="G87" i="50750"/>
  <c r="G89" i="50750"/>
  <c r="G91" i="50750"/>
  <c r="G90" i="50750"/>
  <c r="G92" i="50750"/>
  <c r="G83" i="50750"/>
  <c r="G85" i="50750"/>
  <c r="G86" i="50750"/>
  <c r="G88" i="50750"/>
  <c r="D84" i="50750"/>
  <c r="D89" i="50750"/>
  <c r="D87" i="50751"/>
  <c r="D81" i="50751"/>
  <c r="D84" i="50751"/>
  <c r="D85" i="50751"/>
  <c r="D88" i="50751"/>
  <c r="D83" i="50751"/>
  <c r="D82" i="50751"/>
  <c r="D90" i="50751"/>
  <c r="D79" i="50751"/>
  <c r="D89" i="50751"/>
  <c r="D86" i="50751"/>
  <c r="AC50" i="50767"/>
  <c r="AD65" i="50767"/>
  <c r="AD23" i="50767"/>
  <c r="AD40" i="50767"/>
  <c r="AD14" i="50767"/>
  <c r="AC45" i="50767"/>
  <c r="AD33" i="50767"/>
  <c r="AD21" i="50767"/>
  <c r="B95" i="50764"/>
  <c r="AC10" i="50764"/>
  <c r="AD31" i="50767"/>
  <c r="AI65" i="50767"/>
  <c r="AD16" i="50767"/>
  <c r="AD57" i="50767"/>
  <c r="AD25" i="50767"/>
  <c r="AD6" i="50767"/>
  <c r="AD38" i="50767"/>
  <c r="AD55" i="50767"/>
  <c r="B97" i="50767"/>
  <c r="B95" i="50767"/>
  <c r="AC10" i="50767"/>
  <c r="AC33" i="50767"/>
  <c r="AC20" i="50767"/>
  <c r="AD39" i="50767"/>
  <c r="B100" i="50767"/>
  <c r="AC59" i="50767"/>
  <c r="N103" i="50767"/>
  <c r="O98" i="50767" s="1"/>
  <c r="AC41" i="50767"/>
  <c r="AD34" i="50767"/>
  <c r="AC23" i="50767"/>
  <c r="AC6" i="50767"/>
  <c r="AD61" i="50767"/>
  <c r="AC14" i="50767"/>
  <c r="AC25" i="50767"/>
  <c r="AC46" i="50767"/>
  <c r="AD12" i="50767"/>
  <c r="AD22" i="50767"/>
  <c r="AC43" i="50767"/>
  <c r="B108" i="50767"/>
  <c r="AD19" i="50767"/>
  <c r="AD29" i="50767"/>
  <c r="AD42" i="50767"/>
  <c r="AD49" i="50767"/>
  <c r="AD11" i="50767"/>
  <c r="AC36" i="50767"/>
  <c r="AF65" i="50767"/>
  <c r="AC65" i="50767"/>
  <c r="B96" i="50767"/>
  <c r="AC21" i="50764"/>
  <c r="AC38" i="50767"/>
  <c r="AC20" i="50764"/>
  <c r="AC31" i="50764"/>
  <c r="AD58" i="50767"/>
  <c r="AG65" i="50767"/>
  <c r="AC53" i="50767"/>
  <c r="AC36" i="50764"/>
  <c r="AC52" i="50764"/>
  <c r="AC58" i="50764"/>
  <c r="AC17" i="50767"/>
  <c r="AD44" i="50767"/>
  <c r="AC31" i="50767"/>
  <c r="AD32" i="50767"/>
  <c r="AC28" i="50767"/>
  <c r="AC24" i="50767"/>
  <c r="AD30" i="50767"/>
  <c r="AJ65" i="50767"/>
  <c r="AE65" i="50767"/>
  <c r="AH65" i="50767"/>
  <c r="AC13" i="50767"/>
  <c r="AC15" i="50767"/>
  <c r="AC22" i="50767"/>
  <c r="AD26" i="50767"/>
  <c r="AC35" i="50767"/>
  <c r="AC56" i="50767"/>
  <c r="AD13" i="50767"/>
  <c r="AD15" i="50767"/>
  <c r="AC21" i="50767"/>
  <c r="AD24" i="50767"/>
  <c r="AC42" i="50767"/>
  <c r="AC49" i="50767"/>
  <c r="AD56" i="50767"/>
  <c r="AD7" i="50767"/>
  <c r="AD10" i="50767"/>
  <c r="AD20" i="50767"/>
  <c r="AC27" i="50767"/>
  <c r="AC34" i="50767"/>
  <c r="AD41" i="50767"/>
  <c r="AD43" i="50767"/>
  <c r="AC48" i="50767"/>
  <c r="AC51" i="50767"/>
  <c r="AC58" i="50767"/>
  <c r="AC16" i="50767"/>
  <c r="AC26" i="50767"/>
  <c r="AD47" i="50767"/>
  <c r="AC57" i="50767"/>
  <c r="AC23" i="50764"/>
  <c r="AD22" i="50764"/>
  <c r="AC57" i="50764"/>
  <c r="AD38" i="50764"/>
  <c r="AD34" i="50764"/>
  <c r="AD43" i="50764"/>
  <c r="AD6" i="50764"/>
  <c r="AD24" i="50764"/>
  <c r="AD31" i="50764"/>
  <c r="AC59" i="50764"/>
  <c r="AD58" i="50764"/>
  <c r="AC41" i="50764"/>
  <c r="AD40" i="50764"/>
  <c r="AC13" i="50764"/>
  <c r="AD12" i="50764"/>
  <c r="AD21" i="50764"/>
  <c r="AC45" i="50764"/>
  <c r="AD7" i="50764"/>
  <c r="AC25" i="50764"/>
  <c r="AD41" i="50764"/>
  <c r="AC49" i="50764"/>
  <c r="AD16" i="50764"/>
  <c r="AD39" i="50764"/>
  <c r="AC6" i="50764"/>
  <c r="AC38" i="50764"/>
  <c r="AD44" i="50764"/>
  <c r="AC16" i="50764"/>
  <c r="AD49" i="50764"/>
  <c r="AD15" i="50764"/>
  <c r="AD57" i="50764"/>
  <c r="AD23" i="50764"/>
  <c r="AD56" i="50764"/>
  <c r="AD13" i="50764"/>
  <c r="AD55" i="50764"/>
  <c r="AC28" i="50764"/>
  <c r="AC42" i="50764"/>
  <c r="AC15" i="50764"/>
  <c r="AC14" i="50764"/>
  <c r="AD20" i="50764"/>
  <c r="AD19" i="50764"/>
  <c r="AJ65" i="50764"/>
  <c r="AI65" i="50764"/>
  <c r="AC26" i="50764"/>
  <c r="AC48" i="50764"/>
  <c r="AD29" i="50764"/>
  <c r="AD11" i="50764"/>
  <c r="AD32" i="50764"/>
  <c r="AD47" i="50764"/>
  <c r="AD33" i="50764"/>
  <c r="AE65" i="50764"/>
  <c r="AD25" i="50764"/>
  <c r="AC46" i="50764"/>
  <c r="AH65" i="50764"/>
  <c r="AG65" i="50764"/>
  <c r="AC53" i="50764"/>
  <c r="AC24" i="50764"/>
  <c r="AD30" i="50764"/>
  <c r="AC22" i="50764"/>
  <c r="AC33" i="50764"/>
  <c r="AC35" i="50764"/>
  <c r="AF65" i="50764"/>
  <c r="AD10" i="50764"/>
  <c r="AD42" i="50764"/>
  <c r="AC56" i="50764"/>
  <c r="AD61" i="50764"/>
  <c r="AD14" i="50764"/>
  <c r="AC34" i="50764"/>
  <c r="AC50" i="50764"/>
  <c r="AC43" i="50764"/>
  <c r="B108" i="50764"/>
  <c r="AC27" i="50764"/>
  <c r="AC51" i="50764"/>
  <c r="AD65" i="50764"/>
  <c r="D119" i="50761"/>
  <c r="B105" i="50767"/>
  <c r="AD35" i="50767"/>
  <c r="AD35" i="50764"/>
  <c r="B105" i="50764"/>
  <c r="N103" i="50764"/>
  <c r="O97" i="50764" s="1"/>
  <c r="AD26" i="50764"/>
  <c r="B104" i="50764"/>
  <c r="AC17" i="50764"/>
  <c r="B96" i="50764"/>
  <c r="O97" i="50767" l="1"/>
  <c r="O96" i="50767"/>
  <c r="O99" i="50767"/>
  <c r="O102" i="50767"/>
  <c r="B114" i="50767"/>
  <c r="C105" i="50767" s="1"/>
  <c r="O101" i="50767"/>
  <c r="O100" i="50767"/>
  <c r="O95" i="50767"/>
  <c r="B114" i="50764"/>
  <c r="C102" i="50764" s="1"/>
  <c r="O101" i="50764"/>
  <c r="O99" i="50764"/>
  <c r="O100" i="50764"/>
  <c r="O95" i="50764"/>
  <c r="O98" i="50764"/>
  <c r="O96" i="50764"/>
  <c r="O102" i="50764"/>
  <c r="C95" i="50767" l="1"/>
  <c r="C98" i="50767"/>
  <c r="C113" i="50767"/>
  <c r="C99" i="50767"/>
  <c r="C111" i="50767"/>
  <c r="C96" i="50767"/>
  <c r="C97" i="50767"/>
  <c r="C112" i="50767"/>
  <c r="C100" i="50767"/>
  <c r="C103" i="50767"/>
  <c r="C109" i="50767"/>
  <c r="C101" i="50767"/>
  <c r="C107" i="50767"/>
  <c r="C104" i="50767"/>
  <c r="C110" i="50767"/>
  <c r="C106" i="50767"/>
  <c r="C102" i="50767"/>
  <c r="C108" i="50767"/>
  <c r="C103" i="50764"/>
  <c r="C106" i="50764"/>
  <c r="C109" i="50764"/>
  <c r="C111" i="50764"/>
  <c r="C95" i="50764"/>
  <c r="C113" i="50764"/>
  <c r="C110" i="50764"/>
  <c r="C97" i="50764"/>
  <c r="C99" i="50764"/>
  <c r="C105" i="50764"/>
  <c r="C107" i="50764"/>
  <c r="C104" i="50764"/>
  <c r="C108" i="50764"/>
  <c r="C112" i="50764"/>
  <c r="C96" i="50764"/>
  <c r="C98" i="50764"/>
  <c r="C100" i="50764"/>
  <c r="C101" i="50764"/>
</calcChain>
</file>

<file path=xl/sharedStrings.xml><?xml version="1.0" encoding="utf-8"?>
<sst xmlns="http://schemas.openxmlformats.org/spreadsheetml/2006/main" count="975" uniqueCount="237">
  <si>
    <t>TOTAIS</t>
  </si>
  <si>
    <t>Abranches</t>
  </si>
  <si>
    <t>Água Verde</t>
  </si>
  <si>
    <t>Ahú</t>
  </si>
  <si>
    <t>Alto Boqueirão</t>
  </si>
  <si>
    <t>Alto da Glória</t>
  </si>
  <si>
    <t>Atuba</t>
  </si>
  <si>
    <t>Augusta</t>
  </si>
  <si>
    <t>Bacacheri</t>
  </si>
  <si>
    <t>Bairro Alto</t>
  </si>
  <si>
    <t>Batel</t>
  </si>
  <si>
    <t>Bigorrilho</t>
  </si>
  <si>
    <t>Boa Vista</t>
  </si>
  <si>
    <t>Bom Retiro</t>
  </si>
  <si>
    <t>Boqueirão</t>
  </si>
  <si>
    <t>Butiatuvinha</t>
  </si>
  <si>
    <t>Cabral</t>
  </si>
  <si>
    <t>Cachoeira</t>
  </si>
  <si>
    <t>Cajuru</t>
  </si>
  <si>
    <t>Campo Comprido</t>
  </si>
  <si>
    <t>Capão da Imbuía</t>
  </si>
  <si>
    <t>Capão Raso</t>
  </si>
  <si>
    <t>Cascatinha</t>
  </si>
  <si>
    <t>Caximba</t>
  </si>
  <si>
    <t>Centro</t>
  </si>
  <si>
    <t>Centro Cívico</t>
  </si>
  <si>
    <t>Cristo Rei</t>
  </si>
  <si>
    <t>Fanny</t>
  </si>
  <si>
    <t>Fazendinha</t>
  </si>
  <si>
    <t>Ganchinho</t>
  </si>
  <si>
    <t>Guabirotuba</t>
  </si>
  <si>
    <t>Guaíra</t>
  </si>
  <si>
    <t>Hauer</t>
  </si>
  <si>
    <t>Hugo Lange</t>
  </si>
  <si>
    <t>Jardim Botânico</t>
  </si>
  <si>
    <t>Jardim Social</t>
  </si>
  <si>
    <t>Juvevê</t>
  </si>
  <si>
    <t>Lindóia</t>
  </si>
  <si>
    <t>Mercês</t>
  </si>
  <si>
    <t>Mossunguê</t>
  </si>
  <si>
    <t>Novo Mundo</t>
  </si>
  <si>
    <t>Orleans</t>
  </si>
  <si>
    <t>Parolin</t>
  </si>
  <si>
    <t>Pilarzinho</t>
  </si>
  <si>
    <t>Pinheirinho</t>
  </si>
  <si>
    <t>Portão</t>
  </si>
  <si>
    <t>Prado Velho</t>
  </si>
  <si>
    <t>Rebouças</t>
  </si>
  <si>
    <t>Riviera</t>
  </si>
  <si>
    <t>Santa Cândida</t>
  </si>
  <si>
    <t>Santa Felicidade</t>
  </si>
  <si>
    <t>Santa Quitéria</t>
  </si>
  <si>
    <t>Santo Inácio</t>
  </si>
  <si>
    <t>São Braz</t>
  </si>
  <si>
    <t>São Francisco</t>
  </si>
  <si>
    <t>São João</t>
  </si>
  <si>
    <t>São Lourenço</t>
  </si>
  <si>
    <t>São Miguel</t>
  </si>
  <si>
    <t>Seminário</t>
  </si>
  <si>
    <t>Sítio Cercado</t>
  </si>
  <si>
    <t>Taboão</t>
  </si>
  <si>
    <t>Tarumã</t>
  </si>
  <si>
    <t>Tatuquara</t>
  </si>
  <si>
    <t>Tingui</t>
  </si>
  <si>
    <t>Uberaba</t>
  </si>
  <si>
    <t>Umbará</t>
  </si>
  <si>
    <t>Vila Izabel</t>
  </si>
  <si>
    <t>Vista Alegre</t>
  </si>
  <si>
    <t>Xaxim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</si>
  <si>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</si>
  <si>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</si>
  <si>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</si>
  <si>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</si>
  <si>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</si>
  <si>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</si>
  <si>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</si>
  <si>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</si>
  <si>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</si>
  <si>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</si>
  <si>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</si>
  <si>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</si>
  <si>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</si>
  <si>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SETOR I</t>
  </si>
  <si>
    <t>SETOR II</t>
  </si>
  <si>
    <t>SETOR III</t>
  </si>
  <si>
    <t>SETOR IV</t>
  </si>
  <si>
    <t>SETOR V</t>
  </si>
  <si>
    <t>SETORES</t>
  </si>
  <si>
    <t>SubTotal (Setor II)</t>
  </si>
  <si>
    <t>SubTotal (Setor III)</t>
  </si>
  <si>
    <t>SubTotal (Setor IV)</t>
  </si>
  <si>
    <t>SubTotal (Setor V)</t>
  </si>
  <si>
    <t>Até 3 pav.</t>
  </si>
  <si>
    <t>De 4 à 8 pav.</t>
  </si>
  <si>
    <t>ZR-1</t>
  </si>
  <si>
    <t>ZR-2</t>
  </si>
  <si>
    <t>ZR-3</t>
  </si>
  <si>
    <t>Cidade Industrial</t>
  </si>
  <si>
    <t>Campo de Santana</t>
  </si>
  <si>
    <t>Campina do Siqueira</t>
  </si>
  <si>
    <t>Jardim das Américas</t>
  </si>
  <si>
    <t>Lamenha Pequena</t>
  </si>
  <si>
    <t>ZR-4</t>
  </si>
  <si>
    <t>ZC</t>
  </si>
  <si>
    <t>CONEC</t>
  </si>
  <si>
    <r>
      <t>(*)</t>
    </r>
    <r>
      <rPr>
        <b/>
        <sz val="10"/>
        <rFont val="Arial"/>
        <family val="2"/>
      </rPr>
      <t>ZR</t>
    </r>
  </si>
  <si>
    <r>
      <t>(**)</t>
    </r>
    <r>
      <rPr>
        <b/>
        <sz val="10"/>
        <rFont val="Arial"/>
        <family val="2"/>
      </rPr>
      <t>SE</t>
    </r>
  </si>
  <si>
    <t>SubTotal (Setor I)</t>
  </si>
  <si>
    <t>SETOR VI</t>
  </si>
  <si>
    <t>SubTotal (Setor VI)</t>
  </si>
  <si>
    <t>SETOR VII</t>
  </si>
  <si>
    <t>SubTotal (Setor VII)</t>
  </si>
  <si>
    <t>SETOR VIII</t>
  </si>
  <si>
    <t>SubTotal (Setor VIII)</t>
  </si>
  <si>
    <t>SETOR IX</t>
  </si>
  <si>
    <t>SubTotal (Setor IX)</t>
  </si>
  <si>
    <t>SETOR X</t>
  </si>
  <si>
    <t>SubTotal (Setor X)</t>
  </si>
  <si>
    <t>SETOR XI</t>
  </si>
  <si>
    <t>SubTotal (Setor XI)</t>
  </si>
  <si>
    <t>SETOR XII</t>
  </si>
  <si>
    <t>TOTAL (SETORES)</t>
  </si>
  <si>
    <t>Setor I</t>
  </si>
  <si>
    <t>Setor III</t>
  </si>
  <si>
    <t>Setor II</t>
  </si>
  <si>
    <t>Setor IV</t>
  </si>
  <si>
    <t>Setor V</t>
  </si>
  <si>
    <t>Setor VI</t>
  </si>
  <si>
    <t>Setor VII</t>
  </si>
  <si>
    <t>Setor VIII</t>
  </si>
  <si>
    <t>Setor IX</t>
  </si>
  <si>
    <t>Setor X</t>
  </si>
  <si>
    <t>Setor XI</t>
  </si>
  <si>
    <t>Setor XII</t>
  </si>
  <si>
    <t>Totais</t>
  </si>
  <si>
    <t>Até 50</t>
  </si>
  <si>
    <t>50 --| 75</t>
  </si>
  <si>
    <t>75 --| 100</t>
  </si>
  <si>
    <t>100 --| 150</t>
  </si>
  <si>
    <t>150 --| 200</t>
  </si>
  <si>
    <t>200 --| 250</t>
  </si>
  <si>
    <t>250 --| 300</t>
  </si>
  <si>
    <t>acima de 300</t>
  </si>
  <si>
    <t>Área (m²)</t>
  </si>
  <si>
    <t>Notas:</t>
  </si>
  <si>
    <t>50-75</t>
  </si>
  <si>
    <t>75-100</t>
  </si>
  <si>
    <t>100-150</t>
  </si>
  <si>
    <t>150-200</t>
  </si>
  <si>
    <t>200-250</t>
  </si>
  <si>
    <t>250-300</t>
  </si>
  <si>
    <r>
      <t>(**)</t>
    </r>
    <r>
      <rPr>
        <b/>
        <sz val="10"/>
        <color indexed="22"/>
        <rFont val="Arial"/>
        <family val="2"/>
      </rPr>
      <t>SE</t>
    </r>
  </si>
  <si>
    <r>
      <t>(*)</t>
    </r>
    <r>
      <rPr>
        <b/>
        <sz val="10"/>
        <color indexed="22"/>
        <rFont val="Arial"/>
        <family val="2"/>
      </rPr>
      <t>ZR</t>
    </r>
  </si>
  <si>
    <t>Mais de          8 pav.</t>
  </si>
  <si>
    <t>Meses</t>
  </si>
  <si>
    <t xml:space="preserve">Área (m²) Residencial </t>
  </si>
  <si>
    <t>Área (m²) Não Residencial</t>
  </si>
  <si>
    <t>Total de Unidades</t>
  </si>
  <si>
    <t>Global</t>
  </si>
  <si>
    <t>Unid.</t>
  </si>
  <si>
    <t xml:space="preserve">Número de Unidades Residencial </t>
  </si>
  <si>
    <t xml:space="preserve">Número de Unidades Não Residencial </t>
  </si>
  <si>
    <t>Total Área (m²)</t>
  </si>
  <si>
    <t>_____________________________________</t>
  </si>
  <si>
    <t>Pavimentos</t>
  </si>
  <si>
    <t>ZONEAMENTOS DE BAIXA DENSIDADE</t>
  </si>
  <si>
    <t>ZONEAMENTOS DE ALTA DENSIDADE</t>
  </si>
  <si>
    <t xml:space="preserve">ZONEAMENTOS DE BAIXA DENSIDADE </t>
  </si>
  <si>
    <t>Residencial</t>
  </si>
  <si>
    <t>Não Residencial</t>
  </si>
  <si>
    <t>residencial</t>
  </si>
  <si>
    <t>comercial</t>
  </si>
  <si>
    <t>SubTotal (Setor XII)</t>
  </si>
  <si>
    <t>SETOR XIII</t>
  </si>
  <si>
    <t>SubTotal (Setor XIII)</t>
  </si>
  <si>
    <t>SETOR XIV</t>
  </si>
  <si>
    <t>SETOR XV</t>
  </si>
  <si>
    <t>SubTotal (Setor XIV)</t>
  </si>
  <si>
    <t>SubTotal (Setor XV)</t>
  </si>
  <si>
    <t>SETOR XVI</t>
  </si>
  <si>
    <t>SubTotal (Setor XVI)</t>
  </si>
  <si>
    <t>SETOR XVII</t>
  </si>
  <si>
    <t>SubTotal (Setor XVII)</t>
  </si>
  <si>
    <t>SETOR XVIII</t>
  </si>
  <si>
    <t>SubTotal (Setor XVIII)</t>
  </si>
  <si>
    <t>SETOR XIX</t>
  </si>
  <si>
    <t>SubTotal (Setor XIX)</t>
  </si>
  <si>
    <t>Setor XIII</t>
  </si>
  <si>
    <t>Setor XIV</t>
  </si>
  <si>
    <t>Setor XIX</t>
  </si>
  <si>
    <t>Setor        I</t>
  </si>
  <si>
    <t>Setor            II</t>
  </si>
  <si>
    <t>Setor          III</t>
  </si>
  <si>
    <t>Setor      IV</t>
  </si>
  <si>
    <t>Setor      VI</t>
  </si>
  <si>
    <t>Setor      VII</t>
  </si>
  <si>
    <t>Setor      VIII</t>
  </si>
  <si>
    <t>Setor      IX</t>
  </si>
  <si>
    <t>Setor      XI</t>
  </si>
  <si>
    <t>Setor      XII</t>
  </si>
  <si>
    <t>Setor      XIII</t>
  </si>
  <si>
    <t>Setor      XIV</t>
  </si>
  <si>
    <t>Setor      XV</t>
  </si>
  <si>
    <t>Setor      XVI</t>
  </si>
  <si>
    <t>Setor      XVII</t>
  </si>
  <si>
    <t>Setor      XVIII</t>
  </si>
  <si>
    <t>Setor    XIX</t>
  </si>
  <si>
    <t>total</t>
  </si>
  <si>
    <t>Alto da Rua XV</t>
  </si>
  <si>
    <t>Barreirinha</t>
  </si>
  <si>
    <t>Setor          V</t>
  </si>
  <si>
    <t>Setor          X</t>
  </si>
  <si>
    <t xml:space="preserve">SÉRIE TEMPORAL PARA CONCLUSÕES EM CURITIBA </t>
  </si>
  <si>
    <r>
      <t>(*)</t>
    </r>
    <r>
      <rPr>
        <sz val="9"/>
        <rFont val="Arial"/>
        <family val="2"/>
      </rPr>
      <t xml:space="preserve"> ZR (Zona Residencial) - agrupamento das correspondentes zonas: ZR-SF, ZR-B, ZR-M, ZR-AG, ZR-U, ZR-P,ZROC.</t>
    </r>
  </si>
  <si>
    <t>SEHIS</t>
  </si>
  <si>
    <t>PÓLO-LV</t>
  </si>
  <si>
    <t>ZT-LV</t>
  </si>
  <si>
    <t>Outros</t>
  </si>
  <si>
    <t>OUTROS ZONEAMENTOS</t>
  </si>
  <si>
    <t>ZT</t>
  </si>
  <si>
    <t>?</t>
  </si>
  <si>
    <t>NÚMERO DE UNIDADES RESIDENCIAIS CONCLUÍDAS  -  JANEIRO DE 2022</t>
  </si>
  <si>
    <t>Mais de  8 pav.</t>
  </si>
  <si>
    <t>Total em 2023</t>
  </si>
  <si>
    <t>Total em 2024</t>
  </si>
  <si>
    <t>Total em 2025</t>
  </si>
  <si>
    <t>UNIDADES RESIDENCIAIS CONCLUÍDAS - 2026</t>
  </si>
  <si>
    <t>NÚMERO DE UNIDADES RESIDENCIAIS CONCLUÍDAS POR ZONA - 2026</t>
  </si>
  <si>
    <t>SOMA DAS ÁREAS (m²) DAS UNIDADES RESIDENCIAIS CONCLUÍDAS POR ZONA - 2026</t>
  </si>
  <si>
    <t>UNIDADES NÃO RESIDENCIAIS CONCLUÍDAS - 2026</t>
  </si>
  <si>
    <t>NÚMERO DE UNIDADES NÃO RESIDENCIAIS CONCLUÍDAS POR ZONA - 2026</t>
  </si>
  <si>
    <t>SOMA DAS ÁREAS (m²) DAS UNIDADES NÃO RESIDENCIAIS CONCLUÍDAS POR ZONA - 2026</t>
  </si>
  <si>
    <t>Total em 2026</t>
  </si>
  <si>
    <t>NÚMERO DE UNIDADES NÃO RESIDENCIAIS CONCLUÍDAS  -  JANEIRO A MAIO DE 2026</t>
  </si>
  <si>
    <t>NÚMERO DE UNIDADES RESIDENCIAIS CONCLUÍDAS  -  JANEIRO A JUNHO DE 2026</t>
  </si>
  <si>
    <t>NÚMERO DE UNIDADES NÃO RESIDENCIAIS CONCLUÍDAS  - JANEIRO A JUNHO DE 2026</t>
  </si>
  <si>
    <t>SOMA DAS ÁREAS CONCLUÍDAS POR BAIRRO - JANEIRO A JUNHO 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</si>
</sst>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-416]mmmm\-yy;@"/>
  </numFmts>
  <fonts count="48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indexed="22"/>
      <name val="Arial"/>
      <family val="2"/>
    </font>
    <font>
      <b/>
      <vertAlign val="superscript"/>
      <sz val="10"/>
      <name val="Arial"/>
      <family val="2"/>
    </font>
    <font>
      <sz val="10"/>
      <color indexed="2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b/>
      <sz val="11"/>
      <color indexed="8"/>
      <name val="Arial"/>
      <family val="2"/>
    </font>
    <font>
      <b/>
      <sz val="10"/>
      <color indexed="22"/>
      <name val="Arial"/>
      <family val="2"/>
    </font>
    <font>
      <sz val="12"/>
      <color indexed="22"/>
      <name val="Times New Roman"/>
      <family val="1"/>
    </font>
    <font>
      <sz val="10"/>
      <color indexed="22"/>
      <name val="Times New Roman"/>
      <family val="1"/>
    </font>
    <font>
      <vertAlign val="superscript"/>
      <sz val="9"/>
      <name val="Arial"/>
      <family val="2"/>
    </font>
    <font>
      <sz val="10"/>
      <color indexed="10"/>
      <name val="Arial"/>
      <family val="2"/>
    </font>
    <font>
      <sz val="10"/>
      <color indexed="55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Courier New"/>
      <family val="3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47"/>
      </right>
      <top/>
      <bottom/>
      <diagonal/>
    </border>
    <border>
      <left style="thin">
        <color indexed="47"/>
      </left>
      <right style="thin">
        <color indexed="47"/>
      </right>
      <top/>
      <bottom/>
      <diagonal/>
    </border>
    <border>
      <left style="thin">
        <color indexed="47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2" fillId="0" borderId="25" applyNumberFormat="0" applyFill="0" applyAlignment="0" applyProtection="0"/>
    <xf numFmtId="0" fontId="33" fillId="0" borderId="26" applyNumberFormat="0" applyFill="0" applyAlignment="0" applyProtection="0"/>
    <xf numFmtId="0" fontId="34" fillId="0" borderId="27" applyNumberFormat="0" applyFill="0" applyAlignment="0" applyProtection="0"/>
    <xf numFmtId="0" fontId="34" fillId="0" borderId="0" applyNumberFormat="0" applyFill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/>
    <xf numFmtId="0" fontId="38" fillId="9" borderId="28" applyNumberFormat="0" applyAlignment="0" applyProtection="0"/>
    <xf numFmtId="0" fontId="39" fillId="10" borderId="29" applyNumberFormat="0" applyAlignment="0" applyProtection="0"/>
    <xf numFmtId="0" fontId="40" fillId="10" borderId="28" applyNumberFormat="0" applyAlignment="0" applyProtection="0"/>
    <xf numFmtId="0" fontId="41" fillId="0" borderId="30" applyNumberFormat="0" applyFill="0" applyAlignment="0" applyProtection="0"/>
    <xf numFmtId="0" fontId="42" fillId="11" borderId="31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33" applyNumberFormat="0" applyFill="0" applyAlignment="0" applyProtection="0"/>
    <xf numFmtId="0" fontId="4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5" fillId="36" borderId="0" applyNumberFormat="0" applyBorder="0" applyAlignment="0" applyProtection="0"/>
    <xf numFmtId="0" fontId="2" fillId="0" borderId="0"/>
    <xf numFmtId="0" fontId="2" fillId="12" borderId="32" applyNumberFormat="0" applyFont="0" applyAlignment="0" applyProtection="0"/>
    <xf numFmtId="0" fontId="46" fillId="0" borderId="0" applyNumberFormat="0" applyFill="0" applyBorder="0" applyAlignment="0" applyProtection="0"/>
    <xf numFmtId="0" fontId="3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2" borderId="32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1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0" applyNumberFormat="1" applyFont="1"/>
    <xf numFmtId="165" fontId="9" fillId="0" borderId="0" xfId="0" applyNumberFormat="1" applyFont="1"/>
    <xf numFmtId="0" fontId="9" fillId="0" borderId="0" xfId="0" applyFont="1"/>
    <xf numFmtId="3" fontId="0" fillId="0" borderId="0" xfId="0" applyNumberFormat="1"/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3" fontId="6" fillId="0" borderId="0" xfId="2" applyNumberFormat="1" applyFont="1" applyAlignment="1">
      <alignment vertical="center"/>
    </xf>
    <xf numFmtId="3" fontId="6" fillId="0" borderId="0" xfId="0" applyNumberFormat="1" applyFont="1"/>
    <xf numFmtId="3" fontId="11" fillId="0" borderId="0" xfId="2" applyNumberFormat="1" applyFont="1" applyAlignment="1">
      <alignment vertical="center"/>
    </xf>
    <xf numFmtId="3" fontId="5" fillId="0" borderId="0" xfId="2" applyNumberFormat="1" applyFont="1" applyAlignment="1">
      <alignment horizontal="right" vertical="center" indent="2"/>
    </xf>
    <xf numFmtId="164" fontId="5" fillId="0" borderId="0" xfId="2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3" fontId="6" fillId="0" borderId="0" xfId="2" applyNumberFormat="1" applyFont="1" applyAlignment="1">
      <alignment horizontal="right" vertical="center"/>
    </xf>
    <xf numFmtId="0" fontId="6" fillId="0" borderId="0" xfId="0" applyFont="1"/>
    <xf numFmtId="0" fontId="14" fillId="0" borderId="0" xfId="0" applyFont="1" applyAlignment="1">
      <alignment horizontal="center"/>
    </xf>
    <xf numFmtId="3" fontId="10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9" fontId="5" fillId="0" borderId="0" xfId="1" applyFont="1" applyAlignment="1">
      <alignment horizontal="center"/>
    </xf>
    <xf numFmtId="9" fontId="6" fillId="0" borderId="0" xfId="1" applyFont="1" applyAlignment="1">
      <alignment horizontal="center"/>
    </xf>
    <xf numFmtId="9" fontId="5" fillId="0" borderId="0" xfId="1" applyFont="1"/>
    <xf numFmtId="9" fontId="9" fillId="0" borderId="0" xfId="1" applyFont="1"/>
    <xf numFmtId="3" fontId="16" fillId="0" borderId="0" xfId="2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17" fillId="0" borderId="0" xfId="0" applyFont="1"/>
    <xf numFmtId="0" fontId="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0" fillId="0" borderId="2" xfId="0" applyFont="1" applyBorder="1" applyAlignment="1">
      <alignment horizontal="right"/>
    </xf>
    <xf numFmtId="3" fontId="10" fillId="0" borderId="3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right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3" xfId="2" applyNumberFormat="1" applyFont="1" applyFill="1" applyBorder="1" applyAlignment="1">
      <alignment horizontal="center" vertical="center"/>
    </xf>
    <xf numFmtId="3" fontId="6" fillId="0" borderId="4" xfId="2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right"/>
    </xf>
    <xf numFmtId="3" fontId="12" fillId="2" borderId="5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 vertical="center" wrapText="1"/>
    </xf>
    <xf numFmtId="3" fontId="12" fillId="2" borderId="7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right"/>
    </xf>
    <xf numFmtId="3" fontId="10" fillId="3" borderId="8" xfId="0" applyNumberFormat="1" applyFont="1" applyFill="1" applyBorder="1" applyAlignment="1">
      <alignment horizontal="center" vertical="center"/>
    </xf>
    <xf numFmtId="3" fontId="6" fillId="3" borderId="9" xfId="2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3" fontId="6" fillId="2" borderId="8" xfId="2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9" fillId="0" borderId="0" xfId="0" applyFont="1"/>
    <xf numFmtId="3" fontId="10" fillId="0" borderId="4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20" fillId="0" borderId="0" xfId="0" applyFont="1"/>
    <xf numFmtId="3" fontId="5" fillId="0" borderId="3" xfId="0" applyNumberFormat="1" applyFont="1" applyBorder="1" applyAlignment="1">
      <alignment horizontal="center" vertical="center"/>
    </xf>
    <xf numFmtId="3" fontId="6" fillId="2" borderId="9" xfId="2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3" fontId="9" fillId="0" borderId="0" xfId="0" applyNumberFormat="1" applyFont="1" applyAlignment="1">
      <alignment horizontal="left"/>
    </xf>
    <xf numFmtId="9" fontId="9" fillId="0" borderId="0" xfId="1" applyFont="1" applyAlignment="1">
      <alignment horizontal="left"/>
    </xf>
    <xf numFmtId="3" fontId="9" fillId="0" borderId="0" xfId="0" applyNumberFormat="1" applyFont="1"/>
    <xf numFmtId="3" fontId="6" fillId="0" borderId="8" xfId="2" applyNumberFormat="1" applyFont="1" applyBorder="1" applyAlignment="1">
      <alignment horizontal="center" vertical="center"/>
    </xf>
    <xf numFmtId="3" fontId="5" fillId="0" borderId="0" xfId="0" applyNumberFormat="1" applyFont="1"/>
    <xf numFmtId="0" fontId="21" fillId="0" borderId="17" xfId="0" applyFont="1" applyBorder="1"/>
    <xf numFmtId="3" fontId="16" fillId="0" borderId="0" xfId="2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 wrapText="1"/>
    </xf>
    <xf numFmtId="3" fontId="5" fillId="0" borderId="0" xfId="0" applyNumberFormat="1" applyFont="1" applyAlignment="1">
      <alignment horizontal="right"/>
    </xf>
    <xf numFmtId="3" fontId="21" fillId="0" borderId="17" xfId="0" applyNumberFormat="1" applyFont="1" applyBorder="1" applyAlignment="1">
      <alignment horizontal="right"/>
    </xf>
    <xf numFmtId="3" fontId="21" fillId="0" borderId="17" xfId="2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0" fontId="10" fillId="0" borderId="3" xfId="0" applyFont="1" applyBorder="1" applyAlignment="1">
      <alignment horizontal="center" vertical="center"/>
    </xf>
    <xf numFmtId="0" fontId="10" fillId="0" borderId="3" xfId="2" applyNumberFormat="1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3" xfId="2" applyNumberFormat="1" applyFont="1" applyBorder="1" applyAlignment="1">
      <alignment horizontal="center" vertical="center"/>
    </xf>
    <xf numFmtId="3" fontId="20" fillId="0" borderId="0" xfId="0" applyNumberFormat="1" applyFont="1"/>
    <xf numFmtId="3" fontId="5" fillId="0" borderId="0" xfId="0" applyNumberFormat="1" applyFont="1" applyAlignment="1">
      <alignment horizontal="left"/>
    </xf>
    <xf numFmtId="9" fontId="5" fillId="0" borderId="0" xfId="1" applyFont="1" applyAlignment="1">
      <alignment horizontal="left"/>
    </xf>
    <xf numFmtId="0" fontId="10" fillId="3" borderId="0" xfId="0" applyFont="1" applyFill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right"/>
    </xf>
    <xf numFmtId="3" fontId="6" fillId="0" borderId="9" xfId="2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indent="2"/>
    </xf>
    <xf numFmtId="0" fontId="23" fillId="0" borderId="0" xfId="0" applyFont="1"/>
    <xf numFmtId="165" fontId="24" fillId="0" borderId="0" xfId="2" applyNumberFormat="1" applyFont="1"/>
    <xf numFmtId="165" fontId="22" fillId="0" borderId="0" xfId="0" applyNumberFormat="1" applyFont="1"/>
    <xf numFmtId="0" fontId="24" fillId="0" borderId="0" xfId="0" applyFont="1"/>
    <xf numFmtId="0" fontId="24" fillId="0" borderId="0" xfId="0" applyFont="1" applyAlignment="1">
      <alignment horizontal="right"/>
    </xf>
    <xf numFmtId="9" fontId="24" fillId="0" borderId="0" xfId="1" applyFont="1"/>
    <xf numFmtId="3" fontId="24" fillId="0" borderId="0" xfId="0" applyNumberFormat="1" applyFont="1"/>
    <xf numFmtId="3" fontId="22" fillId="0" borderId="0" xfId="0" applyNumberFormat="1" applyFont="1"/>
    <xf numFmtId="0" fontId="22" fillId="0" borderId="0" xfId="0" applyFont="1"/>
    <xf numFmtId="3" fontId="11" fillId="0" borderId="3" xfId="0" applyNumberFormat="1" applyFont="1" applyBorder="1" applyAlignment="1">
      <alignment horizontal="left" indent="2"/>
    </xf>
    <xf numFmtId="0" fontId="1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3" fontId="24" fillId="0" borderId="0" xfId="0" applyNumberFormat="1" applyFont="1" applyAlignment="1">
      <alignment horizontal="center" vertical="center" wrapText="1"/>
    </xf>
    <xf numFmtId="165" fontId="24" fillId="0" borderId="0" xfId="0" applyNumberFormat="1" applyFont="1"/>
    <xf numFmtId="0" fontId="11" fillId="3" borderId="18" xfId="0" applyFont="1" applyFill="1" applyBorder="1"/>
    <xf numFmtId="0" fontId="11" fillId="3" borderId="2" xfId="0" applyFont="1" applyFill="1" applyBorder="1"/>
    <xf numFmtId="0" fontId="11" fillId="3" borderId="3" xfId="0" applyFont="1" applyFill="1" applyBorder="1"/>
    <xf numFmtId="0" fontId="11" fillId="3" borderId="4" xfId="0" applyFont="1" applyFill="1" applyBorder="1"/>
    <xf numFmtId="0" fontId="11" fillId="3" borderId="0" xfId="0" applyFont="1" applyFill="1"/>
    <xf numFmtId="3" fontId="10" fillId="0" borderId="0" xfId="0" applyNumberFormat="1" applyFont="1" applyAlignment="1">
      <alignment horizontal="left"/>
    </xf>
    <xf numFmtId="3" fontId="11" fillId="3" borderId="18" xfId="0" applyNumberFormat="1" applyFont="1" applyFill="1" applyBorder="1"/>
    <xf numFmtId="3" fontId="10" fillId="3" borderId="0" xfId="0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center" vertical="center"/>
    </xf>
    <xf numFmtId="3" fontId="11" fillId="2" borderId="2" xfId="0" applyNumberFormat="1" applyFont="1" applyFill="1" applyBorder="1" applyAlignment="1">
      <alignment horizontal="right"/>
    </xf>
    <xf numFmtId="3" fontId="10" fillId="0" borderId="0" xfId="0" applyNumberFormat="1" applyFont="1"/>
    <xf numFmtId="3" fontId="11" fillId="3" borderId="2" xfId="0" applyNumberFormat="1" applyFont="1" applyFill="1" applyBorder="1"/>
    <xf numFmtId="3" fontId="11" fillId="0" borderId="0" xfId="0" applyNumberFormat="1" applyFont="1" applyAlignment="1">
      <alignment horizontal="left"/>
    </xf>
    <xf numFmtId="0" fontId="11" fillId="0" borderId="3" xfId="0" applyFont="1" applyBorder="1" applyAlignment="1">
      <alignment horizontal="center" vertical="center"/>
    </xf>
    <xf numFmtId="0" fontId="5" fillId="3" borderId="8" xfId="2" applyNumberFormat="1" applyFont="1" applyFill="1" applyBorder="1" applyAlignment="1">
      <alignment horizontal="center" vertical="center"/>
    </xf>
    <xf numFmtId="3" fontId="10" fillId="0" borderId="3" xfId="0" applyNumberFormat="1" applyFont="1" applyBorder="1" applyAlignment="1">
      <alignment horizontal="right" vertical="center"/>
    </xf>
    <xf numFmtId="3" fontId="10" fillId="3" borderId="8" xfId="0" applyNumberFormat="1" applyFont="1" applyFill="1" applyBorder="1" applyAlignment="1">
      <alignment horizontal="right" vertical="center"/>
    </xf>
    <xf numFmtId="3" fontId="11" fillId="3" borderId="8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3" fontId="11" fillId="2" borderId="3" xfId="0" applyNumberFormat="1" applyFont="1" applyFill="1" applyBorder="1" applyAlignment="1">
      <alignment horizontal="right" vertical="center"/>
    </xf>
    <xf numFmtId="3" fontId="6" fillId="0" borderId="4" xfId="2" applyNumberFormat="1" applyFont="1" applyBorder="1" applyAlignment="1">
      <alignment horizontal="right" vertical="center"/>
    </xf>
    <xf numFmtId="3" fontId="11" fillId="3" borderId="3" xfId="0" applyNumberFormat="1" applyFont="1" applyFill="1" applyBorder="1" applyAlignment="1">
      <alignment horizontal="right"/>
    </xf>
    <xf numFmtId="3" fontId="11" fillId="3" borderId="4" xfId="0" applyNumberFormat="1" applyFont="1" applyFill="1" applyBorder="1" applyAlignment="1">
      <alignment horizontal="right"/>
    </xf>
    <xf numFmtId="3" fontId="11" fillId="2" borderId="3" xfId="2" applyNumberFormat="1" applyFont="1" applyFill="1" applyBorder="1" applyAlignment="1">
      <alignment horizontal="right" vertical="center"/>
    </xf>
    <xf numFmtId="3" fontId="11" fillId="3" borderId="0" xfId="0" applyNumberFormat="1" applyFont="1" applyFill="1" applyAlignment="1">
      <alignment horizontal="right"/>
    </xf>
    <xf numFmtId="3" fontId="5" fillId="3" borderId="8" xfId="0" applyNumberFormat="1" applyFont="1" applyFill="1" applyBorder="1" applyAlignment="1">
      <alignment horizontal="right" vertical="center"/>
    </xf>
    <xf numFmtId="3" fontId="6" fillId="3" borderId="9" xfId="2" applyNumberFormat="1" applyFont="1" applyFill="1" applyBorder="1" applyAlignment="1">
      <alignment horizontal="right" vertical="center"/>
    </xf>
    <xf numFmtId="3" fontId="6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 vertical="center"/>
    </xf>
    <xf numFmtId="3" fontId="11" fillId="0" borderId="0" xfId="2" applyNumberFormat="1" applyFont="1" applyAlignment="1">
      <alignment horizontal="right" vertical="center"/>
    </xf>
    <xf numFmtId="3" fontId="6" fillId="0" borderId="9" xfId="2" applyNumberFormat="1" applyFont="1" applyBorder="1" applyAlignment="1">
      <alignment horizontal="right" vertical="center"/>
    </xf>
    <xf numFmtId="3" fontId="6" fillId="0" borderId="9" xfId="2" applyNumberFormat="1" applyFont="1" applyBorder="1" applyAlignment="1">
      <alignment horizontal="right"/>
    </xf>
    <xf numFmtId="3" fontId="10" fillId="3" borderId="8" xfId="0" applyNumberFormat="1" applyFont="1" applyFill="1" applyBorder="1" applyAlignment="1">
      <alignment horizontal="right"/>
    </xf>
    <xf numFmtId="3" fontId="10" fillId="0" borderId="3" xfId="2" applyNumberFormat="1" applyFont="1" applyBorder="1" applyAlignment="1">
      <alignment horizontal="center" vertical="center"/>
    </xf>
    <xf numFmtId="0" fontId="25" fillId="0" borderId="0" xfId="0" applyFont="1" applyAlignment="1">
      <alignment wrapText="1"/>
    </xf>
    <xf numFmtId="4" fontId="13" fillId="0" borderId="0" xfId="0" applyNumberFormat="1" applyFont="1" applyAlignment="1">
      <alignment wrapText="1"/>
    </xf>
    <xf numFmtId="0" fontId="10" fillId="0" borderId="2" xfId="0" applyFont="1" applyBorder="1"/>
    <xf numFmtId="3" fontId="10" fillId="0" borderId="3" xfId="0" applyNumberFormat="1" applyFont="1" applyBorder="1" applyAlignment="1">
      <alignment horizontal="right"/>
    </xf>
    <xf numFmtId="0" fontId="11" fillId="0" borderId="4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3" fontId="11" fillId="3" borderId="9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2" borderId="4" xfId="2" applyNumberFormat="1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right" vertical="center"/>
    </xf>
    <xf numFmtId="3" fontId="11" fillId="3" borderId="9" xfId="0" applyNumberFormat="1" applyFont="1" applyFill="1" applyBorder="1" applyAlignment="1">
      <alignment horizontal="right" vertical="center"/>
    </xf>
    <xf numFmtId="3" fontId="11" fillId="2" borderId="4" xfId="0" applyNumberFormat="1" applyFont="1" applyFill="1" applyBorder="1" applyAlignment="1">
      <alignment horizontal="right" vertical="center"/>
    </xf>
    <xf numFmtId="3" fontId="11" fillId="2" borderId="4" xfId="2" applyNumberFormat="1" applyFont="1" applyFill="1" applyBorder="1" applyAlignment="1">
      <alignment horizontal="right" vertical="center"/>
    </xf>
    <xf numFmtId="3" fontId="10" fillId="3" borderId="24" xfId="0" applyNumberFormat="1" applyFont="1" applyFill="1" applyBorder="1" applyAlignment="1">
      <alignment horizontal="right" vertical="center"/>
    </xf>
    <xf numFmtId="3" fontId="5" fillId="0" borderId="9" xfId="2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center" vertical="center" wrapText="1"/>
    </xf>
    <xf numFmtId="166" fontId="29" fillId="0" borderId="0" xfId="0" applyNumberFormat="1" applyFont="1" applyAlignment="1">
      <alignment horizontal="right" vertical="center" wrapText="1"/>
    </xf>
    <xf numFmtId="3" fontId="27" fillId="0" borderId="0" xfId="0" applyNumberFormat="1" applyFont="1" applyAlignment="1">
      <alignment horizontal="center" vertical="center" wrapText="1"/>
    </xf>
    <xf numFmtId="166" fontId="29" fillId="3" borderId="0" xfId="0" applyNumberFormat="1" applyFont="1" applyFill="1" applyAlignment="1">
      <alignment horizontal="right" vertical="center" wrapText="1"/>
    </xf>
    <xf numFmtId="3" fontId="27" fillId="3" borderId="0" xfId="0" applyNumberFormat="1" applyFont="1" applyFill="1" applyAlignment="1">
      <alignment horizontal="center" vertical="center" wrapText="1"/>
    </xf>
    <xf numFmtId="3" fontId="29" fillId="2" borderId="16" xfId="0" applyNumberFormat="1" applyFont="1" applyFill="1" applyBorder="1" applyAlignment="1">
      <alignment horizontal="center" vertical="center" wrapText="1"/>
    </xf>
    <xf numFmtId="3" fontId="30" fillId="4" borderId="0" xfId="2" applyNumberFormat="1" applyFont="1" applyFill="1" applyAlignment="1">
      <alignment horizontal="right" vertical="center"/>
    </xf>
    <xf numFmtId="0" fontId="27" fillId="4" borderId="0" xfId="0" applyFont="1" applyFill="1"/>
    <xf numFmtId="3" fontId="27" fillId="4" borderId="0" xfId="0" applyNumberFormat="1" applyFont="1" applyFill="1"/>
    <xf numFmtId="0" fontId="27" fillId="4" borderId="0" xfId="0" applyFont="1" applyFill="1" applyAlignment="1">
      <alignment horizontal="center" vertical="center" wrapText="1"/>
    </xf>
    <xf numFmtId="0" fontId="26" fillId="5" borderId="0" xfId="0" applyFont="1" applyFill="1"/>
    <xf numFmtId="3" fontId="27" fillId="4" borderId="0" xfId="0" applyNumberFormat="1" applyFont="1" applyFill="1" applyAlignment="1">
      <alignment horizontal="center" vertical="center" wrapText="1"/>
    </xf>
    <xf numFmtId="0" fontId="0" fillId="4" borderId="0" xfId="0" applyFill="1"/>
    <xf numFmtId="3" fontId="11" fillId="4" borderId="4" xfId="2" applyNumberFormat="1" applyFont="1" applyFill="1" applyBorder="1" applyAlignment="1">
      <alignment horizontal="center" vertical="center"/>
    </xf>
    <xf numFmtId="3" fontId="29" fillId="4" borderId="0" xfId="0" applyNumberFormat="1" applyFont="1" applyFill="1" applyAlignment="1">
      <alignment horizontal="center" vertical="center" wrapText="1"/>
    </xf>
    <xf numFmtId="8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6" fontId="6" fillId="2" borderId="16" xfId="0" applyNumberFormat="1" applyFont="1" applyFill="1" applyBorder="1" applyAlignment="1">
      <alignment horizontal="right" vertical="center" wrapText="1"/>
    </xf>
    <xf numFmtId="0" fontId="11" fillId="0" borderId="3" xfId="0" applyFont="1" applyBorder="1" applyAlignment="1">
      <alignment horizontal="center"/>
    </xf>
    <xf numFmtId="3" fontId="6" fillId="4" borderId="0" xfId="2" applyNumberFormat="1" applyFont="1" applyFill="1" applyAlignment="1">
      <alignment vertical="center"/>
    </xf>
    <xf numFmtId="0" fontId="3" fillId="0" borderId="0" xfId="0" applyFont="1"/>
    <xf numFmtId="3" fontId="5" fillId="0" borderId="0" xfId="0" applyNumberFormat="1" applyFont="1" applyAlignment="1">
      <alignment horizontal="center" vertical="center" wrapText="1"/>
    </xf>
    <xf numFmtId="3" fontId="11" fillId="2" borderId="15" xfId="0" applyNumberFormat="1" applyFont="1" applyFill="1" applyBorder="1" applyAlignment="1">
      <alignment horizontal="center" vertical="center"/>
    </xf>
    <xf numFmtId="3" fontId="5" fillId="0" borderId="4" xfId="2" applyNumberFormat="1" applyFont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47" fillId="0" borderId="4" xfId="2" applyNumberFormat="1" applyFont="1" applyBorder="1" applyAlignment="1">
      <alignment horizontal="center" vertical="center"/>
    </xf>
    <xf numFmtId="3" fontId="47" fillId="3" borderId="9" xfId="2" applyNumberFormat="1" applyFont="1" applyFill="1" applyBorder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 wrapText="1"/>
    </xf>
    <xf numFmtId="3" fontId="6" fillId="0" borderId="3" xfId="2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left" indent="2"/>
    </xf>
    <xf numFmtId="0" fontId="11" fillId="3" borderId="3" xfId="0" applyFont="1" applyFill="1" applyBorder="1" applyAlignment="1">
      <alignment horizontal="left" indent="2"/>
    </xf>
    <xf numFmtId="0" fontId="11" fillId="3" borderId="4" xfId="0" applyFont="1" applyFill="1" applyBorder="1" applyAlignment="1">
      <alignment horizontal="left" indent="2"/>
    </xf>
    <xf numFmtId="0" fontId="15" fillId="2" borderId="16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3" fontId="6" fillId="2" borderId="21" xfId="2" applyNumberFormat="1" applyFont="1" applyFill="1" applyBorder="1" applyAlignment="1">
      <alignment horizontal="center" vertical="center"/>
    </xf>
    <xf numFmtId="3" fontId="6" fillId="2" borderId="22" xfId="2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0" fillId="0" borderId="20" xfId="0" applyBorder="1"/>
    <xf numFmtId="3" fontId="11" fillId="2" borderId="15" xfId="0" applyNumberFormat="1" applyFont="1" applyFill="1" applyBorder="1" applyAlignment="1">
      <alignment horizontal="center" vertical="center"/>
    </xf>
    <xf numFmtId="3" fontId="0" fillId="0" borderId="14" xfId="0" applyNumberFormat="1" applyBorder="1"/>
    <xf numFmtId="3" fontId="0" fillId="0" borderId="22" xfId="0" applyNumberFormat="1" applyBorder="1"/>
    <xf numFmtId="3" fontId="11" fillId="2" borderId="19" xfId="0" applyNumberFormat="1" applyFont="1" applyFill="1" applyBorder="1" applyAlignment="1">
      <alignment horizontal="center" vertical="center"/>
    </xf>
    <xf numFmtId="3" fontId="0" fillId="0" borderId="20" xfId="0" applyNumberFormat="1" applyBorder="1"/>
    <xf numFmtId="0" fontId="28" fillId="2" borderId="16" xfId="0" applyFont="1" applyFill="1" applyBorder="1" applyAlignment="1">
      <alignment horizontal="center" vertical="center" wrapText="1"/>
    </xf>
    <xf numFmtId="0" fontId="29" fillId="2" borderId="18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</cellXfs>
  <cellStyles count="65">
    <cellStyle name="20% - Ênfase1" xfId="19" builtinId="30" customBuiltin="1"/>
    <cellStyle name="20% - Ênfase1 2" xfId="49" xr:uid="{00000000-0005-0000-0000-000001000000}"/>
    <cellStyle name="20% - Ênfase2" xfId="23" builtinId="34" customBuiltin="1"/>
    <cellStyle name="20% - Ênfase2 2" xfId="51" xr:uid="{00000000-0005-0000-0000-000003000000}"/>
    <cellStyle name="20% - Ênfase3" xfId="27" builtinId="38" customBuiltin="1"/>
    <cellStyle name="20% - Ênfase3 2" xfId="53" xr:uid="{00000000-0005-0000-0000-000005000000}"/>
    <cellStyle name="20% - Ênfase4" xfId="31" builtinId="42" customBuiltin="1"/>
    <cellStyle name="20% - Ênfase4 2" xfId="55" xr:uid="{00000000-0005-0000-0000-000007000000}"/>
    <cellStyle name="20% - Ênfase5" xfId="35" builtinId="46" customBuiltin="1"/>
    <cellStyle name="20% - Ênfase5 2" xfId="57" xr:uid="{00000000-0005-0000-0000-000009000000}"/>
    <cellStyle name="20% - Ênfase6" xfId="39" builtinId="50" customBuiltin="1"/>
    <cellStyle name="20% - Ênfase6 2" xfId="59" xr:uid="{00000000-0005-0000-0000-00000B000000}"/>
    <cellStyle name="40% - Ênfase1" xfId="20" builtinId="31" customBuiltin="1"/>
    <cellStyle name="40% - Ênfase1 2" xfId="50" xr:uid="{00000000-0005-0000-0000-00000D000000}"/>
    <cellStyle name="40% - Ênfase2" xfId="24" builtinId="35" customBuiltin="1"/>
    <cellStyle name="40% - Ênfase2 2" xfId="52" xr:uid="{00000000-0005-0000-0000-00000F000000}"/>
    <cellStyle name="40% - Ênfase3" xfId="28" builtinId="39" customBuiltin="1"/>
    <cellStyle name="40% - Ênfase3 2" xfId="54" xr:uid="{00000000-0005-0000-0000-000011000000}"/>
    <cellStyle name="40% - Ênfase4" xfId="32" builtinId="43" customBuiltin="1"/>
    <cellStyle name="40% - Ênfase4 2" xfId="56" xr:uid="{00000000-0005-0000-0000-000013000000}"/>
    <cellStyle name="40% - Ênfase5" xfId="36" builtinId="47" customBuiltin="1"/>
    <cellStyle name="40% - Ênfase5 2" xfId="58" xr:uid="{00000000-0005-0000-0000-000015000000}"/>
    <cellStyle name="40% - Ênfase6" xfId="40" builtinId="51" customBuiltin="1"/>
    <cellStyle name="40% - Ênfase6 2" xfId="60" xr:uid="{00000000-0005-0000-0000-000017000000}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10" builtinId="20" customBuiltin="1"/>
    <cellStyle name="Neutro" xfId="9" builtinId="28" customBuiltin="1"/>
    <cellStyle name="Normal" xfId="0" builtinId="0"/>
    <cellStyle name="Normal 2" xfId="45" xr:uid="{00000000-0005-0000-0000-00002C000000}"/>
    <cellStyle name="Normal 2 2" xfId="63" xr:uid="{00000000-0005-0000-0000-00002D000000}"/>
    <cellStyle name="Normal 3" xfId="42" xr:uid="{00000000-0005-0000-0000-00002E000000}"/>
    <cellStyle name="Normal 3 2" xfId="61" xr:uid="{00000000-0005-0000-0000-00002F000000}"/>
    <cellStyle name="Nota 2" xfId="43" xr:uid="{00000000-0005-0000-0000-000030000000}"/>
    <cellStyle name="Nota 2 2" xfId="62" xr:uid="{00000000-0005-0000-0000-000031000000}"/>
    <cellStyle name="Porcentagem" xfId="1" builtinId="5"/>
    <cellStyle name="Porcentagem 2" xfId="46" xr:uid="{00000000-0005-0000-0000-000033000000}"/>
    <cellStyle name="Ruim" xfId="8" builtinId="27" customBuiltin="1"/>
    <cellStyle name="Saída" xfId="11" builtinId="21" customBuiltin="1"/>
    <cellStyle name="Texto de Aviso" xfId="15" builtinId="11" customBuiltin="1"/>
    <cellStyle name="Texto Explicativo" xfId="16" builtinId="53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ítulo 5" xfId="44" xr:uid="{00000000-0005-0000-0000-00003B000000}"/>
    <cellStyle name="Total" xfId="17" builtinId="25" customBuiltin="1"/>
    <cellStyle name="Vírgula" xfId="2" builtinId="3"/>
    <cellStyle name="Vírgula 2" xfId="47" xr:uid="{00000000-0005-0000-0000-00003E000000}"/>
    <cellStyle name="Vírgula 2 2" xfId="64" xr:uid="{00000000-0005-0000-0000-00003F000000}"/>
    <cellStyle name="Vírgula 3" xfId="48" xr:uid="{00000000-0005-0000-0000-00004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900"/>
              <a:t>CLASSIFICAÇÃO POR SETOR</a:t>
            </a:r>
          </a:p>
        </c:rich>
      </c:tx>
      <c:layout>
        <c:manualLayout>
          <c:xMode val="edge"/>
          <c:yMode val="edge"/>
          <c:x val="0.39289601458045592"/>
          <c:y val="1.56579127031086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902843681974477E-2"/>
          <c:y val="7.3402870691459843E-2"/>
          <c:w val="0.89216406958673056"/>
          <c:h val="0.725552050473200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1.0293268349063647E-2"/>
                  <c:y val="1.28986945058812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69-4D40-9979-02158C839F63}"/>
                </c:ext>
              </c:extLst>
            </c:dLbl>
            <c:dLbl>
              <c:idx val="1"/>
              <c:layout>
                <c:manualLayout>
                  <c:x val="7.7768196990924991E-3"/>
                  <c:y val="1.33774866926684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69-4D40-9979-02158C839F63}"/>
                </c:ext>
              </c:extLst>
            </c:dLbl>
            <c:dLbl>
              <c:idx val="2"/>
              <c:layout>
                <c:manualLayout>
                  <c:x val="4.9744395439474415E-3"/>
                  <c:y val="1.63236604770198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69-4D40-9979-02158C839F63}"/>
                </c:ext>
              </c:extLst>
            </c:dLbl>
            <c:dLbl>
              <c:idx val="3"/>
              <c:layout>
                <c:manualLayout>
                  <c:x val="3.7093158359284852E-3"/>
                  <c:y val="1.08154787632310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69-4D40-9979-02158C839F63}"/>
                </c:ext>
              </c:extLst>
            </c:dLbl>
            <c:dLbl>
              <c:idx val="4"/>
              <c:layout>
                <c:manualLayout>
                  <c:x val="3.0162209347035338E-3"/>
                  <c:y val="1.1461122564726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69-4D40-9979-02158C839F63}"/>
                </c:ext>
              </c:extLst>
            </c:dLbl>
            <c:dLbl>
              <c:idx val="5"/>
              <c:layout>
                <c:manualLayout>
                  <c:x val="2.7511338189253271E-3"/>
                  <c:y val="9.93897844788333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69-4D40-9979-02158C839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69-4D40-9979-02158C839F63}"/>
                </c:ext>
              </c:extLst>
            </c:dLbl>
            <c:dLbl>
              <c:idx val="7"/>
              <c:layout>
                <c:manualLayout>
                  <c:x val="-1.5597622388236101E-3"/>
                  <c:y val="1.27676627172392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69-4D40-9979-02158C839F63}"/>
                </c:ext>
              </c:extLst>
            </c:dLbl>
            <c:dLbl>
              <c:idx val="8"/>
              <c:layout>
                <c:manualLayout>
                  <c:x val="-2.9840659469901392E-3"/>
                  <c:y val="1.5318810700712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269-4D40-9979-02158C839F63}"/>
                </c:ext>
              </c:extLst>
            </c:dLbl>
            <c:dLbl>
              <c:idx val="9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16-4B20-A34C-419940B72979}"/>
                </c:ext>
              </c:extLst>
            </c:dLbl>
            <c:dLbl>
              <c:idx val="10"/>
              <c:layout>
                <c:manualLayout>
                  <c:x val="1.9193799662295822E-4"/>
                  <c:y val="1.01193239221254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269-4D40-9979-02158C839F63}"/>
                </c:ext>
              </c:extLst>
            </c:dLbl>
            <c:dLbl>
              <c:idx val="11"/>
              <c:layout>
                <c:manualLayout>
                  <c:x val="3.2614271453865595E-3"/>
                  <c:y val="2.11876568155409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69-4D40-9979-02158C839F63}"/>
                </c:ext>
              </c:extLst>
            </c:dLbl>
            <c:dLbl>
              <c:idx val="12"/>
              <c:layout>
                <c:manualLayout>
                  <c:x val="1.0760678188515681E-3"/>
                  <c:y val="1.92653675437718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269-4D40-9979-02158C839F63}"/>
                </c:ext>
              </c:extLst>
            </c:dLbl>
            <c:dLbl>
              <c:idx val="13"/>
              <c:layout>
                <c:manualLayout>
                  <c:x val="1.2160884261052158E-2"/>
                  <c:y val="1.92654247493804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269-4D40-9979-02158C839F63}"/>
                </c:ext>
              </c:extLst>
            </c:dLbl>
            <c:dLbl>
              <c:idx val="14"/>
              <c:layout>
                <c:manualLayout>
                  <c:x val="1.7498476813102182E-3"/>
                  <c:y val="-1.3775906901338338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269-4D40-9979-02158C839F63}"/>
                </c:ext>
              </c:extLst>
            </c:dLbl>
            <c:dLbl>
              <c:idx val="15"/>
              <c:layout>
                <c:manualLayout>
                  <c:x val="2.4110905609411692E-3"/>
                  <c:y val="1.92653675437718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269-4D40-9979-02158C839F63}"/>
                </c:ext>
              </c:extLst>
            </c:dLbl>
            <c:dLbl>
              <c:idx val="16"/>
              <c:layout>
                <c:manualLayout>
                  <c:x val="6.5522648667406388E-3"/>
                  <c:y val="1.88994710718963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269-4D40-9979-02158C839F6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269-4D40-9979-02158C839F63}"/>
                </c:ext>
              </c:extLst>
            </c:dLbl>
            <c:dLbl>
              <c:idx val="18"/>
              <c:layout>
                <c:manualLayout>
                  <c:x val="1.7435898703194736E-3"/>
                  <c:y val="7.40287155638963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269-4D40-9979-02158C839F6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'Folha 03 Resid-area '!$A$95:$A$113</c:f>
              <c:strCache>
                <c:ptCount val="19"/>
                <c:pt idx="0">
                  <c:v>Setor I</c:v>
                </c:pt>
                <c:pt idx="1">
                  <c:v>Setor II</c:v>
                </c:pt>
                <c:pt idx="2">
                  <c:v>Setor III</c:v>
                </c:pt>
                <c:pt idx="3">
                  <c:v>Setor IV</c:v>
                </c:pt>
                <c:pt idx="4">
                  <c:v>Setor V</c:v>
                </c:pt>
                <c:pt idx="5">
                  <c:v>Setor VI</c:v>
                </c:pt>
                <c:pt idx="6">
                  <c:v>Setor VII</c:v>
                </c:pt>
                <c:pt idx="7">
                  <c:v>Setor VIII</c:v>
                </c:pt>
                <c:pt idx="8">
                  <c:v>Setor IX</c:v>
                </c:pt>
                <c:pt idx="9">
                  <c:v>Setor X</c:v>
                </c:pt>
                <c:pt idx="10">
                  <c:v>Setor XI</c:v>
                </c:pt>
                <c:pt idx="11">
                  <c:v>Setor XII</c:v>
                </c:pt>
                <c:pt idx="12">
                  <c:v>Setor XIII</c:v>
                </c:pt>
                <c:pt idx="13">
                  <c:v>Setor XIV</c:v>
                </c:pt>
                <c:pt idx="14">
                  <c:v>Setor X</c:v>
                </c:pt>
                <c:pt idx="15">
                  <c:v>Setor XI</c:v>
                </c:pt>
                <c:pt idx="16">
                  <c:v>Setor XII</c:v>
                </c:pt>
                <c:pt idx="17">
                  <c:v>Setor XIII</c:v>
                </c:pt>
                <c:pt idx="18">
                  <c:v>Setor XIX</c:v>
                </c:pt>
              </c:strCache>
            </c:strRef>
          </c:cat>
          <c:val>
            <c:numRef>
              <c:f>'Folha 03 Resid-area '!$C$95:$C$113</c:f>
              <c:numCache>
                <c:formatCode>0%</c:formatCode>
                <c:ptCount val="19"/>
                <c:pt idx="0">
                  <c:v>5.717001629549158E-2</c:v>
                </c:pt>
                <c:pt idx="1">
                  <c:v>6.1515480717001629E-2</c:v>
                </c:pt>
                <c:pt idx="2">
                  <c:v>1.3443780554046714E-2</c:v>
                </c:pt>
                <c:pt idx="3">
                  <c:v>0.19527430744160781</c:v>
                </c:pt>
                <c:pt idx="4">
                  <c:v>2.9196089082020642E-2</c:v>
                </c:pt>
                <c:pt idx="5">
                  <c:v>2.1998913633894623E-2</c:v>
                </c:pt>
                <c:pt idx="6">
                  <c:v>5.2145573058120585E-2</c:v>
                </c:pt>
                <c:pt idx="7">
                  <c:v>1.3851167843563281E-2</c:v>
                </c:pt>
                <c:pt idx="8">
                  <c:v>2.9875067897881587E-2</c:v>
                </c:pt>
                <c:pt idx="9">
                  <c:v>7.0206409560021721E-2</c:v>
                </c:pt>
                <c:pt idx="10">
                  <c:v>7.7810972297664316E-2</c:v>
                </c:pt>
                <c:pt idx="11">
                  <c:v>3.5035306898424767E-2</c:v>
                </c:pt>
                <c:pt idx="12">
                  <c:v>2.8517110266159697E-2</c:v>
                </c:pt>
                <c:pt idx="13">
                  <c:v>7.360130363932646E-2</c:v>
                </c:pt>
                <c:pt idx="14">
                  <c:v>4.9158066268332426E-2</c:v>
                </c:pt>
                <c:pt idx="15">
                  <c:v>3.1640412819120042E-2</c:v>
                </c:pt>
                <c:pt idx="16">
                  <c:v>9.0439978272677898E-2</c:v>
                </c:pt>
                <c:pt idx="17">
                  <c:v>5.4318305268875606E-4</c:v>
                </c:pt>
                <c:pt idx="18">
                  <c:v>6.8576860401955445E-2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269-4D40-9979-02158C839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183244288"/>
        <c:axId val="137580480"/>
      </c:barChart>
      <c:catAx>
        <c:axId val="18324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3758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580480"/>
        <c:scaling>
          <c:orientation val="minMax"/>
          <c:max val="0.60000000000000009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3244288"/>
        <c:crosses val="autoZero"/>
        <c:crossBetween val="between"/>
        <c:majorUnit val="0.1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chemeClr val="tx1">
              <a:lumMod val="65000"/>
              <a:lumOff val="35000"/>
            </a:schemeClr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03" footer="0.4921259850000120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900"/>
              <a:t>CLASSIFICAÇÃO POR FAIXA DE ÁREA (m²)</a:t>
            </a:r>
          </a:p>
        </c:rich>
      </c:tx>
      <c:layout>
        <c:manualLayout>
          <c:xMode val="edge"/>
          <c:yMode val="edge"/>
          <c:x val="0.24136382377490168"/>
          <c:y val="4.75612554418721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602119755546397E-2"/>
          <c:y val="9.6303705737304499E-2"/>
          <c:w val="0.90359251645990002"/>
          <c:h val="0.743556839542720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2.8149529259670182E-3"/>
                  <c:y val="1.36323968967601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3B-4577-A035-991624E635BE}"/>
                </c:ext>
              </c:extLst>
            </c:dLbl>
            <c:dLbl>
              <c:idx val="1"/>
              <c:layout>
                <c:manualLayout>
                  <c:x val="-9.1537080819281138E-4"/>
                  <c:y val="1.46226441642939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3B-4577-A035-991624E635BE}"/>
                </c:ext>
              </c:extLst>
            </c:dLbl>
            <c:dLbl>
              <c:idx val="2"/>
              <c:layout>
                <c:manualLayout>
                  <c:x val="6.2550901748722231E-3"/>
                  <c:y val="1.26908268958493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B-4577-A035-991624E635BE}"/>
                </c:ext>
              </c:extLst>
            </c:dLbl>
            <c:dLbl>
              <c:idx val="3"/>
              <c:layout>
                <c:manualLayout>
                  <c:x val="9.5653288422424473E-3"/>
                  <c:y val="-3.4724787357434331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3B-4577-A035-991624E635BE}"/>
                </c:ext>
              </c:extLst>
            </c:dLbl>
            <c:dLbl>
              <c:idx val="4"/>
              <c:layout>
                <c:manualLayout>
                  <c:x val="3.4589204969972492E-3"/>
                  <c:y val="1.65166270104087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3B-4577-A035-991624E635BE}"/>
                </c:ext>
              </c:extLst>
            </c:dLbl>
            <c:dLbl>
              <c:idx val="5"/>
              <c:layout>
                <c:manualLayout>
                  <c:x val="2.3973587079448772E-3"/>
                  <c:y val="1.81787556929215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3B-4577-A035-991624E635BE}"/>
                </c:ext>
              </c:extLst>
            </c:dLbl>
            <c:dLbl>
              <c:idx val="6"/>
              <c:layout>
                <c:manualLayout>
                  <c:x val="6.3378413881297357E-4"/>
                  <c:y val="1.7064838504019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3B-4577-A035-991624E635BE}"/>
                </c:ext>
              </c:extLst>
            </c:dLbl>
            <c:dLbl>
              <c:idx val="7"/>
              <c:layout>
                <c:manualLayout>
                  <c:x val="7.0797550460054703E-3"/>
                  <c:y val="1.88476282735952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3B-4577-A035-991624E635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'Folha 03 Resid-area '!$M$95:$M$102</c:f>
              <c:strCache>
                <c:ptCount val="8"/>
                <c:pt idx="0">
                  <c:v>Até 50</c:v>
                </c:pt>
                <c:pt idx="1">
                  <c:v>50 --| 75</c:v>
                </c:pt>
                <c:pt idx="2">
                  <c:v>75 --| 100</c:v>
                </c:pt>
                <c:pt idx="3">
                  <c:v>100 --| 150</c:v>
                </c:pt>
                <c:pt idx="4">
                  <c:v>150 --| 200</c:v>
                </c:pt>
                <c:pt idx="5">
                  <c:v>200 --| 250</c:v>
                </c:pt>
                <c:pt idx="6">
                  <c:v>250 --| 300</c:v>
                </c:pt>
                <c:pt idx="7">
                  <c:v>acima de 300</c:v>
                </c:pt>
              </c:strCache>
            </c:strRef>
          </c:cat>
          <c:val>
            <c:numRef>
              <c:f>'Folha 03 Resid-area '!$O$95:$O$102</c:f>
              <c:numCache>
                <c:formatCode>0%</c:formatCode>
                <c:ptCount val="8"/>
                <c:pt idx="0">
                  <c:v>0.38253666485605647</c:v>
                </c:pt>
                <c:pt idx="1">
                  <c:v>0.23560564910374795</c:v>
                </c:pt>
                <c:pt idx="2">
                  <c:v>8.2020640956002172E-2</c:v>
                </c:pt>
                <c:pt idx="3">
                  <c:v>0.1534492123845736</c:v>
                </c:pt>
                <c:pt idx="4">
                  <c:v>8.8674633351439436E-2</c:v>
                </c:pt>
                <c:pt idx="5">
                  <c:v>2.3356871265616513E-2</c:v>
                </c:pt>
                <c:pt idx="6">
                  <c:v>1.2900597501357958E-2</c:v>
                </c:pt>
                <c:pt idx="7">
                  <c:v>2.1455730581205867E-2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3B-4577-A035-991624E63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6"/>
        <c:axId val="181211136"/>
        <c:axId val="137582208"/>
      </c:barChart>
      <c:catAx>
        <c:axId val="18121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 pitchFamily="34" charset="0"/>
                <a:ea typeface="Arial"/>
                <a:cs typeface="Arial" pitchFamily="34" charset="0"/>
              </a:defRPr>
            </a:pPr>
            <a:endParaRPr lang="pt-BR"/>
          </a:p>
        </c:txPr>
        <c:crossAx val="137582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582208"/>
        <c:scaling>
          <c:orientation val="minMax"/>
          <c:max val="0.9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211136"/>
        <c:crosses val="autoZero"/>
        <c:crossBetween val="between"/>
        <c:majorUnit val="0.1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chemeClr val="tx1">
              <a:lumMod val="65000"/>
              <a:lumOff val="35000"/>
            </a:schemeClr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03" footer="0.4921259850000120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DE UNIDADES POR PAVIMENTO</a:t>
            </a:r>
          </a:p>
        </c:rich>
      </c:tx>
      <c:layout>
        <c:manualLayout>
          <c:xMode val="edge"/>
          <c:yMode val="edge"/>
          <c:x val="0.13128379583620009"/>
          <c:y val="2.5774473358116481E-3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9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524795414743073"/>
          <c:y val="8.9216771257716529E-2"/>
          <c:w val="0.57935768189778658"/>
          <c:h val="0.90832703976510043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844-4E3E-B200-73DCF30CA97E}"/>
              </c:ext>
            </c:extLst>
          </c:dPt>
          <c:dPt>
            <c:idx val="1"/>
            <c:bubble3D val="0"/>
            <c:spPr>
              <a:solidFill>
                <a:srgbClr val="CC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844-4E3E-B200-73DCF30CA9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844-4E3E-B200-73DCF30CA97E}"/>
              </c:ext>
            </c:extLst>
          </c:dPt>
          <c:dLbls>
            <c:dLbl>
              <c:idx val="0"/>
              <c:layout>
                <c:manualLayout>
                  <c:x val="-0.13699327583828003"/>
                  <c:y val="-0.19321147577410028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00" b="0" i="0" u="none" strike="noStrike" baseline="0">
                      <a:solidFill>
                        <a:schemeClr val="bg1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44-4E3E-B200-73DCF30CA97E}"/>
                </c:ext>
              </c:extLst>
            </c:dLbl>
            <c:dLbl>
              <c:idx val="1"/>
              <c:layout>
                <c:manualLayout>
                  <c:x val="0.20234039725860709"/>
                  <c:y val="7.8441390262492E-2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 w="6350"/>
                </a:sp3d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44-4E3E-B200-73DCF30CA97E}"/>
                </c:ext>
              </c:extLst>
            </c:dLbl>
            <c:dLbl>
              <c:idx val="2"/>
              <c:layout>
                <c:manualLayout>
                  <c:x val="-0.11348976712619603"/>
                  <c:y val="0.23103425481774328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44-4E3E-B200-73DCF30CA97E}"/>
                </c:ext>
              </c:extLst>
            </c:dLbl>
            <c:numFmt formatCode="0%" sourceLinked="0"/>
            <c:spPr>
              <a:noFill/>
              <a:ln w="25400">
                <a:noFill/>
              </a:ln>
              <a:scene3d>
                <a:camera prst="orthographicFront"/>
                <a:lightRig rig="threePt" dir="t"/>
              </a:scene3d>
              <a:sp3d>
                <a:bevelT/>
              </a:sp3d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'Folha 04 Resid-Pav '!$B$73:$D$73</c:f>
              <c:strCache>
                <c:ptCount val="3"/>
                <c:pt idx="0">
                  <c:v>Até 3 pav.</c:v>
                </c:pt>
                <c:pt idx="1">
                  <c:v>De 4 à 8 pav.</c:v>
                </c:pt>
                <c:pt idx="2">
                  <c:v>Mais de          8 pav.</c:v>
                </c:pt>
              </c:strCache>
            </c:strRef>
          </c:cat>
          <c:val>
            <c:numRef>
              <c:f>'Folha 04 Resid-Pav '!$B$86:$D$86</c:f>
              <c:numCache>
                <c:formatCode>#,##0</c:formatCode>
                <c:ptCount val="3"/>
                <c:pt idx="0">
                  <c:v>2599.0000000000009</c:v>
                </c:pt>
                <c:pt idx="1">
                  <c:v>2542</c:v>
                </c:pt>
                <c:pt idx="2">
                  <c:v>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44-4E3E-B200-73DCF30CA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  <a:scene3d>
      <a:camera prst="orthographicFront"/>
      <a:lightRig rig="threePt" dir="t"/>
    </a:scene3d>
    <a:sp3d/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03" footer="0.4921259850000120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Alvarás Concluídos - 1997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EA1-4648-BA3C-CB81497AD91D}"/>
            </c:ext>
          </c:extLst>
        </c:ser>
        <c:ser>
          <c:idx val="1"/>
          <c:order val="1"/>
          <c:tx>
            <c:v>Alvarás Concluídos - 1998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EA1-4648-BA3C-CB81497AD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04640"/>
        <c:axId val="138987200"/>
      </c:lineChart>
      <c:catAx>
        <c:axId val="13310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38987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987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33104640"/>
        <c:crosses val="autoZero"/>
        <c:crossBetween val="between"/>
      </c:valAx>
      <c:spPr>
        <a:gradFill rotWithShape="0">
          <a:gsLst>
            <a:gs pos="0">
              <a:srgbClr val="FFFFC0"/>
            </a:gs>
            <a:gs pos="100000">
              <a:srgbClr val="FFFFC0">
                <a:gamma/>
                <a:tint val="0"/>
                <a:invGamma/>
              </a:srgbClr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192" footer="0.4921259850000119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DAS UNIDADES POR ZONA</a:t>
            </a:r>
          </a:p>
        </c:rich>
      </c:tx>
      <c:layout>
        <c:manualLayout>
          <c:xMode val="edge"/>
          <c:yMode val="edge"/>
          <c:x val="0.22201122841707566"/>
          <c:y val="2.980066680854082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863461065326886E-2"/>
          <c:y val="9.1216216216216187E-2"/>
          <c:w val="0.95340012762656356"/>
          <c:h val="0.793918918918918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3.8995218021938174E-3"/>
                  <c:y val="-1.29911223224508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B3-4602-BD46-2DC872D9C9DF}"/>
                </c:ext>
              </c:extLst>
            </c:dLbl>
            <c:dLbl>
              <c:idx val="1"/>
              <c:layout>
                <c:manualLayout>
                  <c:x val="-2.3628958541081196E-3"/>
                  <c:y val="1.34293219239531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B3-4602-BD46-2DC872D9C9DF}"/>
                </c:ext>
              </c:extLst>
            </c:dLbl>
            <c:dLbl>
              <c:idx val="2"/>
              <c:layout>
                <c:manualLayout>
                  <c:x val="5.0656321742109933E-3"/>
                  <c:y val="-3.91835888934935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B3-4602-BD46-2DC872D9C9DF}"/>
                </c:ext>
              </c:extLst>
            </c:dLbl>
            <c:dLbl>
              <c:idx val="3"/>
              <c:layout>
                <c:manualLayout>
                  <c:x val="9.0485997794094875E-3"/>
                  <c:y val="-3.25323607765952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B3-4602-BD46-2DC872D9C9DF}"/>
                </c:ext>
              </c:extLst>
            </c:dLbl>
            <c:dLbl>
              <c:idx val="4"/>
              <c:layout>
                <c:manualLayout>
                  <c:x val="2.9559912029702491E-4"/>
                  <c:y val="1.03702168807844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B3-4602-BD46-2DC872D9C9DF}"/>
                </c:ext>
              </c:extLst>
            </c:dLbl>
            <c:dLbl>
              <c:idx val="6"/>
              <c:layout>
                <c:manualLayout>
                  <c:x val="-2.6796096989697492E-3"/>
                  <c:y val="9.74872184722925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B3-4602-BD46-2DC872D9C9D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'Folha 05 Resid-zona '!$B$82:$B$93</c:f>
              <c:strCache>
                <c:ptCount val="12"/>
                <c:pt idx="0">
                  <c:v>ZR-1</c:v>
                </c:pt>
                <c:pt idx="1">
                  <c:v>ZR-2</c:v>
                </c:pt>
                <c:pt idx="2">
                  <c:v>ZR-3</c:v>
                </c:pt>
                <c:pt idx="3">
                  <c:v>(*)ZR</c:v>
                </c:pt>
                <c:pt idx="4">
                  <c:v>CONEC</c:v>
                </c:pt>
                <c:pt idx="5">
                  <c:v>ZR-4</c:v>
                </c:pt>
                <c:pt idx="6">
                  <c:v>(**)SE</c:v>
                </c:pt>
                <c:pt idx="7">
                  <c:v>ZC</c:v>
                </c:pt>
                <c:pt idx="8">
                  <c:v>SEHIS</c:v>
                </c:pt>
                <c:pt idx="9">
                  <c:v>PÓLO-LV</c:v>
                </c:pt>
                <c:pt idx="10">
                  <c:v>ZT</c:v>
                </c:pt>
                <c:pt idx="11">
                  <c:v>Outros</c:v>
                </c:pt>
              </c:strCache>
            </c:strRef>
          </c:cat>
          <c:val>
            <c:numRef>
              <c:f>'Folha 05 Resid-zona '!$D$82:$D$93</c:f>
              <c:numCache>
                <c:formatCode>0%</c:formatCode>
                <c:ptCount val="12"/>
                <c:pt idx="0">
                  <c:v>3.2590983161325366E-3</c:v>
                </c:pt>
                <c:pt idx="1">
                  <c:v>0.13959804454101035</c:v>
                </c:pt>
                <c:pt idx="2">
                  <c:v>0.13022813688212928</c:v>
                </c:pt>
                <c:pt idx="3">
                  <c:v>4.7800108636610536E-2</c:v>
                </c:pt>
                <c:pt idx="4">
                  <c:v>9.0304182509505698E-2</c:v>
                </c:pt>
                <c:pt idx="5">
                  <c:v>0</c:v>
                </c:pt>
                <c:pt idx="6">
                  <c:v>0</c:v>
                </c:pt>
                <c:pt idx="7">
                  <c:v>3.5850081477457905E-2</c:v>
                </c:pt>
                <c:pt idx="8">
                  <c:v>9.3020097772949506E-2</c:v>
                </c:pt>
                <c:pt idx="9">
                  <c:v>7.9712112982074965E-2</c:v>
                </c:pt>
                <c:pt idx="10">
                  <c:v>6.2058663769690388E-2</c:v>
                </c:pt>
                <c:pt idx="11">
                  <c:v>0.31816947311243887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B3-4602-BD46-2DC872D9C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133106176"/>
        <c:axId val="138988928"/>
      </c:barChart>
      <c:catAx>
        <c:axId val="13310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38988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988928"/>
        <c:scaling>
          <c:orientation val="minMax"/>
          <c:max val="0.9"/>
          <c:min val="0"/>
        </c:scaling>
        <c:delete val="1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133106176"/>
        <c:crosses val="autoZero"/>
        <c:crossBetween val="between"/>
        <c:majorUnit val="0.1"/>
      </c:valAx>
      <c:spPr>
        <a:gradFill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9525">
          <a:solidFill>
            <a:schemeClr val="bg1">
              <a:lumMod val="50000"/>
            </a:schemeClr>
          </a:solidFill>
        </a:ln>
        <a:effectLst>
          <a:innerShdw blurRad="63500" dist="50800" dir="5400000">
            <a:schemeClr val="bg1">
              <a:lumMod val="75000"/>
              <a:alpha val="50000"/>
            </a:schemeClr>
          </a:innerShdw>
        </a:effectLst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DAS ÁREAS POR ZONA</a:t>
            </a:r>
          </a:p>
        </c:rich>
      </c:tx>
      <c:layout>
        <c:manualLayout>
          <c:xMode val="edge"/>
          <c:yMode val="edge"/>
          <c:x val="0.2590094511728635"/>
          <c:y val="3.0821737446753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2468094444352593E-3"/>
          <c:y val="9.4936903052544347E-2"/>
          <c:w val="0.97868503969751031"/>
          <c:h val="0.784247886758693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1.1470076893025601E-3"/>
                  <c:y val="-2.45977319104807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E1-48A5-803E-258FB82FB151}"/>
                </c:ext>
              </c:extLst>
            </c:dLbl>
            <c:dLbl>
              <c:idx val="1"/>
              <c:layout>
                <c:manualLayout>
                  <c:x val="2.5282341135337802E-5"/>
                  <c:y val="1.40200046833706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E1-48A5-803E-258FB82FB151}"/>
                </c:ext>
              </c:extLst>
            </c:dLbl>
            <c:dLbl>
              <c:idx val="2"/>
              <c:layout>
                <c:manualLayout>
                  <c:x val="5.0867800652100734E-3"/>
                  <c:y val="-3.80323152577531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E1-48A5-803E-258FB82FB151}"/>
                </c:ext>
              </c:extLst>
            </c:dLbl>
            <c:dLbl>
              <c:idx val="3"/>
              <c:layout>
                <c:manualLayout>
                  <c:x val="1.6584860979705325E-3"/>
                  <c:y val="1.43388084166861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E1-48A5-803E-258FB82FB151}"/>
                </c:ext>
              </c:extLst>
            </c:dLbl>
            <c:dLbl>
              <c:idx val="5"/>
              <c:layout>
                <c:manualLayout>
                  <c:x val="2.7522309303216392E-3"/>
                  <c:y val="1.68387247850668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E1-48A5-803E-258FB82FB151}"/>
                </c:ext>
              </c:extLst>
            </c:dLbl>
            <c:dLbl>
              <c:idx val="6"/>
              <c:layout>
                <c:manualLayout>
                  <c:x val="-2.0279505513814645E-3"/>
                  <c:y val="1.05868439826148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E1-48A5-803E-258FB82FB151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'Folha 05 Resid-zona '!$E$82:$E$93</c:f>
              <c:strCache>
                <c:ptCount val="12"/>
                <c:pt idx="0">
                  <c:v>ZR-1</c:v>
                </c:pt>
                <c:pt idx="1">
                  <c:v>ZR-2</c:v>
                </c:pt>
                <c:pt idx="2">
                  <c:v>ZR-3</c:v>
                </c:pt>
                <c:pt idx="3">
                  <c:v>(*)ZR</c:v>
                </c:pt>
                <c:pt idx="4">
                  <c:v>CONEC</c:v>
                </c:pt>
                <c:pt idx="5">
                  <c:v>ZR-4</c:v>
                </c:pt>
                <c:pt idx="6">
                  <c:v>(**)SE</c:v>
                </c:pt>
                <c:pt idx="7">
                  <c:v>ZC</c:v>
                </c:pt>
                <c:pt idx="8">
                  <c:v>SEHIS</c:v>
                </c:pt>
                <c:pt idx="9">
                  <c:v>PÓLO-LV</c:v>
                </c:pt>
                <c:pt idx="10">
                  <c:v>ZT</c:v>
                </c:pt>
                <c:pt idx="11">
                  <c:v>Outros</c:v>
                </c:pt>
              </c:strCache>
            </c:strRef>
          </c:cat>
          <c:val>
            <c:numRef>
              <c:f>'Folha 05 Resid-zona '!$G$82:$G$93</c:f>
              <c:numCache>
                <c:formatCode>0%</c:formatCode>
                <c:ptCount val="12"/>
                <c:pt idx="0">
                  <c:v>1.5649780805418671E-2</c:v>
                </c:pt>
                <c:pt idx="1">
                  <c:v>0.17735331446813749</c:v>
                </c:pt>
                <c:pt idx="2">
                  <c:v>0.21310121479773872</c:v>
                </c:pt>
                <c:pt idx="3">
                  <c:v>2.9530868554481352E-2</c:v>
                </c:pt>
                <c:pt idx="4">
                  <c:v>0.1196840781200422</c:v>
                </c:pt>
                <c:pt idx="5">
                  <c:v>0</c:v>
                </c:pt>
                <c:pt idx="6">
                  <c:v>0</c:v>
                </c:pt>
                <c:pt idx="7">
                  <c:v>2.223126809083786E-2</c:v>
                </c:pt>
                <c:pt idx="8">
                  <c:v>6.9102192593360048E-2</c:v>
                </c:pt>
                <c:pt idx="9">
                  <c:v>3.9485443148631415E-2</c:v>
                </c:pt>
                <c:pt idx="10">
                  <c:v>6.173111915508097E-2</c:v>
                </c:pt>
                <c:pt idx="11">
                  <c:v>0.25213072026627131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E1-48A5-803E-258FB82FB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133113344"/>
        <c:axId val="138990656"/>
      </c:barChart>
      <c:catAx>
        <c:axId val="13311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38990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990656"/>
        <c:scaling>
          <c:orientation val="minMax"/>
          <c:max val="0.9"/>
          <c:min val="0"/>
        </c:scaling>
        <c:delete val="1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133113344"/>
        <c:crosses val="autoZero"/>
        <c:crossBetween val="between"/>
        <c:majorUnit val="0.1"/>
      </c:valAx>
      <c:spPr>
        <a:gradFill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9525"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192" footer="0.4921259850000119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900"/>
              <a:t>CLASSIFICAÇÃO POR SETOR</a:t>
            </a:r>
          </a:p>
        </c:rich>
      </c:tx>
      <c:layout>
        <c:manualLayout>
          <c:xMode val="edge"/>
          <c:yMode val="edge"/>
          <c:x val="0.39771797756049726"/>
          <c:y val="1.95109039132148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94335254989037E-2"/>
          <c:y val="8.4962141195519564E-2"/>
          <c:w val="0.93005659521101758"/>
          <c:h val="0.725552050473200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'Folha 06 Resid-area '!$A$95:$A$113</c:f>
              <c:strCache>
                <c:ptCount val="19"/>
                <c:pt idx="0">
                  <c:v>Setor I</c:v>
                </c:pt>
                <c:pt idx="1">
                  <c:v>Setor II</c:v>
                </c:pt>
                <c:pt idx="2">
                  <c:v>Setor III</c:v>
                </c:pt>
                <c:pt idx="3">
                  <c:v>Setor IV</c:v>
                </c:pt>
                <c:pt idx="4">
                  <c:v>Setor V</c:v>
                </c:pt>
                <c:pt idx="5">
                  <c:v>Setor VI</c:v>
                </c:pt>
                <c:pt idx="6">
                  <c:v>Setor VII</c:v>
                </c:pt>
                <c:pt idx="7">
                  <c:v>Setor VIII</c:v>
                </c:pt>
                <c:pt idx="8">
                  <c:v>Setor IX</c:v>
                </c:pt>
                <c:pt idx="9">
                  <c:v>Setor X</c:v>
                </c:pt>
                <c:pt idx="10">
                  <c:v>Setor XI</c:v>
                </c:pt>
                <c:pt idx="11">
                  <c:v>Setor XII</c:v>
                </c:pt>
                <c:pt idx="12">
                  <c:v>Setor XIII</c:v>
                </c:pt>
                <c:pt idx="13">
                  <c:v>Setor XIV</c:v>
                </c:pt>
                <c:pt idx="14">
                  <c:v>Setor X</c:v>
                </c:pt>
                <c:pt idx="15">
                  <c:v>Setor XI</c:v>
                </c:pt>
                <c:pt idx="16">
                  <c:v>Setor XII</c:v>
                </c:pt>
                <c:pt idx="17">
                  <c:v>Setor XIII</c:v>
                </c:pt>
                <c:pt idx="18">
                  <c:v>Setor XIX</c:v>
                </c:pt>
              </c:strCache>
            </c:strRef>
          </c:cat>
          <c:val>
            <c:numRef>
              <c:f>'Folha 06 Resid-area '!$C$95:$C$113</c:f>
              <c:numCache>
                <c:formatCode>0%</c:formatCode>
                <c:ptCount val="19"/>
                <c:pt idx="0">
                  <c:v>0.2360248447204969</c:v>
                </c:pt>
                <c:pt idx="1">
                  <c:v>8.6956521739130432E-2</c:v>
                </c:pt>
                <c:pt idx="2">
                  <c:v>0.38260869565217392</c:v>
                </c:pt>
                <c:pt idx="3">
                  <c:v>3.354037267080745E-2</c:v>
                </c:pt>
                <c:pt idx="4">
                  <c:v>4.9689440993788822E-3</c:v>
                </c:pt>
                <c:pt idx="5">
                  <c:v>8.6956521739130436E-3</c:v>
                </c:pt>
                <c:pt idx="6">
                  <c:v>3.354037267080745E-2</c:v>
                </c:pt>
                <c:pt idx="7">
                  <c:v>1.1180124223602485E-2</c:v>
                </c:pt>
                <c:pt idx="8">
                  <c:v>6.2111801242236021E-3</c:v>
                </c:pt>
                <c:pt idx="9">
                  <c:v>2.4844720496894411E-3</c:v>
                </c:pt>
                <c:pt idx="10">
                  <c:v>2.732919254658385E-2</c:v>
                </c:pt>
                <c:pt idx="11">
                  <c:v>1.1180124223602485E-2</c:v>
                </c:pt>
                <c:pt idx="12">
                  <c:v>6.2111801242236021E-3</c:v>
                </c:pt>
                <c:pt idx="13">
                  <c:v>7.4534161490683228E-3</c:v>
                </c:pt>
                <c:pt idx="14">
                  <c:v>1.9875776397515529E-2</c:v>
                </c:pt>
                <c:pt idx="15">
                  <c:v>3.8509316770186333E-2</c:v>
                </c:pt>
                <c:pt idx="16">
                  <c:v>4.9689440993788817E-2</c:v>
                </c:pt>
                <c:pt idx="17">
                  <c:v>1.2422360248447205E-3</c:v>
                </c:pt>
                <c:pt idx="18">
                  <c:v>3.2298136645962733E-2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D-4E64-BCCF-262159B8E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38295296"/>
        <c:axId val="138992960"/>
      </c:barChart>
      <c:catAx>
        <c:axId val="13829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38992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99296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38295296"/>
        <c:crosses val="autoZero"/>
        <c:crossBetween val="between"/>
        <c:majorUnit val="0.1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26" footer="0.49212598500001226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900"/>
              <a:t>CLASSIFICAÇÃO POR FAIXA DE ÁREA (m²)</a:t>
            </a:r>
          </a:p>
        </c:rich>
      </c:tx>
      <c:layout>
        <c:manualLayout>
          <c:xMode val="edge"/>
          <c:yMode val="edge"/>
          <c:x val="0.2388638489154373"/>
          <c:y val="2.360821663759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1708450415679E-2"/>
          <c:y val="0.10424574426534725"/>
          <c:w val="0.90359251645990002"/>
          <c:h val="0.743556839542720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33CC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'Folha 06 Resid-area '!$M$95:$M$102</c:f>
              <c:strCache>
                <c:ptCount val="8"/>
                <c:pt idx="0">
                  <c:v>Até 50</c:v>
                </c:pt>
                <c:pt idx="1">
                  <c:v>50 --| 75</c:v>
                </c:pt>
                <c:pt idx="2">
                  <c:v>75 --| 100</c:v>
                </c:pt>
                <c:pt idx="3">
                  <c:v>100 --| 150</c:v>
                </c:pt>
                <c:pt idx="4">
                  <c:v>150 --| 200</c:v>
                </c:pt>
                <c:pt idx="5">
                  <c:v>200 --| 250</c:v>
                </c:pt>
                <c:pt idx="6">
                  <c:v>250 --| 300</c:v>
                </c:pt>
                <c:pt idx="7">
                  <c:v>acima de 300</c:v>
                </c:pt>
              </c:strCache>
            </c:strRef>
          </c:cat>
          <c:val>
            <c:numRef>
              <c:f>'Folha 06 Resid-area '!$O$95:$O$102</c:f>
              <c:numCache>
                <c:formatCode>0%</c:formatCode>
                <c:ptCount val="8"/>
                <c:pt idx="0">
                  <c:v>8.1987577639751549E-2</c:v>
                </c:pt>
                <c:pt idx="1">
                  <c:v>1.2422360248447205E-3</c:v>
                </c:pt>
                <c:pt idx="2">
                  <c:v>1.4906832298136646E-2</c:v>
                </c:pt>
                <c:pt idx="3">
                  <c:v>0.25590062111801243</c:v>
                </c:pt>
                <c:pt idx="4">
                  <c:v>0.49316770186335401</c:v>
                </c:pt>
                <c:pt idx="5">
                  <c:v>3.354037267080745E-2</c:v>
                </c:pt>
                <c:pt idx="6">
                  <c:v>1.8633540372670808E-2</c:v>
                </c:pt>
                <c:pt idx="7">
                  <c:v>0.10062111801242236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A-4547-A9D4-8E7AFB2A2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14720"/>
        <c:axId val="181888128"/>
      </c:barChart>
      <c:catAx>
        <c:axId val="18121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888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88812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214720"/>
        <c:crosses val="autoZero"/>
        <c:crossBetween val="between"/>
        <c:majorUnit val="0.1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26" footer="0.4921259850000122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DE UNIDADES POR PAVIMENTO</a:t>
            </a:r>
          </a:p>
        </c:rich>
      </c:tx>
      <c:layout>
        <c:manualLayout>
          <c:xMode val="edge"/>
          <c:yMode val="edge"/>
          <c:x val="0.13128379583620009"/>
          <c:y val="2.5772711246915031E-3"/>
        </c:manualLayout>
      </c:layout>
      <c:overlay val="0"/>
      <c:spPr>
        <a:noFill/>
        <a:ln w="25400">
          <a:noFill/>
        </a:ln>
      </c:spPr>
    </c:title>
    <c:autoTitleDeleted val="0"/>
    <c:view3D>
      <c:rotX val="70"/>
      <c:rotY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966126412991571"/>
          <c:y val="8.9216771257716529E-2"/>
          <c:w val="0.57935768189778658"/>
          <c:h val="0.90832703976510043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25400">
              <a:noFill/>
            </a:ln>
          </c:spPr>
          <c:dPt>
            <c:idx val="0"/>
            <c:bubble3D val="0"/>
            <c:explosion val="4"/>
            <c:spPr>
              <a:solidFill>
                <a:srgbClr val="00008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8AC3-4CEC-837C-3C7BAC3E66A5}"/>
              </c:ext>
            </c:extLst>
          </c:dPt>
          <c:dPt>
            <c:idx val="1"/>
            <c:bubble3D val="0"/>
            <c:explosion val="7"/>
            <c:spPr>
              <a:solidFill>
                <a:srgbClr val="CC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8AC3-4CEC-837C-3C7BAC3E66A5}"/>
              </c:ext>
            </c:extLst>
          </c:dPt>
          <c:dPt>
            <c:idx val="2"/>
            <c:bubble3D val="0"/>
            <c:explosion val="6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8AC3-4CEC-837C-3C7BAC3E66A5}"/>
              </c:ext>
            </c:extLst>
          </c:dPt>
          <c:dLbls>
            <c:dLbl>
              <c:idx val="0"/>
              <c:layout>
                <c:manualLayout>
                  <c:x val="-0.15100037625164769"/>
                  <c:y val="-0.19798434112945817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chemeClr val="bg1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C3-4CEC-837C-3C7BAC3E66A5}"/>
                </c:ext>
              </c:extLst>
            </c:dLbl>
            <c:dLbl>
              <c:idx val="1"/>
              <c:layout>
                <c:manualLayout>
                  <c:x val="0.10819627811259136"/>
                  <c:y val="-0.14214260388781608"/>
                </c:manualLayout>
              </c:layout>
              <c:numFmt formatCode="0.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C3-4CEC-837C-3C7BAC3E66A5}"/>
                </c:ext>
              </c:extLst>
            </c:dLbl>
            <c:dLbl>
              <c:idx val="2"/>
              <c:layout>
                <c:manualLayout>
                  <c:x val="6.8775389985596541E-2"/>
                  <c:y val="0.21321390583172412"/>
                </c:manualLayout>
              </c:layout>
              <c:numFmt formatCode="0%" sourceLinked="0"/>
              <c:spPr>
                <a:noFill/>
                <a:ln w="25400">
                  <a:noFill/>
                </a:ln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C3-4CEC-837C-3C7BAC3E66A5}"/>
                </c:ext>
              </c:extLst>
            </c:dLbl>
            <c:numFmt formatCode="0%" sourceLinked="0"/>
            <c:spPr>
              <a:noFill/>
              <a:ln w="25400">
                <a:noFill/>
              </a:ln>
              <a:scene3d>
                <a:camera prst="orthographicFront"/>
                <a:lightRig rig="threePt" dir="t"/>
              </a:scene3d>
              <a:sp3d>
                <a:bevelT/>
              </a:sp3d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'Folha 07 Resid-Pav '!$B$73:$D$73</c:f>
              <c:strCache>
                <c:ptCount val="3"/>
                <c:pt idx="0">
                  <c:v>Até 3 pav.</c:v>
                </c:pt>
                <c:pt idx="1">
                  <c:v>De 4 à 8 pav.</c:v>
                </c:pt>
                <c:pt idx="2">
                  <c:v>Mais de          8 pav.</c:v>
                </c:pt>
              </c:strCache>
            </c:strRef>
          </c:cat>
          <c:val>
            <c:numRef>
              <c:f>'Folha 07 Resid-Pav '!$B$86:$D$86</c:f>
              <c:numCache>
                <c:formatCode>#,##0</c:formatCode>
                <c:ptCount val="3"/>
                <c:pt idx="0">
                  <c:v>243</c:v>
                </c:pt>
                <c:pt idx="1">
                  <c:v>62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C3-4CEC-837C-3C7BAC3E6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  <a:scene3d>
      <a:camera prst="orthographicFront"/>
      <a:lightRig rig="threePt" dir="t"/>
    </a:scene3d>
    <a:sp3d/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226" footer="0.4921259850000122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Alvarás Concluídos - 1997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E9B-42E1-956E-E67BDEEBCA41}"/>
            </c:ext>
          </c:extLst>
        </c:ser>
        <c:ser>
          <c:idx val="1"/>
          <c:order val="1"/>
          <c:tx>
            <c:v>Alvarás Concluídos - 1998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E9B-42E1-956E-E67BDEEBC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40448"/>
        <c:axId val="181892160"/>
      </c:lineChart>
      <c:catAx>
        <c:axId val="20484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81892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892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204840448"/>
        <c:crosses val="autoZero"/>
        <c:crossBetween val="between"/>
      </c:valAx>
      <c:spPr>
        <a:gradFill rotWithShape="0">
          <a:gsLst>
            <a:gs pos="0">
              <a:srgbClr val="FFFFC0"/>
            </a:gs>
            <a:gs pos="100000">
              <a:srgbClr val="FFFFC0">
                <a:gamma/>
                <a:tint val="0"/>
                <a:invGamma/>
              </a:srgbClr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192" footer="0.4921259850000119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000"/>
              <a:t>PARTICIPAÇÃO DAS UNIDADES POR ZONA</a:t>
            </a:r>
          </a:p>
        </c:rich>
      </c:tx>
      <c:layout>
        <c:manualLayout>
          <c:xMode val="edge"/>
          <c:yMode val="edge"/>
          <c:x val="0.20350132382248717"/>
          <c:y val="1.70648464163822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8017865136453449E-2"/>
          <c:y val="0.10580204778157323"/>
          <c:w val="0.95885413450852064"/>
          <c:h val="0.788395904436860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invertIfNegative val="0"/>
          <c:dLbls>
            <c:dLbl>
              <c:idx val="6"/>
              <c:layout>
                <c:manualLayout>
                  <c:x val="-5.85896592480789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AC-4727-AB24-E526FFDE0AB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'Folha 08 Resid-zona'!$B$79:$B$90</c:f>
              <c:strCache>
                <c:ptCount val="12"/>
                <c:pt idx="0">
                  <c:v>ZR-1</c:v>
                </c:pt>
                <c:pt idx="1">
                  <c:v>ZR-2</c:v>
                </c:pt>
                <c:pt idx="2">
                  <c:v>ZR-3</c:v>
                </c:pt>
                <c:pt idx="3">
                  <c:v>(*)ZR</c:v>
                </c:pt>
                <c:pt idx="4">
                  <c:v>CONEC</c:v>
                </c:pt>
                <c:pt idx="5">
                  <c:v>ZR-4</c:v>
                </c:pt>
                <c:pt idx="6">
                  <c:v>(**)SE</c:v>
                </c:pt>
                <c:pt idx="7">
                  <c:v>ZC</c:v>
                </c:pt>
                <c:pt idx="8">
                  <c:v>SEHIS</c:v>
                </c:pt>
                <c:pt idx="9">
                  <c:v>PÓLO-LV</c:v>
                </c:pt>
                <c:pt idx="10">
                  <c:v>ZT</c:v>
                </c:pt>
                <c:pt idx="11">
                  <c:v>Outros</c:v>
                </c:pt>
              </c:strCache>
            </c:strRef>
          </c:cat>
          <c:val>
            <c:numRef>
              <c:f>'Folha 08 Resid-zona'!$D$79:$D$90</c:f>
              <c:numCache>
                <c:formatCode>0%</c:formatCode>
                <c:ptCount val="12"/>
                <c:pt idx="0">
                  <c:v>1.2422360248447205E-3</c:v>
                </c:pt>
                <c:pt idx="1">
                  <c:v>4.7204968944099382E-2</c:v>
                </c:pt>
                <c:pt idx="2">
                  <c:v>4.472049689440994E-2</c:v>
                </c:pt>
                <c:pt idx="3">
                  <c:v>0</c:v>
                </c:pt>
                <c:pt idx="4">
                  <c:v>0.10186335403726708</c:v>
                </c:pt>
                <c:pt idx="5">
                  <c:v>0</c:v>
                </c:pt>
                <c:pt idx="6">
                  <c:v>0</c:v>
                </c:pt>
                <c:pt idx="7">
                  <c:v>0.23354037267080746</c:v>
                </c:pt>
                <c:pt idx="8">
                  <c:v>6.2111801242236024E-2</c:v>
                </c:pt>
                <c:pt idx="9">
                  <c:v>7.4534161490683228E-3</c:v>
                </c:pt>
                <c:pt idx="10">
                  <c:v>3.7267080745341614E-3</c:v>
                </c:pt>
                <c:pt idx="11">
                  <c:v>0.49813664596273294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7-4F61-9670-177075B6E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204847104"/>
        <c:axId val="181893888"/>
      </c:barChart>
      <c:catAx>
        <c:axId val="20484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893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81893888"/>
        <c:scaling>
          <c:orientation val="minMax"/>
          <c:max val="0.9"/>
          <c:min val="0"/>
        </c:scaling>
        <c:delete val="1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204847104"/>
        <c:crosses val="autoZero"/>
        <c:crossBetween val="between"/>
        <c:majorUnit val="0.2"/>
        <c:minorUnit val="4.0000000000000022E-2"/>
      </c:valAx>
      <c:spPr>
        <a:gradFill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9525"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192" footer="0.4921259850000119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PARTICIPAÇÃO DAS ÁREAS POR ZONA</a:t>
            </a:r>
          </a:p>
        </c:rich>
      </c:tx>
      <c:layout>
        <c:manualLayout>
          <c:xMode val="edge"/>
          <c:yMode val="edge"/>
          <c:x val="0.25770949363036938"/>
          <c:y val="5.778408846435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5611807971060465E-2"/>
          <c:y val="0.14285714285714779"/>
          <c:w val="0.94795750344851681"/>
          <c:h val="0.76623376623376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25400"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'Folha 08 Resid-zona'!$E$79:$E$90</c:f>
              <c:strCache>
                <c:ptCount val="12"/>
                <c:pt idx="0">
                  <c:v>ZR-1</c:v>
                </c:pt>
                <c:pt idx="1">
                  <c:v>ZR-2</c:v>
                </c:pt>
                <c:pt idx="2">
                  <c:v>ZR-3</c:v>
                </c:pt>
                <c:pt idx="3">
                  <c:v>(*)ZR</c:v>
                </c:pt>
                <c:pt idx="4">
                  <c:v>CONEC</c:v>
                </c:pt>
                <c:pt idx="5">
                  <c:v>ZR-4</c:v>
                </c:pt>
                <c:pt idx="6">
                  <c:v>(**)SE</c:v>
                </c:pt>
                <c:pt idx="7">
                  <c:v>ZC</c:v>
                </c:pt>
                <c:pt idx="8">
                  <c:v>SEHIS</c:v>
                </c:pt>
                <c:pt idx="9">
                  <c:v>PÓLO-LV</c:v>
                </c:pt>
                <c:pt idx="10">
                  <c:v>ZT</c:v>
                </c:pt>
                <c:pt idx="11">
                  <c:v>Outros</c:v>
                </c:pt>
              </c:strCache>
            </c:strRef>
          </c:cat>
          <c:val>
            <c:numRef>
              <c:f>'Folha 08 Resid-zona'!$G$79:$G$90</c:f>
              <c:numCache>
                <c:formatCode>0%</c:formatCode>
                <c:ptCount val="12"/>
                <c:pt idx="0">
                  <c:v>9.4671301815670223E-4</c:v>
                </c:pt>
                <c:pt idx="1">
                  <c:v>3.635365909768791E-2</c:v>
                </c:pt>
                <c:pt idx="2">
                  <c:v>3.4901400048781693E-2</c:v>
                </c:pt>
                <c:pt idx="3">
                  <c:v>0</c:v>
                </c:pt>
                <c:pt idx="4">
                  <c:v>4.3391866034743015E-2</c:v>
                </c:pt>
                <c:pt idx="5">
                  <c:v>0</c:v>
                </c:pt>
                <c:pt idx="6">
                  <c:v>0</c:v>
                </c:pt>
                <c:pt idx="7">
                  <c:v>7.9329583929114836E-2</c:v>
                </c:pt>
                <c:pt idx="8">
                  <c:v>6.7859739666355265E-2</c:v>
                </c:pt>
                <c:pt idx="9">
                  <c:v>7.1894905830549175E-3</c:v>
                </c:pt>
                <c:pt idx="10">
                  <c:v>2.8927223790543568E-3</c:v>
                </c:pt>
                <c:pt idx="11">
                  <c:v>0.7271348252430514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8-4C91-A501-1D00561A5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204848640"/>
        <c:axId val="205791808"/>
      </c:barChart>
      <c:catAx>
        <c:axId val="20484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5791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791808"/>
        <c:scaling>
          <c:orientation val="minMax"/>
          <c:max val="0.70000000000000007"/>
          <c:min val="0"/>
        </c:scaling>
        <c:delete val="1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204848640"/>
        <c:crosses val="autoZero"/>
        <c:crossBetween val="between"/>
        <c:majorUnit val="0.2"/>
        <c:minorUnit val="2.0000000000000011E-2"/>
      </c:valAx>
      <c:spPr>
        <a:gradFill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9525"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192" footer="0.4921259850000119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000"/>
              <a:t> ÁREA (m²) TOTAL POR SETOR</a:t>
            </a:r>
          </a:p>
        </c:rich>
      </c:tx>
      <c:layout>
        <c:manualLayout>
          <c:xMode val="edge"/>
          <c:yMode val="edge"/>
          <c:x val="0.39488673139158575"/>
          <c:y val="1.67462768811357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08249739186261E-2"/>
          <c:y val="1.8684565416568013E-2"/>
          <c:w val="0.94791754327720257"/>
          <c:h val="0.795660515908640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'Folha 9 area por bairro '!$B$4</c:f>
              <c:strCache>
                <c:ptCount val="1"/>
                <c:pt idx="0">
                  <c:v>Residencial</c:v>
                </c:pt>
              </c:strCache>
            </c:strRef>
          </c:tx>
          <c:spPr>
            <a:solidFill>
              <a:srgbClr val="3333CC"/>
            </a:solidFill>
            <a:ln w="25400">
              <a:noFill/>
            </a:ln>
          </c:spPr>
          <c:invertIfNegative val="0"/>
          <c:cat>
            <c:strRef>
              <c:f>'Folha 9 area por bairro '!$A$100:$A$118</c:f>
              <c:strCache>
                <c:ptCount val="19"/>
                <c:pt idx="0">
                  <c:v>Setor        I</c:v>
                </c:pt>
                <c:pt idx="1">
                  <c:v>Setor            II</c:v>
                </c:pt>
                <c:pt idx="2">
                  <c:v>Setor          III</c:v>
                </c:pt>
                <c:pt idx="3">
                  <c:v>Setor      IV</c:v>
                </c:pt>
                <c:pt idx="4">
                  <c:v>Setor          V</c:v>
                </c:pt>
                <c:pt idx="5">
                  <c:v>Setor      VI</c:v>
                </c:pt>
                <c:pt idx="6">
                  <c:v>Setor      VII</c:v>
                </c:pt>
                <c:pt idx="7">
                  <c:v>Setor      VIII</c:v>
                </c:pt>
                <c:pt idx="8">
                  <c:v>Setor      IX</c:v>
                </c:pt>
                <c:pt idx="9">
                  <c:v>Setor          X</c:v>
                </c:pt>
                <c:pt idx="10">
                  <c:v>Setor      XI</c:v>
                </c:pt>
                <c:pt idx="11">
                  <c:v>Setor      XII</c:v>
                </c:pt>
                <c:pt idx="12">
                  <c:v>Setor      XIII</c:v>
                </c:pt>
                <c:pt idx="13">
                  <c:v>Setor      XIV</c:v>
                </c:pt>
                <c:pt idx="14">
                  <c:v>Setor      XV</c:v>
                </c:pt>
                <c:pt idx="15">
                  <c:v>Setor      XVI</c:v>
                </c:pt>
                <c:pt idx="16">
                  <c:v>Setor      XVII</c:v>
                </c:pt>
                <c:pt idx="17">
                  <c:v>Setor      XVIII</c:v>
                </c:pt>
                <c:pt idx="18">
                  <c:v>Setor    XIX</c:v>
                </c:pt>
              </c:strCache>
            </c:strRef>
          </c:cat>
          <c:val>
            <c:numRef>
              <c:f>'Folha 9 area por bairro '!$B$100:$B$118</c:f>
              <c:numCache>
                <c:formatCode>#,##0</c:formatCode>
                <c:ptCount val="19"/>
                <c:pt idx="0">
                  <c:v>23385.890000000003</c:v>
                </c:pt>
                <c:pt idx="1">
                  <c:v>62197.3</c:v>
                </c:pt>
                <c:pt idx="2">
                  <c:v>16233.119999999997</c:v>
                </c:pt>
                <c:pt idx="3">
                  <c:v>141666.01</c:v>
                </c:pt>
                <c:pt idx="4">
                  <c:v>5360.9699999999993</c:v>
                </c:pt>
                <c:pt idx="5">
                  <c:v>27579.200000000004</c:v>
                </c:pt>
                <c:pt idx="6">
                  <c:v>27787.729999999996</c:v>
                </c:pt>
                <c:pt idx="7">
                  <c:v>15232.12</c:v>
                </c:pt>
                <c:pt idx="8">
                  <c:v>8576.2799999999988</c:v>
                </c:pt>
                <c:pt idx="9">
                  <c:v>43398.84</c:v>
                </c:pt>
                <c:pt idx="10">
                  <c:v>28878.09</c:v>
                </c:pt>
                <c:pt idx="11">
                  <c:v>26068.35</c:v>
                </c:pt>
                <c:pt idx="12">
                  <c:v>13621.52</c:v>
                </c:pt>
                <c:pt idx="13">
                  <c:v>41769.120000000003</c:v>
                </c:pt>
                <c:pt idx="14">
                  <c:v>36378.31</c:v>
                </c:pt>
                <c:pt idx="15">
                  <c:v>21884.78</c:v>
                </c:pt>
                <c:pt idx="16">
                  <c:v>39534.07</c:v>
                </c:pt>
                <c:pt idx="17">
                  <c:v>1628.33</c:v>
                </c:pt>
                <c:pt idx="18">
                  <c:v>36535.970000000016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F-4289-AF8B-4F8325466B23}"/>
            </c:ext>
          </c:extLst>
        </c:ser>
        <c:ser>
          <c:idx val="1"/>
          <c:order val="1"/>
          <c:tx>
            <c:strRef>
              <c:f>'Folha 9 area por bairro '!$C$4</c:f>
              <c:strCache>
                <c:ptCount val="1"/>
                <c:pt idx="0">
                  <c:v>Não Residencial</c:v>
                </c:pt>
              </c:strCache>
            </c:strRef>
          </c:tx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'Folha 9 area por bairro '!$A$100:$A$118</c:f>
              <c:strCache>
                <c:ptCount val="19"/>
                <c:pt idx="0">
                  <c:v>Setor        I</c:v>
                </c:pt>
                <c:pt idx="1">
                  <c:v>Setor            II</c:v>
                </c:pt>
                <c:pt idx="2">
                  <c:v>Setor          III</c:v>
                </c:pt>
                <c:pt idx="3">
                  <c:v>Setor      IV</c:v>
                </c:pt>
                <c:pt idx="4">
                  <c:v>Setor          V</c:v>
                </c:pt>
                <c:pt idx="5">
                  <c:v>Setor      VI</c:v>
                </c:pt>
                <c:pt idx="6">
                  <c:v>Setor      VII</c:v>
                </c:pt>
                <c:pt idx="7">
                  <c:v>Setor      VIII</c:v>
                </c:pt>
                <c:pt idx="8">
                  <c:v>Setor      IX</c:v>
                </c:pt>
                <c:pt idx="9">
                  <c:v>Setor          X</c:v>
                </c:pt>
                <c:pt idx="10">
                  <c:v>Setor      XI</c:v>
                </c:pt>
                <c:pt idx="11">
                  <c:v>Setor      XII</c:v>
                </c:pt>
                <c:pt idx="12">
                  <c:v>Setor      XIII</c:v>
                </c:pt>
                <c:pt idx="13">
                  <c:v>Setor      XIV</c:v>
                </c:pt>
                <c:pt idx="14">
                  <c:v>Setor      XV</c:v>
                </c:pt>
                <c:pt idx="15">
                  <c:v>Setor      XVI</c:v>
                </c:pt>
                <c:pt idx="16">
                  <c:v>Setor      XVII</c:v>
                </c:pt>
                <c:pt idx="17">
                  <c:v>Setor      XVIII</c:v>
                </c:pt>
                <c:pt idx="18">
                  <c:v>Setor    XIX</c:v>
                </c:pt>
              </c:strCache>
            </c:strRef>
          </c:cat>
          <c:val>
            <c:numRef>
              <c:f>'Folha 9 area por bairro '!$C$100:$C$118</c:f>
              <c:numCache>
                <c:formatCode>#,##0</c:formatCode>
                <c:ptCount val="19"/>
                <c:pt idx="0">
                  <c:v>22741.449999999997</c:v>
                </c:pt>
                <c:pt idx="1">
                  <c:v>11908.94</c:v>
                </c:pt>
                <c:pt idx="2">
                  <c:v>50673.340000000004</c:v>
                </c:pt>
                <c:pt idx="3">
                  <c:v>13407.750000000002</c:v>
                </c:pt>
                <c:pt idx="4">
                  <c:v>683.04</c:v>
                </c:pt>
                <c:pt idx="5">
                  <c:v>10557.449999999999</c:v>
                </c:pt>
                <c:pt idx="6">
                  <c:v>4263.3399999999992</c:v>
                </c:pt>
                <c:pt idx="7">
                  <c:v>553.05999999999995</c:v>
                </c:pt>
                <c:pt idx="8">
                  <c:v>421.16999999999996</c:v>
                </c:pt>
                <c:pt idx="9">
                  <c:v>405.8</c:v>
                </c:pt>
                <c:pt idx="10">
                  <c:v>3824.66</c:v>
                </c:pt>
                <c:pt idx="11">
                  <c:v>927.72000000000014</c:v>
                </c:pt>
                <c:pt idx="12">
                  <c:v>3717.5100000000011</c:v>
                </c:pt>
                <c:pt idx="13">
                  <c:v>1224.5200000000002</c:v>
                </c:pt>
                <c:pt idx="14">
                  <c:v>3327.1100000000006</c:v>
                </c:pt>
                <c:pt idx="15">
                  <c:v>10539.66</c:v>
                </c:pt>
                <c:pt idx="16">
                  <c:v>106981.29999999999</c:v>
                </c:pt>
                <c:pt idx="17">
                  <c:v>161.85000000000002</c:v>
                </c:pt>
                <c:pt idx="18">
                  <c:v>35138.37999999999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F-4289-AF8B-4F8325466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36"/>
        <c:axId val="205871616"/>
        <c:axId val="205794112"/>
      </c:barChart>
      <c:catAx>
        <c:axId val="20587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5794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79411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chemeClr val="bg1">
                  <a:lumMod val="85000"/>
                </a:schemeClr>
              </a:solidFill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chemeClr val="bg1">
                <a:lumMod val="8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5871616"/>
        <c:crosses val="autoZero"/>
        <c:crossBetween val="between"/>
        <c:majorUnit val="10000"/>
      </c:valAx>
      <c:spPr>
        <a:gradFill rotWithShape="0">
          <a:gsLst>
            <a:gs pos="0">
              <a:srgbClr val="C0C0C0">
                <a:gamma/>
                <a:tint val="9020"/>
                <a:invGamma/>
              </a:srgbClr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77813011237672958"/>
          <c:y val="8.9231304650454604E-2"/>
          <c:w val="0.20003700022934023"/>
          <c:h val="5.828453763721523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192" footer="0.49212598500001192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SÉRIE TEMPORAL - ÁREA (m²) TOTAL</a:t>
            </a:r>
          </a:p>
        </c:rich>
      </c:tx>
      <c:layout>
        <c:manualLayout>
          <c:xMode val="edge"/>
          <c:yMode val="edge"/>
          <c:x val="0.36374030832352855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576372127647053E-2"/>
          <c:y val="0.13793113913578003"/>
          <c:w val="0.92370406588699749"/>
          <c:h val="0.72629310344829179"/>
        </c:manualLayout>
      </c:layout>
      <c:lineChart>
        <c:grouping val="standard"/>
        <c:varyColors val="0"/>
        <c:ser>
          <c:idx val="0"/>
          <c:order val="0"/>
          <c:tx>
            <c:strRef>
              <c:f>'Folha 10 serie hist '!$G$5:$G$6</c:f>
              <c:strCache>
                <c:ptCount val="2"/>
                <c:pt idx="0">
                  <c:v>Total Área (m²)</c:v>
                </c:pt>
                <c:pt idx="1">
                  <c:v>Global</c:v>
                </c:pt>
              </c:strCache>
            </c:strRef>
          </c:tx>
          <c:spPr>
            <a:ln w="38100" cmpd="sng">
              <a:solidFill>
                <a:srgbClr val="000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4.7971781638210372E-2"/>
                  <c:y val="-8.8947014426925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DC-499C-AE40-A9A4FD79B07F}"/>
                </c:ext>
              </c:extLst>
            </c:dLbl>
            <c:dLbl>
              <c:idx val="6"/>
              <c:layout>
                <c:manualLayout>
                  <c:x val="-3.8977072581045956E-2"/>
                  <c:y val="-3.2613905289872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DC-499C-AE40-A9A4FD79B07F}"/>
                </c:ext>
              </c:extLst>
            </c:dLbl>
            <c:dLbl>
              <c:idx val="7"/>
              <c:layout>
                <c:manualLayout>
                  <c:x val="-2.3985890819105186E-2"/>
                  <c:y val="-7.4122512022438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DC-499C-AE40-A9A4FD79B07F}"/>
                </c:ext>
              </c:extLst>
            </c:dLbl>
            <c:dLbl>
              <c:idx val="8"/>
              <c:layout>
                <c:manualLayout>
                  <c:x val="-5.0970017990598519E-2"/>
                  <c:y val="-8.0052312984233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DC-499C-AE40-A9A4FD79B07F}"/>
                </c:ext>
              </c:extLst>
            </c:dLbl>
            <c:dLbl>
              <c:idx val="9"/>
              <c:layout>
                <c:manualLayout>
                  <c:x val="-4.0476190757240002E-2"/>
                  <c:y val="-3.85437062516677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DC-499C-AE40-A9A4FD79B07F}"/>
                </c:ext>
              </c:extLst>
            </c:dLbl>
            <c:dLbl>
              <c:idx val="10"/>
              <c:layout>
                <c:manualLayout>
                  <c:x val="-8.9947090571645006E-3"/>
                  <c:y val="-4.74384076943603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DC-499C-AE40-A9A4FD79B07F}"/>
                </c:ext>
              </c:extLst>
            </c:dLbl>
            <c:dLbl>
              <c:idx val="11"/>
              <c:layout>
                <c:manualLayout>
                  <c:x val="-2.5485008995299371E-2"/>
                  <c:y val="-2.6684104328077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DC-499C-AE40-A9A4FD79B07F}"/>
                </c:ext>
              </c:extLst>
            </c:dLbl>
            <c:dLbl>
              <c:idx val="12"/>
              <c:layout>
                <c:manualLayout>
                  <c:x val="-3.2980599876269633E-2"/>
                  <c:y val="-6.81927110606429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DC-499C-AE40-A9A4FD79B07F}"/>
                </c:ext>
              </c:extLst>
            </c:dLbl>
            <c:dLbl>
              <c:idx val="13"/>
              <c:layout>
                <c:manualLayout>
                  <c:x val="-5.9964727047763081E-2"/>
                  <c:y val="-4.74384076943603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DC-499C-AE40-A9A4FD79B07F}"/>
                </c:ext>
              </c:extLst>
            </c:dLbl>
            <c:dLbl>
              <c:idx val="14"/>
              <c:layout>
                <c:manualLayout>
                  <c:x val="-3.4479718052463706E-2"/>
                  <c:y val="-3.8543706251667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DC-499C-AE40-A9A4FD79B07F}"/>
                </c:ext>
              </c:extLst>
            </c:dLbl>
            <c:dLbl>
              <c:idx val="15"/>
              <c:layout>
                <c:manualLayout>
                  <c:x val="-3.148148170007567E-2"/>
                  <c:y val="-6.81927110606429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DC-499C-AE40-A9A4FD79B07F}"/>
                </c:ext>
              </c:extLst>
            </c:dLbl>
            <c:dLbl>
              <c:idx val="16"/>
              <c:layout>
                <c:manualLayout>
                  <c:x val="-5.5467372519180852E-2"/>
                  <c:y val="-8.3017213465130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DC-499C-AE40-A9A4FD79B07F}"/>
                </c:ext>
              </c:extLst>
            </c:dLbl>
            <c:dLbl>
              <c:idx val="17"/>
              <c:layout>
                <c:manualLayout>
                  <c:x val="-7.4955908809705906E-3"/>
                  <c:y val="-3.5578805770770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DC-499C-AE40-A9A4FD79B07F}"/>
                </c:ext>
              </c:extLst>
            </c:dLbl>
            <c:dLbl>
              <c:idx val="22"/>
              <c:layout>
                <c:manualLayout>
                  <c:x val="-4.347442710962815E-2"/>
                  <c:y val="-3.8543706251667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1E-4841-87DD-5232AFDE63E8}"/>
                </c:ext>
              </c:extLst>
            </c:dLbl>
            <c:dLbl>
              <c:idx val="23"/>
              <c:layout>
                <c:manualLayout>
                  <c:x val="-4.9470899814404445E-2"/>
                  <c:y val="-7.4122512022437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1E-4841-87DD-5232AFDE63E8}"/>
                </c:ext>
              </c:extLst>
            </c:dLbl>
            <c:dLbl>
              <c:idx val="24"/>
              <c:layout>
                <c:manualLayout>
                  <c:x val="-3.7477954404851882E-2"/>
                  <c:y val="-4.1508606732565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1E-4841-87DD-5232AFDE63E8}"/>
                </c:ext>
              </c:extLst>
            </c:dLbl>
            <c:dLbl>
              <c:idx val="25"/>
              <c:layout>
                <c:manualLayout>
                  <c:x val="-2.8483245347687411E-2"/>
                  <c:y val="-7.4122512022438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1E-4841-87DD-5232AFDE63E8}"/>
                </c:ext>
              </c:extLst>
            </c:dLbl>
            <c:dLbl>
              <c:idx val="26"/>
              <c:layout>
                <c:manualLayout>
                  <c:x val="-5.2469136166792545E-2"/>
                  <c:y val="-8.0052312984233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1E-4841-87DD-5232AFDE63E8}"/>
                </c:ext>
              </c:extLst>
            </c:dLbl>
            <c:dLbl>
              <c:idx val="27"/>
              <c:layout>
                <c:manualLayout>
                  <c:x val="-3.4479718052463706E-2"/>
                  <c:y val="-4.4473507213462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1E-4841-87DD-5232AFDE63E8}"/>
                </c:ext>
              </c:extLst>
            </c:dLbl>
            <c:dLbl>
              <c:idx val="28"/>
              <c:layout>
                <c:manualLayout>
                  <c:x val="-1.7989418114329001E-2"/>
                  <c:y val="-6.5227810579745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1E-4841-87DD-5232AFDE63E8}"/>
                </c:ext>
              </c:extLst>
            </c:dLbl>
            <c:dLbl>
              <c:idx val="29"/>
              <c:layout>
                <c:manualLayout>
                  <c:x val="-2.9982363523881485E-2"/>
                  <c:y val="-4.1508606732565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1E-4841-87DD-5232AFDE63E8}"/>
                </c:ext>
              </c:extLst>
            </c:dLbl>
            <c:dLbl>
              <c:idx val="30"/>
              <c:layout>
                <c:manualLayout>
                  <c:x val="-4.0476190757240113E-2"/>
                  <c:y val="-7.1157611541540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1E-4841-87DD-5232AFDE63E8}"/>
                </c:ext>
              </c:extLst>
            </c:dLbl>
            <c:dLbl>
              <c:idx val="31"/>
              <c:layout>
                <c:manualLayout>
                  <c:x val="-5.5467372519180748E-2"/>
                  <c:y val="-6.5227810579745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1E-4841-87DD-5232AFDE63E8}"/>
                </c:ext>
              </c:extLst>
            </c:dLbl>
            <c:dLbl>
              <c:idx val="32"/>
              <c:layout>
                <c:manualLayout>
                  <c:x val="-4.1975308933434187E-2"/>
                  <c:y val="-4.1508606732565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1E-4841-87DD-5232AFDE63E8}"/>
                </c:ext>
              </c:extLst>
            </c:dLbl>
            <c:dLbl>
              <c:idx val="33"/>
              <c:layout>
                <c:manualLayout>
                  <c:x val="-2.8483245347687518E-2"/>
                  <c:y val="-5.04033081752577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1E-4841-87DD-5232AFDE63E8}"/>
                </c:ext>
              </c:extLst>
            </c:dLbl>
            <c:dLbl>
              <c:idx val="34"/>
              <c:layout>
                <c:manualLayout>
                  <c:x val="-7.4955908809705906E-3"/>
                  <c:y val="-5.33682086561553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1E-4841-87DD-5232AFDE63E8}"/>
                </c:ext>
              </c:extLst>
            </c:dLbl>
            <c:dLbl>
              <c:idx val="45"/>
              <c:layout>
                <c:manualLayout>
                  <c:x val="-3.597883622865778E-2"/>
                  <c:y val="-3.5578805770770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CB-452A-A377-7FF905896627}"/>
                </c:ext>
              </c:extLst>
            </c:dLbl>
            <c:dLbl>
              <c:idx val="46"/>
              <c:layout>
                <c:manualLayout>
                  <c:x val="-3.298059987626966E-2"/>
                  <c:y val="-4.1508606732565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CB-452A-A377-7FF905896627}"/>
                </c:ext>
              </c:extLst>
            </c:dLbl>
            <c:dLbl>
              <c:idx val="47"/>
              <c:layout>
                <c:manualLayout>
                  <c:x val="-5.5467372519180776E-2"/>
                  <c:y val="-7.4122512022437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CB-452A-A377-7FF905896627}"/>
                </c:ext>
              </c:extLst>
            </c:dLbl>
            <c:dLbl>
              <c:idx val="48"/>
              <c:layout>
                <c:manualLayout>
                  <c:x val="-3.7477954404851854E-2"/>
                  <c:y val="-3.8543706251667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CB-452A-A377-7FF905896627}"/>
                </c:ext>
              </c:extLst>
            </c:dLbl>
            <c:dLbl>
              <c:idx val="49"/>
              <c:layout>
                <c:manualLayout>
                  <c:x val="-2.5485008995299208E-2"/>
                  <c:y val="-7.70874125033355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CB-452A-A377-7FF905896627}"/>
                </c:ext>
              </c:extLst>
            </c:dLbl>
            <c:dLbl>
              <c:idx val="50"/>
              <c:layout>
                <c:manualLayout>
                  <c:x val="-4.6472663462016298E-2"/>
                  <c:y val="-9.48768153887206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CB-452A-A377-7FF905896627}"/>
                </c:ext>
              </c:extLst>
            </c:dLbl>
            <c:dLbl>
              <c:idx val="51"/>
              <c:layout>
                <c:manualLayout>
                  <c:x val="-3.8977072581046039E-2"/>
                  <c:y val="-4.7438407694360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CB-452A-A377-7FF905896627}"/>
                </c:ext>
              </c:extLst>
            </c:dLbl>
            <c:dLbl>
              <c:idx val="52"/>
              <c:layout>
                <c:manualLayout>
                  <c:x val="-1.6490299938134816E-2"/>
                  <c:y val="-5.9298009617950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CB-452A-A377-7FF905896627}"/>
                </c:ext>
              </c:extLst>
            </c:dLbl>
            <c:dLbl>
              <c:idx val="53"/>
              <c:layout>
                <c:manualLayout>
                  <c:x val="-2.548500899529926E-2"/>
                  <c:y val="-3.8543706251667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CB-452A-A377-7FF905896627}"/>
                </c:ext>
              </c:extLst>
            </c:dLbl>
            <c:dLbl>
              <c:idx val="54"/>
              <c:layout>
                <c:manualLayout>
                  <c:x val="-3.4479718052463706E-2"/>
                  <c:y val="-6.5227810579745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CB-452A-A377-7FF905896627}"/>
                </c:ext>
              </c:extLst>
            </c:dLbl>
            <c:dLbl>
              <c:idx val="55"/>
              <c:layout>
                <c:manualLayout>
                  <c:x val="-6.4462081576345184E-2"/>
                  <c:y val="-5.92980096179503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CB-452A-A377-7FF905896627}"/>
                </c:ext>
              </c:extLst>
            </c:dLbl>
            <c:dLbl>
              <c:idx val="56"/>
              <c:layout>
                <c:manualLayout>
                  <c:x val="-3.7477954404851854E-2"/>
                  <c:y val="-3.8543706251667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CB-452A-A377-7FF905896627}"/>
                </c:ext>
              </c:extLst>
            </c:dLbl>
            <c:dLbl>
              <c:idx val="57"/>
              <c:layout>
                <c:manualLayout>
                  <c:x val="-1.4991181761940961E-2"/>
                  <c:y val="2.96490048089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FCB-452A-A377-7FF905896627}"/>
                </c:ext>
              </c:extLst>
            </c:dLbl>
            <c:dLbl>
              <c:idx val="69"/>
              <c:layout>
                <c:manualLayout>
                  <c:x val="-3.2980599876269633E-2"/>
                  <c:y val="-3.5578805770770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8D-481A-A799-617D593C4491}"/>
                </c:ext>
              </c:extLst>
            </c:dLbl>
            <c:dLbl>
              <c:idx val="70"/>
              <c:layout>
                <c:manualLayout>
                  <c:x val="-3.597883622865778E-2"/>
                  <c:y val="-4.1508606732565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8D-481A-A799-617D593C4491}"/>
                </c:ext>
              </c:extLst>
            </c:dLbl>
            <c:dLbl>
              <c:idx val="71"/>
              <c:layout>
                <c:manualLayout>
                  <c:x val="-5.5467372519180776E-2"/>
                  <c:y val="-8.0052312984233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8D-481A-A799-617D593C4491}"/>
                </c:ext>
              </c:extLst>
            </c:dLbl>
            <c:dLbl>
              <c:idx val="72"/>
              <c:layout>
                <c:manualLayout>
                  <c:x val="-3.7477954404851854E-2"/>
                  <c:y val="-3.5578805770770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8D-481A-A799-617D593C4491}"/>
                </c:ext>
              </c:extLst>
            </c:dLbl>
            <c:dLbl>
              <c:idx val="73"/>
              <c:layout>
                <c:manualLayout>
                  <c:x val="-2.8483245347687411E-2"/>
                  <c:y val="-8.0052312984233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38D-481A-A799-617D593C4491}"/>
                </c:ext>
              </c:extLst>
            </c:dLbl>
            <c:dLbl>
              <c:idx val="74"/>
              <c:layout>
                <c:manualLayout>
                  <c:x val="-5.3968254342986674E-2"/>
                  <c:y val="-7.115761154154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8D-481A-A799-617D593C4491}"/>
                </c:ext>
              </c:extLst>
            </c:dLbl>
            <c:dLbl>
              <c:idx val="75"/>
              <c:layout>
                <c:manualLayout>
                  <c:x val="-4.0476190757240002E-2"/>
                  <c:y val="-5.0403308175257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38D-481A-A799-617D593C4491}"/>
                </c:ext>
              </c:extLst>
            </c:dLbl>
            <c:dLbl>
              <c:idx val="76"/>
              <c:layout>
                <c:manualLayout>
                  <c:x val="-1.6490299938134816E-2"/>
                  <c:y val="-6.5227810579745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8D-481A-A799-617D593C4491}"/>
                </c:ext>
              </c:extLst>
            </c:dLbl>
            <c:dLbl>
              <c:idx val="77"/>
              <c:layout>
                <c:manualLayout>
                  <c:x val="-2.8483245347687411E-2"/>
                  <c:y val="-3.5578805770770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38D-481A-A799-617D593C4491}"/>
                </c:ext>
              </c:extLst>
            </c:dLbl>
            <c:dLbl>
              <c:idx val="78"/>
              <c:layout>
                <c:manualLayout>
                  <c:x val="-3.597883622865778E-2"/>
                  <c:y val="-7.70874125033355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38D-481A-A799-617D593C4491}"/>
                </c:ext>
              </c:extLst>
            </c:dLbl>
            <c:dLbl>
              <c:idx val="79"/>
              <c:layout>
                <c:manualLayout>
                  <c:x val="-5.5467372519180852E-2"/>
                  <c:y val="-7.4122512022437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38D-481A-A799-617D593C4491}"/>
                </c:ext>
              </c:extLst>
            </c:dLbl>
            <c:dLbl>
              <c:idx val="80"/>
              <c:layout>
                <c:manualLayout>
                  <c:x val="-3.597883622865778E-2"/>
                  <c:y val="-4.1508606732565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38D-481A-A799-617D593C4491}"/>
                </c:ext>
              </c:extLst>
            </c:dLbl>
            <c:dLbl>
              <c:idx val="81"/>
              <c:layout>
                <c:manualLayout>
                  <c:x val="-1.3492063585746778E-2"/>
                  <c:y val="-8.8947014426925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38D-481A-A799-617D593C4491}"/>
                </c:ext>
              </c:extLst>
            </c:dLbl>
            <c:dLbl>
              <c:idx val="92"/>
              <c:layout>
                <c:manualLayout>
                  <c:x val="-4.347442710962815E-2"/>
                  <c:y val="-9.4876837538356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CE-44AB-821A-5E733BAF22ED}"/>
                </c:ext>
              </c:extLst>
            </c:dLbl>
            <c:dLbl>
              <c:idx val="93"/>
              <c:layout>
                <c:manualLayout>
                  <c:x val="-3.298059987626966E-2"/>
                  <c:y val="-3.5578814076883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CE-44AB-821A-5E733BAF22ED}"/>
                </c:ext>
              </c:extLst>
            </c:dLbl>
            <c:dLbl>
              <c:idx val="94"/>
              <c:layout>
                <c:manualLayout>
                  <c:x val="-2.8483245347687439E-2"/>
                  <c:y val="-4.1508616423031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CE-44AB-821A-5E733BAF22ED}"/>
                </c:ext>
              </c:extLst>
            </c:dLbl>
            <c:dLbl>
              <c:idx val="95"/>
              <c:layout>
                <c:manualLayout>
                  <c:x val="-5.2469136166792593E-2"/>
                  <c:y val="-7.4122529326841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CE-44AB-821A-5E733BAF22ED}"/>
                </c:ext>
              </c:extLst>
            </c:dLbl>
            <c:dLbl>
              <c:idx val="96"/>
              <c:layout>
                <c:manualLayout>
                  <c:x val="-3.7477954404851854E-2"/>
                  <c:y val="-4.1508616423031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CE-44AB-821A-5E733BAF22ED}"/>
                </c:ext>
              </c:extLst>
            </c:dLbl>
            <c:dLbl>
              <c:idx val="97"/>
              <c:layout>
                <c:manualLayout>
                  <c:x val="-2.998236352388154E-2"/>
                  <c:y val="-8.0052331672988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CE-44AB-821A-5E733BAF22ED}"/>
                </c:ext>
              </c:extLst>
            </c:dLbl>
            <c:dLbl>
              <c:idx val="98"/>
              <c:layout>
                <c:manualLayout>
                  <c:x val="-5.5467372519180796E-2"/>
                  <c:y val="-6.52278258076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CE-44AB-821A-5E733BAF22ED}"/>
                </c:ext>
              </c:extLst>
            </c:dLbl>
            <c:dLbl>
              <c:idx val="99"/>
              <c:layout>
                <c:manualLayout>
                  <c:x val="-3.8977072581045928E-2"/>
                  <c:y val="-4.1508616423031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CE-44AB-821A-5E733BAF22ED}"/>
                </c:ext>
              </c:extLst>
            </c:dLbl>
            <c:dLbl>
              <c:idx val="100"/>
              <c:layout>
                <c:manualLayout>
                  <c:x val="-1.798941811432889E-2"/>
                  <c:y val="-6.2262924634546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CE-44AB-821A-5E733BAF22ED}"/>
                </c:ext>
              </c:extLst>
            </c:dLbl>
            <c:dLbl>
              <c:idx val="101"/>
              <c:layout>
                <c:manualLayout>
                  <c:x val="-3.2980599876269633E-2"/>
                  <c:y val="-3.5578814076883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CE-44AB-821A-5E733BAF22ED}"/>
                </c:ext>
              </c:extLst>
            </c:dLbl>
            <c:dLbl>
              <c:idx val="102"/>
              <c:layout>
                <c:manualLayout>
                  <c:x val="-3.7477954404851854E-2"/>
                  <c:y val="-6.5227825807620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CE-44AB-821A-5E733BAF22ED}"/>
                </c:ext>
              </c:extLst>
            </c:dLbl>
            <c:dLbl>
              <c:idx val="103"/>
              <c:layout>
                <c:manualLayout>
                  <c:x val="-6.4462081576345184E-2"/>
                  <c:y val="-4.447351759610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CE-44AB-821A-5E733BAF22ED}"/>
                </c:ext>
              </c:extLst>
            </c:dLbl>
            <c:dLbl>
              <c:idx val="104"/>
              <c:layout>
                <c:manualLayout>
                  <c:x val="-1.049382723335863E-2"/>
                  <c:y val="-5.0403319942252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CE-44AB-821A-5E733BAF22ED}"/>
                </c:ext>
              </c:extLst>
            </c:dLbl>
            <c:dLbl>
              <c:idx val="116"/>
              <c:layout>
                <c:manualLayout>
                  <c:x val="-3.7477954404851854E-2"/>
                  <c:y val="-9.1911936365283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4-46B4-97B4-CB364D273A2A}"/>
                </c:ext>
              </c:extLst>
            </c:dLbl>
            <c:dLbl>
              <c:idx val="117"/>
              <c:layout>
                <c:manualLayout>
                  <c:x val="-3.8977072581045956E-2"/>
                  <c:y val="-2.96490117307365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4-46B4-97B4-CB364D273A2A}"/>
                </c:ext>
              </c:extLst>
            </c:dLbl>
            <c:dLbl>
              <c:idx val="118"/>
              <c:layout>
                <c:manualLayout>
                  <c:x val="-4.0476190757240002E-2"/>
                  <c:y val="-3.5578814076883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4-46B4-97B4-CB364D273A2A}"/>
                </c:ext>
              </c:extLst>
            </c:dLbl>
            <c:dLbl>
              <c:idx val="119"/>
              <c:layout>
                <c:manualLayout>
                  <c:x val="-5.6966490695374822E-2"/>
                  <c:y val="-6.52278258076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B4-46B4-97B4-CB364D273A2A}"/>
                </c:ext>
              </c:extLst>
            </c:dLbl>
            <c:dLbl>
              <c:idx val="120"/>
              <c:layout>
                <c:manualLayout>
                  <c:x val="-3.4479718052463706E-2"/>
                  <c:y val="-3.5578814076883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4-46B4-97B4-CB364D273A2A}"/>
                </c:ext>
              </c:extLst>
            </c:dLbl>
            <c:dLbl>
              <c:idx val="121"/>
              <c:layout>
                <c:manualLayout>
                  <c:x val="-3.2980599876269688E-2"/>
                  <c:y val="-7.7087430499915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B4-46B4-97B4-CB364D273A2A}"/>
                </c:ext>
              </c:extLst>
            </c:dLbl>
            <c:dLbl>
              <c:idx val="122"/>
              <c:layout>
                <c:manualLayout>
                  <c:x val="-5.996472704776297E-2"/>
                  <c:y val="-5.6333122288399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B4-46B4-97B4-CB364D273A2A}"/>
                </c:ext>
              </c:extLst>
            </c:dLbl>
            <c:dLbl>
              <c:idx val="123"/>
              <c:layout>
                <c:manualLayout>
                  <c:x val="-4.0476190757240002E-2"/>
                  <c:y val="-3.854371524995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B4-46B4-97B4-CB364D273A2A}"/>
                </c:ext>
              </c:extLst>
            </c:dLbl>
            <c:dLbl>
              <c:idx val="124"/>
              <c:layout>
                <c:manualLayout>
                  <c:x val="-1.4991181761940742E-2"/>
                  <c:y val="-5.0403319942252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172839944818288E-2"/>
                      <c:h val="3.11314623172733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A7B4-46B4-97B4-CB364D273A2A}"/>
                </c:ext>
              </c:extLst>
            </c:dLbl>
            <c:dLbl>
              <c:idx val="125"/>
              <c:layout>
                <c:manualLayout>
                  <c:x val="-2.2486772642911112E-2"/>
                  <c:y val="-4.447351759610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B4-46B4-97B4-CB364D273A2A}"/>
                </c:ext>
              </c:extLst>
            </c:dLbl>
            <c:dLbl>
              <c:idx val="126"/>
              <c:layout>
                <c:manualLayout>
                  <c:x val="-3.8977072581046039E-2"/>
                  <c:y val="-6.819272698069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7B4-46B4-97B4-CB364D273A2A}"/>
                </c:ext>
              </c:extLst>
            </c:dLbl>
            <c:dLbl>
              <c:idx val="127"/>
              <c:layout>
                <c:manualLayout>
                  <c:x val="-6.4462081576345184E-2"/>
                  <c:y val="-5.3368221115325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B4-46B4-97B4-CB364D273A2A}"/>
                </c:ext>
              </c:extLst>
            </c:dLbl>
            <c:dLbl>
              <c:idx val="128"/>
              <c:layout>
                <c:manualLayout>
                  <c:x val="-1.049382723335863E-2"/>
                  <c:y val="-3.2613912903810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7B4-46B4-97B4-CB364D273A2A}"/>
                </c:ext>
              </c:extLst>
            </c:dLbl>
            <c:dLbl>
              <c:idx val="187"/>
              <c:layout>
                <c:manualLayout>
                  <c:x val="-3.2980599876269633E-2"/>
                  <c:y val="-3.2613912903810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D9-4389-9E49-D3A286EF18A0}"/>
                </c:ext>
              </c:extLst>
            </c:dLbl>
            <c:dLbl>
              <c:idx val="188"/>
              <c:layout>
                <c:manualLayout>
                  <c:x val="-5.0970017990598519E-2"/>
                  <c:y val="-7.4122529326841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9-4389-9E49-D3A286EF18A0}"/>
                </c:ext>
              </c:extLst>
            </c:dLbl>
            <c:dLbl>
              <c:idx val="189"/>
              <c:layout>
                <c:manualLayout>
                  <c:x val="-3.8977072581045928E-2"/>
                  <c:y val="-3.5578814076883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D9-4389-9E49-D3A286EF18A0}"/>
                </c:ext>
              </c:extLst>
            </c:dLbl>
            <c:dLbl>
              <c:idx val="190"/>
              <c:layout>
                <c:manualLayout>
                  <c:x val="-3.8977072581045928E-2"/>
                  <c:y val="-4.447351759610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D9-4389-9E49-D3A286EF18A0}"/>
                </c:ext>
              </c:extLst>
            </c:dLbl>
            <c:dLbl>
              <c:idx val="191"/>
              <c:layout>
                <c:manualLayout>
                  <c:x val="-5.2469136166792545E-2"/>
                  <c:y val="-7.4122529326841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D9-4389-9E49-D3A286EF18A0}"/>
                </c:ext>
              </c:extLst>
            </c:dLbl>
            <c:dLbl>
              <c:idx val="192"/>
              <c:layout>
                <c:manualLayout>
                  <c:x val="-3.1481481700075559E-2"/>
                  <c:y val="-3.5578814076883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D9-4389-9E49-D3A286EF18A0}"/>
                </c:ext>
              </c:extLst>
            </c:dLbl>
            <c:dLbl>
              <c:idx val="193"/>
              <c:layout>
                <c:manualLayout>
                  <c:x val="-2.5485008995299371E-2"/>
                  <c:y val="-7.7087430499915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D9-4389-9E49-D3A286EF18A0}"/>
                </c:ext>
              </c:extLst>
            </c:dLbl>
            <c:dLbl>
              <c:idx val="194"/>
              <c:layout>
                <c:manualLayout>
                  <c:x val="-5.2469136166792593E-2"/>
                  <c:y val="-7.70874304999150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D9-4389-9E49-D3A286EF18A0}"/>
                </c:ext>
              </c:extLst>
            </c:dLbl>
            <c:dLbl>
              <c:idx val="195"/>
              <c:layout>
                <c:manualLayout>
                  <c:x val="-3.2980599876269744E-2"/>
                  <c:y val="-4.1508616423031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D9-4389-9E49-D3A286EF18A0}"/>
                </c:ext>
              </c:extLst>
            </c:dLbl>
            <c:dLbl>
              <c:idx val="196"/>
              <c:layout>
                <c:manualLayout>
                  <c:x val="-1.3492063585746669E-2"/>
                  <c:y val="-5.6333122288399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D9-4389-9E49-D3A286EF18A0}"/>
                </c:ext>
              </c:extLst>
            </c:dLbl>
            <c:dLbl>
              <c:idx val="197"/>
              <c:layout>
                <c:manualLayout>
                  <c:x val="-2.2486772642911112E-2"/>
                  <c:y val="-2.6684110557662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D9-4389-9E49-D3A286EF18A0}"/>
                </c:ext>
              </c:extLst>
            </c:dLbl>
            <c:dLbl>
              <c:idx val="198"/>
              <c:layout>
                <c:manualLayout>
                  <c:x val="-4.0476190757240002E-2"/>
                  <c:y val="-6.819272698069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AD9-4389-9E49-D3A286EF18A0}"/>
                </c:ext>
              </c:extLst>
            </c:dLbl>
            <c:dLbl>
              <c:idx val="199"/>
              <c:layout>
                <c:manualLayout>
                  <c:x val="-2.8483245347687629E-2"/>
                  <c:y val="-4.1508616423031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AD9-4389-9E49-D3A286EF18A0}"/>
                </c:ext>
              </c:extLst>
            </c:dLbl>
            <c:dLbl>
              <c:idx val="211"/>
              <c:layout>
                <c:manualLayout>
                  <c:x val="-4.197530893343409E-2"/>
                  <c:y val="-3.5578814076883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95-4FE5-9527-8CC656E822A3}"/>
                </c:ext>
              </c:extLst>
            </c:dLbl>
            <c:dLbl>
              <c:idx val="212"/>
              <c:layout>
                <c:manualLayout>
                  <c:x val="-4.4973545285822251E-2"/>
                  <c:y val="-7.4122529326841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95-4FE5-9527-8CC656E822A3}"/>
                </c:ext>
              </c:extLst>
            </c:dLbl>
            <c:dLbl>
              <c:idx val="213"/>
              <c:layout>
                <c:manualLayout>
                  <c:x val="-4.3474427109628178E-2"/>
                  <c:y val="-4.447351759610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95-4FE5-9527-8CC656E822A3}"/>
                </c:ext>
              </c:extLst>
            </c:dLbl>
            <c:dLbl>
              <c:idx val="214"/>
              <c:layout>
                <c:manualLayout>
                  <c:x val="-4.1975308933434076E-2"/>
                  <c:y val="-5.0403319942252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95-4FE5-9527-8CC656E822A3}"/>
                </c:ext>
              </c:extLst>
            </c:dLbl>
            <c:dLbl>
              <c:idx val="215"/>
              <c:layout>
                <c:manualLayout>
                  <c:x val="-5.2469136166792545E-2"/>
                  <c:y val="-8.59821340191359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95-4FE5-9527-8CC656E822A3}"/>
                </c:ext>
              </c:extLst>
            </c:dLbl>
            <c:dLbl>
              <c:idx val="216"/>
              <c:layout>
                <c:manualLayout>
                  <c:x val="-3.747795440485191E-2"/>
                  <c:y val="-4.447351759610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95-4FE5-9527-8CC656E822A3}"/>
                </c:ext>
              </c:extLst>
            </c:dLbl>
            <c:dLbl>
              <c:idx val="217"/>
              <c:layout>
                <c:manualLayout>
                  <c:x val="-2.9982363523881485E-2"/>
                  <c:y val="-8.0052331672988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95-4FE5-9527-8CC656E822A3}"/>
                </c:ext>
              </c:extLst>
            </c:dLbl>
            <c:dLbl>
              <c:idx val="218"/>
              <c:layout>
                <c:manualLayout>
                  <c:x val="-5.2469136166792593E-2"/>
                  <c:y val="-7.4122529326841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95-4FE5-9527-8CC656E822A3}"/>
                </c:ext>
              </c:extLst>
            </c:dLbl>
            <c:dLbl>
              <c:idx val="219"/>
              <c:layout>
                <c:manualLayout>
                  <c:x val="-3.8977072581045928E-2"/>
                  <c:y val="-4.447351759610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95-4FE5-9527-8CC656E822A3}"/>
                </c:ext>
              </c:extLst>
            </c:dLbl>
            <c:dLbl>
              <c:idx val="220"/>
              <c:layout>
                <c:manualLayout>
                  <c:x val="-1.4991181761940742E-2"/>
                  <c:y val="-7.1157628153767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95-4FE5-9527-8CC656E822A3}"/>
                </c:ext>
              </c:extLst>
            </c:dLbl>
            <c:dLbl>
              <c:idx val="221"/>
              <c:layout>
                <c:manualLayout>
                  <c:x val="-2.2486772642911112E-2"/>
                  <c:y val="-2.96490117307365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395-4FE5-9527-8CC656E822A3}"/>
                </c:ext>
              </c:extLst>
            </c:dLbl>
            <c:dLbl>
              <c:idx val="222"/>
              <c:layout>
                <c:manualLayout>
                  <c:x val="-3.2980599876269633E-2"/>
                  <c:y val="-7.70874304999150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395-4FE5-9527-8CC656E822A3}"/>
                </c:ext>
              </c:extLst>
            </c:dLbl>
            <c:dLbl>
              <c:idx val="223"/>
              <c:layout>
                <c:manualLayout>
                  <c:x val="-1.7989418114329001E-2"/>
                  <c:y val="-4.447351759610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395-4FE5-9527-8CC656E822A3}"/>
                </c:ext>
              </c:extLst>
            </c:dLbl>
            <c:dLbl>
              <c:idx val="234"/>
              <c:layout>
                <c:manualLayout>
                  <c:x val="-4.0308100656224227E-2"/>
                  <c:y val="-3.9396523689204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D-47D8-84FA-4C41E87313DC}"/>
                </c:ext>
              </c:extLst>
            </c:dLbl>
            <c:dLbl>
              <c:idx val="235"/>
              <c:layout>
                <c:manualLayout>
                  <c:x val="-3.9822716881380914E-2"/>
                  <c:y val="-4.9463878290601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3D-47D8-84FA-4C41E87313DC}"/>
                </c:ext>
              </c:extLst>
            </c:dLbl>
            <c:dLbl>
              <c:idx val="236"/>
              <c:layout>
                <c:manualLayout>
                  <c:x val="-4.7319134047960239E-2"/>
                  <c:y val="-6.0040402021828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3D-47D8-84FA-4C41E87313DC}"/>
                </c:ext>
              </c:extLst>
            </c:dLbl>
            <c:dLbl>
              <c:idx val="237"/>
              <c:layout>
                <c:manualLayout>
                  <c:x val="-5.1331931087308054E-2"/>
                  <c:y val="-4.8247113073393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3D-47D8-84FA-4C41E87313DC}"/>
                </c:ext>
              </c:extLst>
            </c:dLbl>
            <c:dLbl>
              <c:idx val="238"/>
              <c:layout>
                <c:manualLayout>
                  <c:x val="-4.4579407050364644E-2"/>
                  <c:y val="-4.7363234627049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3D-47D8-84FA-4C41E87313DC}"/>
                </c:ext>
              </c:extLst>
            </c:dLbl>
            <c:dLbl>
              <c:idx val="239"/>
              <c:layout>
                <c:manualLayout>
                  <c:x val="-5.1524691715790327E-2"/>
                  <c:y val="-0.103071613552536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3D-47D8-84FA-4C41E87313DC}"/>
                </c:ext>
              </c:extLst>
            </c:dLbl>
            <c:dLbl>
              <c:idx val="240"/>
              <c:layout>
                <c:manualLayout>
                  <c:x val="-3.724305321031441E-2"/>
                  <c:y val="-2.95556221166634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3D-47D8-84FA-4C41E87313DC}"/>
                </c:ext>
              </c:extLst>
            </c:dLbl>
            <c:dLbl>
              <c:idx val="241"/>
              <c:layout>
                <c:manualLayout>
                  <c:x val="-2.7962331291660286E-2"/>
                  <c:y val="-6.59849261622879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3D-47D8-84FA-4C41E87313DC}"/>
                </c:ext>
              </c:extLst>
            </c:dLbl>
            <c:dLbl>
              <c:idx val="242"/>
              <c:layout>
                <c:manualLayout>
                  <c:x val="-6.3389916978363242E-2"/>
                  <c:y val="-6.3475966090868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3D-47D8-84FA-4C41E87313DC}"/>
                </c:ext>
              </c:extLst>
            </c:dLbl>
            <c:dLbl>
              <c:idx val="243"/>
              <c:layout>
                <c:manualLayout>
                  <c:x val="-4.4666521161705629E-2"/>
                  <c:y val="-3.4964814568820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3D-47D8-84FA-4C41E87313DC}"/>
                </c:ext>
              </c:extLst>
            </c:dLbl>
            <c:dLbl>
              <c:idx val="244"/>
              <c:layout>
                <c:manualLayout>
                  <c:x val="-2.3610521071050293E-2"/>
                  <c:y val="-8.07576046213237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13D-47D8-84FA-4C41E87313DC}"/>
                </c:ext>
              </c:extLst>
            </c:dLbl>
            <c:dLbl>
              <c:idx val="245"/>
              <c:layout>
                <c:manualLayout>
                  <c:x val="-3.1431668481937458E-2"/>
                  <c:y val="-4.549839288349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3D-47D8-84FA-4C41E87313DC}"/>
                </c:ext>
              </c:extLst>
            </c:dLbl>
            <c:dLbl>
              <c:idx val="246"/>
              <c:layout>
                <c:manualLayout>
                  <c:x val="-1.7378556967730233E-2"/>
                  <c:y val="-7.0557177302024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3D-47D8-84FA-4C41E87313DC}"/>
                </c:ext>
              </c:extLst>
            </c:dLbl>
            <c:dLbl>
              <c:idx val="257"/>
              <c:layout>
                <c:manualLayout>
                  <c:x val="-2.8480176286854366E-2"/>
                  <c:y val="-3.8333361737235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13D-47D8-84FA-4C41E87313DC}"/>
                </c:ext>
              </c:extLst>
            </c:dLbl>
            <c:dLbl>
              <c:idx val="258"/>
              <c:layout>
                <c:manualLayout>
                  <c:x val="-2.3985890819105297E-2"/>
                  <c:y val="-7.4122512022437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71-4938-8C26-C08907E25CC5}"/>
                </c:ext>
              </c:extLst>
            </c:dLbl>
            <c:dLbl>
              <c:idx val="259"/>
              <c:layout>
                <c:manualLayout>
                  <c:x val="-2.3985890819105186E-2"/>
                  <c:y val="-4.1508616423031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71-4938-8C26-C08907E25CC5}"/>
                </c:ext>
              </c:extLst>
            </c:dLbl>
            <c:dLbl>
              <c:idx val="260"/>
              <c:layout>
                <c:manualLayout>
                  <c:x val="-4.0476190757240002E-2"/>
                  <c:y val="-6.819272698069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71-4938-8C26-C08907E25CC5}"/>
                </c:ext>
              </c:extLst>
            </c:dLbl>
            <c:dLbl>
              <c:idx val="261"/>
              <c:layout>
                <c:manualLayout>
                  <c:x val="-3.2980599876269633E-2"/>
                  <c:y val="-3.2613912903810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71-4938-8C26-C08907E25CC5}"/>
                </c:ext>
              </c:extLst>
            </c:dLbl>
            <c:dLbl>
              <c:idx val="262"/>
              <c:layout>
                <c:manualLayout>
                  <c:x val="-3.4479718052463762E-2"/>
                  <c:y val="-4.447351759610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71-4938-8C26-C08907E25CC5}"/>
                </c:ext>
              </c:extLst>
            </c:dLbl>
            <c:dLbl>
              <c:idx val="263"/>
              <c:layout>
                <c:manualLayout>
                  <c:x val="-5.2469136166792649E-2"/>
                  <c:y val="-6.2262924634546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71-4938-8C26-C08907E25CC5}"/>
                </c:ext>
              </c:extLst>
            </c:dLbl>
            <c:dLbl>
              <c:idx val="264"/>
              <c:layout>
                <c:manualLayout>
                  <c:x val="-4.1975308933434187E-2"/>
                  <c:y val="-3.5578814076883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71-4938-8C26-C08907E25CC5}"/>
                </c:ext>
              </c:extLst>
            </c:dLbl>
            <c:dLbl>
              <c:idx val="265"/>
              <c:layout>
                <c:manualLayout>
                  <c:x val="-2.9982363523881485E-2"/>
                  <c:y val="-8.0052331672988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B71-4938-8C26-C08907E25CC5}"/>
                </c:ext>
              </c:extLst>
            </c:dLbl>
            <c:dLbl>
              <c:idx val="266"/>
              <c:layout>
                <c:manualLayout>
                  <c:x val="-5.9964727047763081E-2"/>
                  <c:y val="-7.4122529326841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71-4938-8C26-C08907E25CC5}"/>
                </c:ext>
              </c:extLst>
            </c:dLbl>
            <c:dLbl>
              <c:idx val="267"/>
              <c:layout>
                <c:manualLayout>
                  <c:x val="-3.7477954404851854E-2"/>
                  <c:y val="-5.6333122288399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B71-4938-8C26-C08907E25CC5}"/>
                </c:ext>
              </c:extLst>
            </c:dLbl>
            <c:dLbl>
              <c:idx val="268"/>
              <c:layout>
                <c:manualLayout>
                  <c:x val="-2.0987654466717038E-2"/>
                  <c:y val="-6.2262924634546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71-4938-8C26-C08907E25CC5}"/>
                </c:ext>
              </c:extLst>
            </c:dLbl>
            <c:dLbl>
              <c:idx val="269"/>
              <c:layout>
                <c:manualLayout>
                  <c:x val="-2.0987654466717038E-2"/>
                  <c:y val="-4.4473517596104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B71-4938-8C26-C08907E25CC5}"/>
                </c:ext>
              </c:extLst>
            </c:dLbl>
            <c:dLbl>
              <c:idx val="270"/>
              <c:layout>
                <c:manualLayout>
                  <c:x val="0"/>
                  <c:y val="-3.5578814076883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71-4938-8C26-C08907E25CC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('Folha 10 serie hist '!$B$7:$B$18,'Folha 10 serie hist '!$B$20:$B$31,'Folha 10 serie hist '!$B$33:$B$44,'Folha 10 serie hist '!$B$46:$B$57)</c15:sqref>
                  </c15:fullRef>
                </c:ext>
              </c:extLst>
              <c:f>('Folha 10 serie hist '!$B$33:$B$44,'Folha 10 serie hist '!$B$46:$B$51)</c:f>
              <c:numCache>
                <c:formatCode>[$-416]mmmm\-yy;@</c:formatCode>
                <c:ptCount val="18"/>
                <c:pt idx="0">
                  <c:v>45678</c:v>
                </c:pt>
                <c:pt idx="1">
                  <c:v>45709</c:v>
                </c:pt>
                <c:pt idx="2">
                  <c:v>45740</c:v>
                </c:pt>
                <c:pt idx="3">
                  <c:v>45771</c:v>
                </c:pt>
                <c:pt idx="4">
                  <c:v>45802</c:v>
                </c:pt>
                <c:pt idx="5">
                  <c:v>45833</c:v>
                </c:pt>
                <c:pt idx="6">
                  <c:v>45864</c:v>
                </c:pt>
                <c:pt idx="7">
                  <c:v>45895</c:v>
                </c:pt>
                <c:pt idx="8">
                  <c:v>45926</c:v>
                </c:pt>
                <c:pt idx="9">
                  <c:v>45957</c:v>
                </c:pt>
                <c:pt idx="10">
                  <c:v>45988</c:v>
                </c:pt>
                <c:pt idx="11">
                  <c:v>46019</c:v>
                </c:pt>
                <c:pt idx="12">
                  <c:v>46050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('Folha 10 serie hist '!$G$7:$G$18,'Folha 10 serie hist '!$G$20:$G$31,'Folha 10 serie hist '!$G$33:$G$44,'Folha 10 serie hist '!$G$46:$G$57)</c15:sqref>
                  </c15:fullRef>
                </c:ext>
              </c:extLst>
              <c:f>('Folha 10 serie hist '!$G$33:$G$44,'Folha 10 serie hist '!$G$46:$G$51)</c:f>
              <c:numCache>
                <c:formatCode>#,##0</c:formatCode>
                <c:ptCount val="18"/>
                <c:pt idx="0">
                  <c:v>114445.28</c:v>
                </c:pt>
                <c:pt idx="1">
                  <c:v>123213.06999999999</c:v>
                </c:pt>
                <c:pt idx="2">
                  <c:v>86618.26999999999</c:v>
                </c:pt>
                <c:pt idx="3">
                  <c:v>168574.6400000001</c:v>
                </c:pt>
                <c:pt idx="4">
                  <c:v>157927.29</c:v>
                </c:pt>
                <c:pt idx="5">
                  <c:v>124170.58000000002</c:v>
                </c:pt>
                <c:pt idx="6">
                  <c:v>225203.12000000005</c:v>
                </c:pt>
                <c:pt idx="7">
                  <c:v>131315.56</c:v>
                </c:pt>
                <c:pt idx="8">
                  <c:v>161292.61000000004</c:v>
                </c:pt>
                <c:pt idx="9">
                  <c:v>241700.50999999989</c:v>
                </c:pt>
                <c:pt idx="10">
                  <c:v>114943.87</c:v>
                </c:pt>
                <c:pt idx="11">
                  <c:v>113043.95000000006</c:v>
                </c:pt>
                <c:pt idx="12">
                  <c:v>65288.069999999978</c:v>
                </c:pt>
                <c:pt idx="13">
                  <c:v>111924.60999999999</c:v>
                </c:pt>
                <c:pt idx="14">
                  <c:v>209381.48999999996</c:v>
                </c:pt>
                <c:pt idx="15">
                  <c:v>152681.24000000005</c:v>
                </c:pt>
                <c:pt idx="16">
                  <c:v>106468.81999999998</c:v>
                </c:pt>
                <c:pt idx="17">
                  <c:v>253429.82000000007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897-4CE1-BA5A-6A38DCEDF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18976"/>
        <c:axId val="205796992"/>
      </c:lineChart>
      <c:dateAx>
        <c:axId val="208318976"/>
        <c:scaling>
          <c:orientation val="minMax"/>
          <c:max val="46174"/>
          <c:min val="45809"/>
        </c:scaling>
        <c:delete val="0"/>
        <c:axPos val="b"/>
        <c:numFmt formatCode="mmm/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5796992"/>
        <c:crosses val="autoZero"/>
        <c:auto val="0"/>
        <c:lblOffset val="100"/>
        <c:baseTimeUnit val="months"/>
        <c:majorUnit val="1"/>
        <c:majorTimeUnit val="months"/>
        <c:minorUnit val="1"/>
        <c:minorTimeUnit val="months"/>
      </c:dateAx>
      <c:valAx>
        <c:axId val="205796992"/>
        <c:scaling>
          <c:orientation val="minMax"/>
          <c:max val="300000"/>
        </c:scaling>
        <c:delete val="0"/>
        <c:axPos val="l"/>
        <c:majorGridlines>
          <c:spPr>
            <a:ln w="6350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8318976"/>
        <c:crosses val="autoZero"/>
        <c:crossBetween val="between"/>
        <c:majorUnit val="50000"/>
      </c:valAx>
      <c:spPr>
        <a:gradFill rotWithShape="0">
          <a:gsLst>
            <a:gs pos="0">
              <a:srgbClr val="C0C0C0">
                <a:gamma/>
                <a:tint val="0"/>
                <a:invGamma/>
              </a:srgbClr>
            </a:gs>
            <a:gs pos="100000">
              <a:srgbClr val="C0C0C0"/>
            </a:gs>
          </a:gsLst>
          <a:lin ang="5400000" scaled="1"/>
        </a:gradFill>
        <a:ln w="3175">
          <a:noFill/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1192" footer="0.4921259850000119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3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5.jpeg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image" Target="../media/image6.jpeg"/><Relationship Id="rId1" Type="http://schemas.openxmlformats.org/officeDocument/2006/relationships/chart" Target="../charts/chart10.xml"/><Relationship Id="rId4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666750</xdr:colOff>
      <xdr:row>44</xdr:row>
      <xdr:rowOff>2458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53150" cy="8803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70</xdr:row>
      <xdr:rowOff>161925</xdr:rowOff>
    </xdr:from>
    <xdr:to>
      <xdr:col>21</xdr:col>
      <xdr:colOff>38100</xdr:colOff>
      <xdr:row>87</xdr:row>
      <xdr:rowOff>57150</xdr:rowOff>
    </xdr:to>
    <xdr:graphicFrame macro="">
      <xdr:nvGraphicFramePr>
        <xdr:cNvPr id="92324" name="Chart 10">
          <a:extLst>
            <a:ext uri="{FF2B5EF4-FFF2-40B4-BE49-F238E27FC236}">
              <a16:creationId xmlns:a16="http://schemas.microsoft.com/office/drawing/2014/main" id="{00000000-0008-0000-0100-0000A46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47625</xdr:colOff>
      <xdr:row>0</xdr:row>
      <xdr:rowOff>28575</xdr:rowOff>
    </xdr:from>
    <xdr:to>
      <xdr:col>20</xdr:col>
      <xdr:colOff>333375</xdr:colOff>
      <xdr:row>0</xdr:row>
      <xdr:rowOff>762000</xdr:rowOff>
    </xdr:to>
    <xdr:pic>
      <xdr:nvPicPr>
        <xdr:cNvPr id="92325" name="Picture 5" descr="Logo Ademi">
          <a:extLst>
            <a:ext uri="{FF2B5EF4-FFF2-40B4-BE49-F238E27FC236}">
              <a16:creationId xmlns:a16="http://schemas.microsoft.com/office/drawing/2014/main" id="{00000000-0008-0000-0100-0000A56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3969" y="28575"/>
          <a:ext cx="10953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114300</xdr:rowOff>
        </xdr:from>
        <xdr:to>
          <xdr:col>0</xdr:col>
          <xdr:colOff>762000</xdr:colOff>
          <xdr:row>0</xdr:row>
          <xdr:rowOff>504825</xdr:rowOff>
        </xdr:to>
        <xdr:sp macro="" textlink="">
          <xdr:nvSpPr>
            <xdr:cNvPr id="92161" name="Object 1" hidden="1">
              <a:extLst>
                <a:ext uri="{63B3BB69-23CF-44E3-9099-C40C66FF867C}">
                  <a14:compatExt spid="_x0000_s92161"/>
                </a:ext>
                <a:ext uri="{FF2B5EF4-FFF2-40B4-BE49-F238E27FC236}">
                  <a16:creationId xmlns:a16="http://schemas.microsoft.com/office/drawing/2014/main" id="{00000000-0008-0000-0100-0000016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76200</xdr:colOff>
      <xdr:row>70</xdr:row>
      <xdr:rowOff>104775</xdr:rowOff>
    </xdr:from>
    <xdr:to>
      <xdr:col>9</xdr:col>
      <xdr:colOff>523875</xdr:colOff>
      <xdr:row>86</xdr:row>
      <xdr:rowOff>85725</xdr:rowOff>
    </xdr:to>
    <xdr:graphicFrame macro="">
      <xdr:nvGraphicFramePr>
        <xdr:cNvPr id="92326" name="Chart 9">
          <a:extLst>
            <a:ext uri="{FF2B5EF4-FFF2-40B4-BE49-F238E27FC236}">
              <a16:creationId xmlns:a16="http://schemas.microsoft.com/office/drawing/2014/main" id="{00000000-0008-0000-0100-0000A66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238125</xdr:colOff>
      <xdr:row>0</xdr:row>
      <xdr:rowOff>76200</xdr:rowOff>
    </xdr:from>
    <xdr:to>
      <xdr:col>10</xdr:col>
      <xdr:colOff>600075</xdr:colOff>
      <xdr:row>0</xdr:row>
      <xdr:rowOff>809625</xdr:rowOff>
    </xdr:to>
    <xdr:pic>
      <xdr:nvPicPr>
        <xdr:cNvPr id="85106" name="Picture 1026" descr="Logo Ademi">
          <a:extLst>
            <a:ext uri="{FF2B5EF4-FFF2-40B4-BE49-F238E27FC236}">
              <a16:creationId xmlns:a16="http://schemas.microsoft.com/office/drawing/2014/main" id="{00000000-0008-0000-0200-000072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200"/>
          <a:ext cx="11334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285750</xdr:colOff>
      <xdr:row>70</xdr:row>
      <xdr:rowOff>180975</xdr:rowOff>
    </xdr:from>
    <xdr:to>
      <xdr:col>10</xdr:col>
      <xdr:colOff>504825</xdr:colOff>
      <xdr:row>85</xdr:row>
      <xdr:rowOff>47625</xdr:rowOff>
    </xdr:to>
    <xdr:graphicFrame macro="">
      <xdr:nvGraphicFramePr>
        <xdr:cNvPr id="85107" name="Chart 5">
          <a:extLst>
            <a:ext uri="{FF2B5EF4-FFF2-40B4-BE49-F238E27FC236}">
              <a16:creationId xmlns:a16="http://schemas.microsoft.com/office/drawing/2014/main" id="{00000000-0008-0000-0200-0000734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161925</xdr:rowOff>
        </xdr:from>
        <xdr:to>
          <xdr:col>0</xdr:col>
          <xdr:colOff>752475</xdr:colOff>
          <xdr:row>0</xdr:row>
          <xdr:rowOff>561975</xdr:rowOff>
        </xdr:to>
        <xdr:sp macro="" textlink="">
          <xdr:nvSpPr>
            <xdr:cNvPr id="84997" name="Object 1029" hidden="1">
              <a:extLst>
                <a:ext uri="{63B3BB69-23CF-44E3-9099-C40C66FF867C}">
                  <a14:compatExt spid="_x0000_s84997"/>
                </a:ext>
                <a:ext uri="{FF2B5EF4-FFF2-40B4-BE49-F238E27FC236}">
                  <a16:creationId xmlns:a16="http://schemas.microsoft.com/office/drawing/2014/main" id="{00000000-0008-0000-0200-000005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21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52448" name="Chart 1">
          <a:extLst>
            <a:ext uri="{FF2B5EF4-FFF2-40B4-BE49-F238E27FC236}">
              <a16:creationId xmlns:a16="http://schemas.microsoft.com/office/drawing/2014/main" id="{00000000-0008-0000-0300-0000E0C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283029</xdr:colOff>
      <xdr:row>0</xdr:row>
      <xdr:rowOff>163286</xdr:rowOff>
    </xdr:from>
    <xdr:to>
      <xdr:col>14</xdr:col>
      <xdr:colOff>252420</xdr:colOff>
      <xdr:row>0</xdr:row>
      <xdr:rowOff>896711</xdr:rowOff>
    </xdr:to>
    <xdr:pic>
      <xdr:nvPicPr>
        <xdr:cNvPr id="52449" name="Picture 4" descr="Logo Ademi">
          <a:extLst>
            <a:ext uri="{FF2B5EF4-FFF2-40B4-BE49-F238E27FC236}">
              <a16:creationId xmlns:a16="http://schemas.microsoft.com/office/drawing/2014/main" id="{00000000-0008-0000-0300-0000E1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636" y="163286"/>
          <a:ext cx="1112391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</xdr:colOff>
      <xdr:row>41</xdr:row>
      <xdr:rowOff>0</xdr:rowOff>
    </xdr:from>
    <xdr:to>
      <xdr:col>7</xdr:col>
      <xdr:colOff>535114</xdr:colOff>
      <xdr:row>59</xdr:row>
      <xdr:rowOff>38100</xdr:rowOff>
    </xdr:to>
    <xdr:graphicFrame macro="">
      <xdr:nvGraphicFramePr>
        <xdr:cNvPr id="52450" name="Chart 19">
          <a:extLst>
            <a:ext uri="{FF2B5EF4-FFF2-40B4-BE49-F238E27FC236}">
              <a16:creationId xmlns:a16="http://schemas.microsoft.com/office/drawing/2014/main" id="{00000000-0008-0000-0300-0000E2C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385482</xdr:colOff>
      <xdr:row>40</xdr:row>
      <xdr:rowOff>103095</xdr:rowOff>
    </xdr:from>
    <xdr:to>
      <xdr:col>16</xdr:col>
      <xdr:colOff>0</xdr:colOff>
      <xdr:row>59</xdr:row>
      <xdr:rowOff>64995</xdr:rowOff>
    </xdr:to>
    <xdr:graphicFrame macro="">
      <xdr:nvGraphicFramePr>
        <xdr:cNvPr id="52451" name="Chart 20">
          <a:extLst>
            <a:ext uri="{FF2B5EF4-FFF2-40B4-BE49-F238E27FC236}">
              <a16:creationId xmlns:a16="http://schemas.microsoft.com/office/drawing/2014/main" id="{00000000-0008-0000-0300-0000E3C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314325</xdr:colOff>
          <xdr:row>0</xdr:row>
          <xdr:rowOff>228600</xdr:rowOff>
        </xdr:from>
        <xdr:to>
          <xdr:col>1</xdr:col>
          <xdr:colOff>723900</xdr:colOff>
          <xdr:row>0</xdr:row>
          <xdr:rowOff>647700</xdr:rowOff>
        </xdr:to>
        <xdr:sp macro="" textlink="">
          <xdr:nvSpPr>
            <xdr:cNvPr id="52231" name="Object 7" hidden="1">
              <a:extLst>
                <a:ext uri="{63B3BB69-23CF-44E3-9099-C40C66FF867C}">
                  <a14:compatExt spid="_x0000_s52231"/>
                </a:ext>
                <a:ext uri="{FF2B5EF4-FFF2-40B4-BE49-F238E27FC236}">
                  <a16:creationId xmlns:a16="http://schemas.microsoft.com/office/drawing/2014/main" id="{00000000-0008-0000-0300-000007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70</xdr:row>
      <xdr:rowOff>95250</xdr:rowOff>
    </xdr:from>
    <xdr:to>
      <xdr:col>20</xdr:col>
      <xdr:colOff>533400</xdr:colOff>
      <xdr:row>87</xdr:row>
      <xdr:rowOff>57150</xdr:rowOff>
    </xdr:to>
    <xdr:graphicFrame macro="">
      <xdr:nvGraphicFramePr>
        <xdr:cNvPr id="102567" name="Chart 10">
          <a:extLst>
            <a:ext uri="{FF2B5EF4-FFF2-40B4-BE49-F238E27FC236}">
              <a16:creationId xmlns:a16="http://schemas.microsoft.com/office/drawing/2014/main" id="{00000000-0008-0000-0400-0000A790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70</xdr:row>
      <xdr:rowOff>57150</xdr:rowOff>
    </xdr:from>
    <xdr:to>
      <xdr:col>9</xdr:col>
      <xdr:colOff>447675</xdr:colOff>
      <xdr:row>86</xdr:row>
      <xdr:rowOff>38100</xdr:rowOff>
    </xdr:to>
    <xdr:graphicFrame macro="">
      <xdr:nvGraphicFramePr>
        <xdr:cNvPr id="102568" name="Chart 9">
          <a:extLst>
            <a:ext uri="{FF2B5EF4-FFF2-40B4-BE49-F238E27FC236}">
              <a16:creationId xmlns:a16="http://schemas.microsoft.com/office/drawing/2014/main" id="{00000000-0008-0000-0400-0000A890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76200</xdr:colOff>
      <xdr:row>0</xdr:row>
      <xdr:rowOff>0</xdr:rowOff>
    </xdr:from>
    <xdr:to>
      <xdr:col>20</xdr:col>
      <xdr:colOff>361950</xdr:colOff>
      <xdr:row>0</xdr:row>
      <xdr:rowOff>733425</xdr:rowOff>
    </xdr:to>
    <xdr:pic>
      <xdr:nvPicPr>
        <xdr:cNvPr id="102569" name="Picture 5" descr="Logo Ademi">
          <a:extLst>
            <a:ext uri="{FF2B5EF4-FFF2-40B4-BE49-F238E27FC236}">
              <a16:creationId xmlns:a16="http://schemas.microsoft.com/office/drawing/2014/main" id="{00000000-0008-0000-0400-0000A99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0"/>
          <a:ext cx="11049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85725</xdr:rowOff>
        </xdr:from>
        <xdr:to>
          <xdr:col>0</xdr:col>
          <xdr:colOff>752475</xdr:colOff>
          <xdr:row>0</xdr:row>
          <xdr:rowOff>476250</xdr:rowOff>
        </xdr:to>
        <xdr:sp macro="" textlink="">
          <xdr:nvSpPr>
            <xdr:cNvPr id="102404" name="Object 4" hidden="1">
              <a:extLst>
                <a:ext uri="{63B3BB69-23CF-44E3-9099-C40C66FF867C}">
                  <a14:compatExt spid="_x0000_s102404"/>
                </a:ext>
                <a:ext uri="{FF2B5EF4-FFF2-40B4-BE49-F238E27FC236}">
                  <a16:creationId xmlns:a16="http://schemas.microsoft.com/office/drawing/2014/main" id="{00000000-0008-0000-0400-0000049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0</xdr:row>
      <xdr:rowOff>9525</xdr:rowOff>
    </xdr:from>
    <xdr:to>
      <xdr:col>10</xdr:col>
      <xdr:colOff>457200</xdr:colOff>
      <xdr:row>0</xdr:row>
      <xdr:rowOff>742950</xdr:rowOff>
    </xdr:to>
    <xdr:pic>
      <xdr:nvPicPr>
        <xdr:cNvPr id="103537" name="Picture 1026" descr="Logo Ademi">
          <a:extLst>
            <a:ext uri="{FF2B5EF4-FFF2-40B4-BE49-F238E27FC236}">
              <a16:creationId xmlns:a16="http://schemas.microsoft.com/office/drawing/2014/main" id="{00000000-0008-0000-0500-0000719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9525"/>
          <a:ext cx="11239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314325</xdr:colOff>
      <xdr:row>70</xdr:row>
      <xdr:rowOff>200025</xdr:rowOff>
    </xdr:from>
    <xdr:to>
      <xdr:col>10</xdr:col>
      <xdr:colOff>533400</xdr:colOff>
      <xdr:row>85</xdr:row>
      <xdr:rowOff>57150</xdr:rowOff>
    </xdr:to>
    <xdr:graphicFrame macro="">
      <xdr:nvGraphicFramePr>
        <xdr:cNvPr id="103538" name="Chart 5">
          <a:extLst>
            <a:ext uri="{FF2B5EF4-FFF2-40B4-BE49-F238E27FC236}">
              <a16:creationId xmlns:a16="http://schemas.microsoft.com/office/drawing/2014/main" id="{00000000-0008-0000-0500-0000729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142875</xdr:rowOff>
        </xdr:from>
        <xdr:to>
          <xdr:col>0</xdr:col>
          <xdr:colOff>762000</xdr:colOff>
          <xdr:row>0</xdr:row>
          <xdr:rowOff>542925</xdr:rowOff>
        </xdr:to>
        <xdr:sp macro="" textlink="">
          <xdr:nvSpPr>
            <xdr:cNvPr id="103428" name="Object 4" hidden="1">
              <a:extLst>
                <a:ext uri="{63B3BB69-23CF-44E3-9099-C40C66FF867C}">
                  <a14:compatExt spid="_x0000_s103428"/>
                </a:ext>
                <a:ext uri="{FF2B5EF4-FFF2-40B4-BE49-F238E27FC236}">
                  <a16:creationId xmlns:a16="http://schemas.microsoft.com/office/drawing/2014/main" id="{00000000-0008-0000-0500-0000049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20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56541" name="Chart 1">
          <a:extLst>
            <a:ext uri="{FF2B5EF4-FFF2-40B4-BE49-F238E27FC236}">
              <a16:creationId xmlns:a16="http://schemas.microsoft.com/office/drawing/2014/main" id="{00000000-0008-0000-0600-0000DDD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352425</xdr:colOff>
      <xdr:row>0</xdr:row>
      <xdr:rowOff>231402</xdr:rowOff>
    </xdr:from>
    <xdr:to>
      <xdr:col>14</xdr:col>
      <xdr:colOff>329453</xdr:colOff>
      <xdr:row>0</xdr:row>
      <xdr:rowOff>964827</xdr:rowOff>
    </xdr:to>
    <xdr:pic>
      <xdr:nvPicPr>
        <xdr:cNvPr id="56542" name="Picture 3" descr="Logo Ademi">
          <a:extLst>
            <a:ext uri="{FF2B5EF4-FFF2-40B4-BE49-F238E27FC236}">
              <a16:creationId xmlns:a16="http://schemas.microsoft.com/office/drawing/2014/main" id="{00000000-0008-0000-0600-0000DED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0631" y="231402"/>
          <a:ext cx="1120028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40</xdr:row>
      <xdr:rowOff>28575</xdr:rowOff>
    </xdr:from>
    <xdr:to>
      <xdr:col>7</xdr:col>
      <xdr:colOff>515470</xdr:colOff>
      <xdr:row>57</xdr:row>
      <xdr:rowOff>57150</xdr:rowOff>
    </xdr:to>
    <xdr:graphicFrame macro="">
      <xdr:nvGraphicFramePr>
        <xdr:cNvPr id="56543" name="Chart 11">
          <a:extLst>
            <a:ext uri="{FF2B5EF4-FFF2-40B4-BE49-F238E27FC236}">
              <a16:creationId xmlns:a16="http://schemas.microsoft.com/office/drawing/2014/main" id="{00000000-0008-0000-0600-0000DFD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549088</xdr:colOff>
      <xdr:row>39</xdr:row>
      <xdr:rowOff>66675</xdr:rowOff>
    </xdr:from>
    <xdr:to>
      <xdr:col>16</xdr:col>
      <xdr:colOff>52668</xdr:colOff>
      <xdr:row>57</xdr:row>
      <xdr:rowOff>47625</xdr:rowOff>
    </xdr:to>
    <xdr:graphicFrame macro="">
      <xdr:nvGraphicFramePr>
        <xdr:cNvPr id="56544" name="Chart 12">
          <a:extLst>
            <a:ext uri="{FF2B5EF4-FFF2-40B4-BE49-F238E27FC236}">
              <a16:creationId xmlns:a16="http://schemas.microsoft.com/office/drawing/2014/main" id="{00000000-0008-0000-0600-0000E0D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247650</xdr:rowOff>
        </xdr:from>
        <xdr:to>
          <xdr:col>2</xdr:col>
          <xdr:colOff>257175</xdr:colOff>
          <xdr:row>0</xdr:row>
          <xdr:rowOff>723900</xdr:rowOff>
        </xdr:to>
        <xdr:sp macro="" textlink="">
          <xdr:nvSpPr>
            <xdr:cNvPr id="56324" name="Object 4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6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70</xdr:row>
      <xdr:rowOff>47625</xdr:rowOff>
    </xdr:from>
    <xdr:to>
      <xdr:col>8</xdr:col>
      <xdr:colOff>857250</xdr:colOff>
      <xdr:row>87</xdr:row>
      <xdr:rowOff>0</xdr:rowOff>
    </xdr:to>
    <xdr:graphicFrame macro="">
      <xdr:nvGraphicFramePr>
        <xdr:cNvPr id="83057" name="Chart 4">
          <a:extLst>
            <a:ext uri="{FF2B5EF4-FFF2-40B4-BE49-F238E27FC236}">
              <a16:creationId xmlns:a16="http://schemas.microsoft.com/office/drawing/2014/main" id="{00000000-0008-0000-0700-0000714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123825</xdr:rowOff>
        </xdr:from>
        <xdr:to>
          <xdr:col>0</xdr:col>
          <xdr:colOff>990600</xdr:colOff>
          <xdr:row>0</xdr:row>
          <xdr:rowOff>552450</xdr:rowOff>
        </xdr:to>
        <xdr:sp macro="" textlink="">
          <xdr:nvSpPr>
            <xdr:cNvPr id="82947" name="Object 3" hidden="1">
              <a:extLst>
                <a:ext uri="{63B3BB69-23CF-44E3-9099-C40C66FF867C}">
                  <a14:compatExt spid="_x0000_s82947"/>
                </a:ext>
                <a:ext uri="{FF2B5EF4-FFF2-40B4-BE49-F238E27FC236}">
                  <a16:creationId xmlns:a16="http://schemas.microsoft.com/office/drawing/2014/main" id="{00000000-0008-0000-0700-000003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162484</xdr:colOff>
      <xdr:row>0</xdr:row>
      <xdr:rowOff>128868</xdr:rowOff>
    </xdr:from>
    <xdr:to>
      <xdr:col>8</xdr:col>
      <xdr:colOff>95810</xdr:colOff>
      <xdr:row>0</xdr:row>
      <xdr:rowOff>862293</xdr:rowOff>
    </xdr:to>
    <xdr:pic>
      <xdr:nvPicPr>
        <xdr:cNvPr id="83056" name="Picture 1" descr="Logo Ademi">
          <a:extLst>
            <a:ext uri="{FF2B5EF4-FFF2-40B4-BE49-F238E27FC236}">
              <a16:creationId xmlns:a16="http://schemas.microsoft.com/office/drawing/2014/main" id="{00000000-0008-0000-0700-0000704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296" y="128868"/>
          <a:ext cx="1107702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1076325</xdr:colOff>
      <xdr:row>0</xdr:row>
      <xdr:rowOff>228600</xdr:rowOff>
    </xdr:from>
    <xdr:to>
      <xdr:col>7</xdr:col>
      <xdr:colOff>895350</xdr:colOff>
      <xdr:row>0</xdr:row>
      <xdr:rowOff>876300</xdr:rowOff>
    </xdr:to>
    <xdr:pic>
      <xdr:nvPicPr>
        <xdr:cNvPr id="74865" name="Picture 2" descr="Logo Ademi">
          <a:extLst>
            <a:ext uri="{FF2B5EF4-FFF2-40B4-BE49-F238E27FC236}">
              <a16:creationId xmlns:a16="http://schemas.microsoft.com/office/drawing/2014/main" id="{00000000-0008-0000-0800-0000712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228600"/>
          <a:ext cx="10096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33617</xdr:colOff>
      <xdr:row>58</xdr:row>
      <xdr:rowOff>76199</xdr:rowOff>
    </xdr:from>
    <xdr:to>
      <xdr:col>8</xdr:col>
      <xdr:colOff>190499</xdr:colOff>
      <xdr:row>85</xdr:row>
      <xdr:rowOff>123824</xdr:rowOff>
    </xdr:to>
    <xdr:graphicFrame macro="">
      <xdr:nvGraphicFramePr>
        <xdr:cNvPr id="74866" name="Chart 10">
          <a:extLst>
            <a:ext uri="{FF2B5EF4-FFF2-40B4-BE49-F238E27FC236}">
              <a16:creationId xmlns:a16="http://schemas.microsoft.com/office/drawing/2014/main" id="{00000000-0008-0000-0800-0000722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0</xdr:row>
          <xdr:rowOff>381000</xdr:rowOff>
        </xdr:from>
        <xdr:to>
          <xdr:col>2</xdr:col>
          <xdr:colOff>9525</xdr:colOff>
          <xdr:row>0</xdr:row>
          <xdr:rowOff>971550</xdr:rowOff>
        </xdr:to>
        <xdr:sp macro="" textlink="">
          <xdr:nvSpPr>
            <xdr:cNvPr id="74756" name="Object 4" hidden="1">
              <a:extLst>
                <a:ext uri="{63B3BB69-23CF-44E3-9099-C40C66FF867C}">
                  <a14:compatExt spid="_x0000_s74756"/>
                </a:ext>
                <a:ext uri="{FF2B5EF4-FFF2-40B4-BE49-F238E27FC236}">
                  <a16:creationId xmlns:a16="http://schemas.microsoft.com/office/drawing/2014/main" id="{00000000-0008-0000-0800-000004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0.01286</cdr:x>
      <cdr:y>0.06408</cdr:y>
    </cdr:from>
    <cdr:to>
      <cdr:x>0.09343</cdr:x>
      <cdr:y>0.11937</cdr:y>
    </cdr:to>
    <cdr:sp macro="" textlink="">
      <cdr:nvSpPr>
        <cdr:cNvPr id="8601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0741" y="286996"/>
          <a:ext cx="673817" cy="244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pt-BR" sz="975" b="1" i="0" strike="noStrike">
              <a:solidFill>
                <a:srgbClr val="000000"/>
              </a:solidFill>
              <a:latin typeface="Arial"/>
              <a:cs typeface="Arial"/>
            </a:rPr>
            <a:t>Área (m²)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1" zoomScale="70" zoomScaleNormal="70" workbookViewId="0">
      <selection activeCell="M33" sqref="M33"/>
    </sheetView>
  </sheetViews>
  <sheetFormatPr defaultRowHeight="15.7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AL114"/>
  <sheetViews>
    <sheetView showGridLines="0" tabSelected="1" zoomScale="80" zoomScaleNormal="80" zoomScaleSheetLayoutView="85" workbookViewId="0">
      <selection activeCell="M67" sqref="M67:T67"/>
    </sheetView>
  </sheetViews>
  <sheetFormatPr defaultRowHeight="15.75" x14ac:dyDescent="0.25"/>
  <cols>
    <col min="1" max="1" width="16.375" style="1" bestFit="1" customWidth="1"/>
    <col min="2" max="9" width="5.375" style="1" customWidth="1"/>
    <col min="10" max="10" width="7.25" style="10" bestFit="1" customWidth="1"/>
    <col min="11" max="11" width="0.875" style="2" customWidth="1"/>
    <col min="12" max="12" width="17.625" style="1" customWidth="1"/>
    <col min="13" max="20" width="5.375" style="1" customWidth="1"/>
    <col min="21" max="21" width="7.25" style="10" customWidth="1"/>
    <col min="22" max="22" width="9.375" bestFit="1" customWidth="1"/>
    <col min="29" max="36" width="6.625" style="20" hidden="1" customWidth="1"/>
    <col min="37" max="37" width="9" style="20"/>
    <col min="38" max="38" width="9" style="18"/>
  </cols>
  <sheetData>
    <row r="1" spans="1:30" ht="69" customHeight="1" thickBot="1" x14ac:dyDescent="0.3"/>
    <row r="2" spans="1:30" ht="16.5" thickBot="1" x14ac:dyDescent="0.3">
      <c r="A2" s="192" t="s">
        <v>234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</row>
    <row r="3" spans="1:30" ht="17.25" customHeight="1" thickBot="1" x14ac:dyDescent="0.3">
      <c r="A3" s="193" t="s">
        <v>87</v>
      </c>
      <c r="B3" s="195" t="s">
        <v>143</v>
      </c>
      <c r="C3" s="196"/>
      <c r="D3" s="196"/>
      <c r="E3" s="196"/>
      <c r="F3" s="196"/>
      <c r="G3" s="196"/>
      <c r="H3" s="196"/>
      <c r="I3" s="197"/>
      <c r="J3" s="198" t="s">
        <v>0</v>
      </c>
      <c r="K3" s="7"/>
      <c r="L3" s="193" t="s">
        <v>87</v>
      </c>
      <c r="M3" s="195" t="s">
        <v>143</v>
      </c>
      <c r="N3" s="196"/>
      <c r="O3" s="196"/>
      <c r="P3" s="196"/>
      <c r="Q3" s="196"/>
      <c r="R3" s="196"/>
      <c r="S3" s="196"/>
      <c r="T3" s="197"/>
      <c r="U3" s="198" t="s">
        <v>0</v>
      </c>
    </row>
    <row r="4" spans="1:30" ht="25.5" customHeight="1" thickBot="1" x14ac:dyDescent="0.3">
      <c r="A4" s="194"/>
      <c r="B4" s="38" t="s">
        <v>135</v>
      </c>
      <c r="C4" s="38" t="s">
        <v>136</v>
      </c>
      <c r="D4" s="38" t="s">
        <v>137</v>
      </c>
      <c r="E4" s="38" t="s">
        <v>138</v>
      </c>
      <c r="F4" s="38" t="s">
        <v>139</v>
      </c>
      <c r="G4" s="38" t="s">
        <v>140</v>
      </c>
      <c r="H4" s="38" t="s">
        <v>141</v>
      </c>
      <c r="I4" s="39" t="s">
        <v>142</v>
      </c>
      <c r="J4" s="199"/>
      <c r="K4" s="7"/>
      <c r="L4" s="194"/>
      <c r="M4" s="37" t="s">
        <v>135</v>
      </c>
      <c r="N4" s="38" t="s">
        <v>136</v>
      </c>
      <c r="O4" s="38" t="s">
        <v>137</v>
      </c>
      <c r="P4" s="38" t="s">
        <v>138</v>
      </c>
      <c r="Q4" s="38" t="s">
        <v>139</v>
      </c>
      <c r="R4" s="38" t="s">
        <v>140</v>
      </c>
      <c r="S4" s="38" t="s">
        <v>141</v>
      </c>
      <c r="T4" s="38" t="s">
        <v>142</v>
      </c>
      <c r="U4" s="199"/>
    </row>
    <row r="5" spans="1:30" ht="12.75" customHeight="1" x14ac:dyDescent="0.25">
      <c r="A5" s="189" t="s">
        <v>82</v>
      </c>
      <c r="B5" s="190"/>
      <c r="C5" s="190"/>
      <c r="D5" s="190"/>
      <c r="E5" s="190"/>
      <c r="F5" s="190"/>
      <c r="G5" s="190"/>
      <c r="H5" s="190"/>
      <c r="I5" s="190"/>
      <c r="J5" s="191"/>
      <c r="K5" s="7"/>
      <c r="L5" s="189" t="s">
        <v>116</v>
      </c>
      <c r="M5" s="190"/>
      <c r="N5" s="190"/>
      <c r="O5" s="190"/>
      <c r="P5" s="190"/>
      <c r="Q5" s="190"/>
      <c r="R5" s="190"/>
      <c r="S5" s="190"/>
      <c r="T5" s="190"/>
      <c r="U5" s="191"/>
    </row>
    <row r="6" spans="1:30" ht="12.75" customHeight="1" x14ac:dyDescent="0.25">
      <c r="A6" s="30" t="s">
        <v>24</v>
      </c>
      <c r="B6" s="31">
        <v>152</v>
      </c>
      <c r="C6" s="31"/>
      <c r="D6" s="31"/>
      <c r="E6" s="31"/>
      <c r="F6" s="142"/>
      <c r="G6" s="31"/>
      <c r="H6" s="31"/>
      <c r="I6" s="31"/>
      <c r="J6" s="158">
        <f>IF(SUM(B6:I6),SUM(B6:I6),"")</f>
        <v>152</v>
      </c>
      <c r="K6" s="7"/>
      <c r="L6" s="30" t="s">
        <v>6</v>
      </c>
      <c r="M6" s="31">
        <v>21</v>
      </c>
      <c r="N6" s="31">
        <v>4</v>
      </c>
      <c r="O6" s="31">
        <v>100</v>
      </c>
      <c r="P6" s="31">
        <v>9</v>
      </c>
      <c r="Q6" s="31">
        <v>3</v>
      </c>
      <c r="R6" s="31">
        <v>2</v>
      </c>
      <c r="S6" s="31">
        <v>1</v>
      </c>
      <c r="T6" s="31">
        <v>2</v>
      </c>
      <c r="U6" s="35">
        <f t="shared" ref="U6:U8" si="0">IF(SUM(M6:T6),SUM(M6:T6),"")</f>
        <v>142</v>
      </c>
      <c r="AC6" s="21">
        <f>J6/$U$36</f>
        <v>0.28044280442804426</v>
      </c>
      <c r="AD6" s="21" t="e">
        <f>#REF!/$U$36</f>
        <v>#REF!</v>
      </c>
    </row>
    <row r="7" spans="1:30" ht="12.75" customHeight="1" x14ac:dyDescent="0.25">
      <c r="A7" s="40" t="s">
        <v>25</v>
      </c>
      <c r="B7" s="41"/>
      <c r="C7" s="41">
        <v>114</v>
      </c>
      <c r="D7" s="41"/>
      <c r="E7" s="41"/>
      <c r="F7" s="41"/>
      <c r="G7" s="41"/>
      <c r="H7" s="41"/>
      <c r="I7" s="41"/>
      <c r="J7" s="148">
        <f t="shared" ref="J7:J9" si="1">IF(SUM(B7:I7),SUM(B7:I7),"")</f>
        <v>114</v>
      </c>
      <c r="K7" s="7"/>
      <c r="L7" s="40" t="s">
        <v>49</v>
      </c>
      <c r="M7" s="80">
        <v>94</v>
      </c>
      <c r="N7" s="80">
        <v>5</v>
      </c>
      <c r="O7" s="80">
        <v>123.99999999999999</v>
      </c>
      <c r="P7" s="80">
        <v>75</v>
      </c>
      <c r="Q7" s="80">
        <v>15</v>
      </c>
      <c r="R7" s="80">
        <v>6</v>
      </c>
      <c r="S7" s="80">
        <v>4</v>
      </c>
      <c r="T7" s="80">
        <v>3</v>
      </c>
      <c r="U7" s="42">
        <f t="shared" si="0"/>
        <v>326</v>
      </c>
      <c r="AC7" s="21"/>
      <c r="AD7" s="21" t="e">
        <f>#REF!/$U$36</f>
        <v>#REF!</v>
      </c>
    </row>
    <row r="8" spans="1:30" ht="12.75" customHeight="1" x14ac:dyDescent="0.25">
      <c r="A8" s="87" t="s">
        <v>47</v>
      </c>
      <c r="B8" s="31">
        <v>106</v>
      </c>
      <c r="C8" s="31"/>
      <c r="D8" s="31"/>
      <c r="E8" s="31"/>
      <c r="F8" s="142"/>
      <c r="G8" s="31"/>
      <c r="H8" s="31"/>
      <c r="I8" s="31"/>
      <c r="J8" s="103">
        <f t="shared" si="1"/>
        <v>106</v>
      </c>
      <c r="K8" s="7"/>
      <c r="L8" s="30" t="s">
        <v>63</v>
      </c>
      <c r="M8" s="31"/>
      <c r="N8" s="31">
        <v>3</v>
      </c>
      <c r="O8" s="31">
        <v>41</v>
      </c>
      <c r="P8" s="31">
        <v>1</v>
      </c>
      <c r="Q8" s="31">
        <v>2</v>
      </c>
      <c r="R8" s="31"/>
      <c r="S8" s="31">
        <v>1</v>
      </c>
      <c r="T8" s="31">
        <v>1</v>
      </c>
      <c r="U8" s="35">
        <f t="shared" si="0"/>
        <v>49</v>
      </c>
      <c r="AC8" s="21"/>
      <c r="AD8" s="21"/>
    </row>
    <row r="9" spans="1:30" ht="12.75" customHeight="1" x14ac:dyDescent="0.25">
      <c r="A9" s="40" t="s">
        <v>54</v>
      </c>
      <c r="B9" s="41">
        <v>1</v>
      </c>
      <c r="C9" s="41"/>
      <c r="D9" s="41"/>
      <c r="E9" s="41">
        <v>48</v>
      </c>
      <c r="F9" s="41"/>
      <c r="G9" s="41"/>
      <c r="H9" s="41"/>
      <c r="I9" s="41"/>
      <c r="J9" s="104">
        <f t="shared" si="1"/>
        <v>49</v>
      </c>
      <c r="K9" s="7"/>
      <c r="L9" s="32" t="s">
        <v>117</v>
      </c>
      <c r="M9" s="34">
        <f t="shared" ref="M9:U9" si="2">IF(SUM(M6:M8),SUM(M6:M8),"")</f>
        <v>115</v>
      </c>
      <c r="N9" s="34">
        <f t="shared" si="2"/>
        <v>12</v>
      </c>
      <c r="O9" s="34">
        <f t="shared" si="2"/>
        <v>265</v>
      </c>
      <c r="P9" s="34">
        <f t="shared" si="2"/>
        <v>85</v>
      </c>
      <c r="Q9" s="34">
        <f t="shared" si="2"/>
        <v>20</v>
      </c>
      <c r="R9" s="34">
        <f t="shared" si="2"/>
        <v>8</v>
      </c>
      <c r="S9" s="34">
        <f t="shared" si="2"/>
        <v>6</v>
      </c>
      <c r="T9" s="34">
        <f t="shared" si="2"/>
        <v>6</v>
      </c>
      <c r="U9" s="151">
        <f t="shared" si="2"/>
        <v>517</v>
      </c>
      <c r="AC9" s="21"/>
      <c r="AD9" s="21"/>
    </row>
    <row r="10" spans="1:30" ht="12.75" customHeight="1" x14ac:dyDescent="0.25">
      <c r="A10" s="32" t="s">
        <v>107</v>
      </c>
      <c r="B10" s="33">
        <f>IF(SUM(B6:B9),SUM(B6:B9),"")</f>
        <v>259</v>
      </c>
      <c r="C10" s="33">
        <f t="shared" ref="C10:I10" si="3">IF(SUM(C6:C9),SUM(C6:C9),"")</f>
        <v>114</v>
      </c>
      <c r="D10" s="33" t="str">
        <f t="shared" si="3"/>
        <v/>
      </c>
      <c r="E10" s="33">
        <f t="shared" si="3"/>
        <v>48</v>
      </c>
      <c r="F10" s="33" t="str">
        <f t="shared" si="3"/>
        <v/>
      </c>
      <c r="G10" s="33" t="str">
        <f t="shared" si="3"/>
        <v/>
      </c>
      <c r="H10" s="33" t="str">
        <f t="shared" si="3"/>
        <v/>
      </c>
      <c r="I10" s="33" t="str">
        <f t="shared" si="3"/>
        <v/>
      </c>
      <c r="J10" s="150">
        <f>IF(SUM(J6:J9),SUM(J6:J9),"")</f>
        <v>421</v>
      </c>
      <c r="K10" s="7"/>
      <c r="L10" s="8"/>
      <c r="M10" s="8"/>
      <c r="N10" s="8"/>
      <c r="O10" s="8"/>
      <c r="P10" s="8"/>
      <c r="Q10" s="8"/>
      <c r="R10" s="8"/>
      <c r="S10" s="8"/>
      <c r="T10" s="8"/>
      <c r="U10" s="12"/>
      <c r="AC10" s="22">
        <f>J10/$U$36</f>
        <v>0.7767527675276753</v>
      </c>
      <c r="AD10" s="21" t="e">
        <f>#REF!/$U$36</f>
        <v>#REF!</v>
      </c>
    </row>
    <row r="11" spans="1:30" ht="12.7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K11" s="7"/>
      <c r="L11" s="189" t="s">
        <v>118</v>
      </c>
      <c r="M11" s="190"/>
      <c r="N11" s="190"/>
      <c r="O11" s="190"/>
      <c r="P11" s="190"/>
      <c r="Q11" s="190"/>
      <c r="R11" s="190"/>
      <c r="S11" s="190"/>
      <c r="T11" s="190"/>
      <c r="U11" s="191"/>
      <c r="AC11" s="21"/>
      <c r="AD11" s="21" t="e">
        <f>#REF!/$U$36</f>
        <v>#REF!</v>
      </c>
    </row>
    <row r="12" spans="1:30" ht="12.75" customHeight="1" x14ac:dyDescent="0.25">
      <c r="A12" s="189" t="s">
        <v>83</v>
      </c>
      <c r="B12" s="190"/>
      <c r="C12" s="190"/>
      <c r="D12" s="190"/>
      <c r="E12" s="190"/>
      <c r="F12" s="190"/>
      <c r="G12" s="190"/>
      <c r="H12" s="190"/>
      <c r="I12" s="190"/>
      <c r="J12" s="191"/>
      <c r="K12" s="7"/>
      <c r="L12" s="87" t="s">
        <v>9</v>
      </c>
      <c r="M12" s="31">
        <v>408</v>
      </c>
      <c r="N12" s="31">
        <v>11</v>
      </c>
      <c r="O12" s="31">
        <v>1</v>
      </c>
      <c r="P12" s="31">
        <v>7</v>
      </c>
      <c r="Q12" s="31">
        <v>6</v>
      </c>
      <c r="R12" s="31">
        <v>5</v>
      </c>
      <c r="S12" s="31">
        <v>3</v>
      </c>
      <c r="T12" s="31"/>
      <c r="U12" s="90">
        <f t="shared" ref="U12:U15" si="4">IF(SUM(M12:T12),SUM(M12:T12),"")</f>
        <v>441</v>
      </c>
      <c r="AC12" s="21"/>
      <c r="AD12" s="21" t="e">
        <f>#REF!/$U$36</f>
        <v>#REF!</v>
      </c>
    </row>
    <row r="13" spans="1:30" ht="12.75" customHeight="1" x14ac:dyDescent="0.25">
      <c r="A13" s="30" t="s">
        <v>2</v>
      </c>
      <c r="B13" s="78">
        <v>46</v>
      </c>
      <c r="C13" s="78"/>
      <c r="D13" s="78">
        <v>47</v>
      </c>
      <c r="E13" s="78">
        <v>39</v>
      </c>
      <c r="F13" s="78">
        <v>39</v>
      </c>
      <c r="G13" s="78">
        <v>31</v>
      </c>
      <c r="H13" s="78"/>
      <c r="I13" s="78"/>
      <c r="J13" s="147">
        <f>IF(SUM(B13:I13),SUM(B13:I13),"")</f>
        <v>202</v>
      </c>
      <c r="K13" s="7"/>
      <c r="L13" s="40" t="s">
        <v>18</v>
      </c>
      <c r="M13" s="80">
        <v>60.999999999999993</v>
      </c>
      <c r="N13" s="80">
        <v>5</v>
      </c>
      <c r="O13" s="80">
        <v>6</v>
      </c>
      <c r="P13" s="80">
        <v>17</v>
      </c>
      <c r="Q13" s="80">
        <v>6</v>
      </c>
      <c r="R13" s="80">
        <v>2</v>
      </c>
      <c r="S13" s="80">
        <v>1</v>
      </c>
      <c r="T13" s="80"/>
      <c r="U13" s="42">
        <f t="shared" si="4"/>
        <v>98</v>
      </c>
      <c r="AC13" s="21">
        <f>J13/$U$36</f>
        <v>0.37269372693726938</v>
      </c>
      <c r="AD13" s="21" t="e">
        <f>#REF!/$U$36</f>
        <v>#REF!</v>
      </c>
    </row>
    <row r="14" spans="1:30" ht="12.75" customHeight="1" x14ac:dyDescent="0.25">
      <c r="A14" s="40" t="s">
        <v>10</v>
      </c>
      <c r="B14" s="80"/>
      <c r="C14" s="80">
        <v>73</v>
      </c>
      <c r="D14" s="80"/>
      <c r="E14" s="80"/>
      <c r="F14" s="80"/>
      <c r="G14" s="80"/>
      <c r="H14" s="80"/>
      <c r="I14" s="80">
        <v>13</v>
      </c>
      <c r="J14" s="148">
        <f t="shared" ref="J14:J15" si="5">IF(SUM(B14:I14),SUM(B14:I14),"")</f>
        <v>86</v>
      </c>
      <c r="K14" s="7"/>
      <c r="L14" s="87" t="s">
        <v>20</v>
      </c>
      <c r="M14" s="31"/>
      <c r="N14" s="31"/>
      <c r="O14" s="31">
        <v>3</v>
      </c>
      <c r="P14" s="31">
        <v>12</v>
      </c>
      <c r="Q14" s="31">
        <v>1</v>
      </c>
      <c r="R14" s="31"/>
      <c r="S14" s="31">
        <v>2</v>
      </c>
      <c r="T14" s="31"/>
      <c r="U14" s="90">
        <f t="shared" si="4"/>
        <v>18</v>
      </c>
      <c r="AC14" s="21">
        <f>J14/$U$36</f>
        <v>0.15867158671586715</v>
      </c>
      <c r="AD14" s="21" t="e">
        <f>#REF!/$U$36</f>
        <v>#REF!</v>
      </c>
    </row>
    <row r="15" spans="1:30" ht="12.75" customHeight="1" x14ac:dyDescent="0.25">
      <c r="A15" s="30" t="s">
        <v>58</v>
      </c>
      <c r="B15" s="78"/>
      <c r="C15" s="78"/>
      <c r="D15" s="78"/>
      <c r="E15" s="78"/>
      <c r="F15" s="78">
        <v>22</v>
      </c>
      <c r="G15" s="78">
        <v>6</v>
      </c>
      <c r="H15" s="78"/>
      <c r="I15" s="78"/>
      <c r="J15" s="147">
        <f t="shared" si="5"/>
        <v>28</v>
      </c>
      <c r="K15" s="7"/>
      <c r="L15" s="40" t="s">
        <v>61</v>
      </c>
      <c r="M15" s="80">
        <v>1</v>
      </c>
      <c r="N15" s="80"/>
      <c r="O15" s="80"/>
      <c r="P15" s="80">
        <v>9</v>
      </c>
      <c r="Q15" s="80">
        <v>6</v>
      </c>
      <c r="R15" s="80"/>
      <c r="S15" s="80"/>
      <c r="T15" s="80"/>
      <c r="U15" s="42">
        <f t="shared" si="4"/>
        <v>16</v>
      </c>
      <c r="AC15" s="21">
        <f>J15/$U$36</f>
        <v>5.1660516605166053E-2</v>
      </c>
      <c r="AD15" s="21" t="e">
        <f>#REF!/$U$36</f>
        <v>#REF!</v>
      </c>
    </row>
    <row r="16" spans="1:30" ht="12.75" customHeight="1" x14ac:dyDescent="0.25">
      <c r="A16" s="40" t="s">
        <v>66</v>
      </c>
      <c r="B16" s="80"/>
      <c r="C16" s="80"/>
      <c r="D16" s="80"/>
      <c r="E16" s="80">
        <v>30</v>
      </c>
      <c r="F16" s="80">
        <v>107</v>
      </c>
      <c r="G16" s="80"/>
      <c r="H16" s="80"/>
      <c r="I16" s="80"/>
      <c r="J16" s="148">
        <f>IF(SUM(B16:I16),SUM(B16:I16),"")</f>
        <v>137</v>
      </c>
      <c r="K16" s="7"/>
      <c r="L16" s="32" t="s">
        <v>119</v>
      </c>
      <c r="M16" s="34">
        <f>IF(SUM(M12:M15),SUM(M12:M15),"")</f>
        <v>470</v>
      </c>
      <c r="N16" s="34">
        <f t="shared" ref="N16:U16" si="6">IF(SUM(N12:N15),SUM(N12:N15),"")</f>
        <v>16</v>
      </c>
      <c r="O16" s="34">
        <f t="shared" si="6"/>
        <v>10</v>
      </c>
      <c r="P16" s="34">
        <f t="shared" si="6"/>
        <v>45</v>
      </c>
      <c r="Q16" s="34">
        <f t="shared" si="6"/>
        <v>19</v>
      </c>
      <c r="R16" s="34">
        <f t="shared" si="6"/>
        <v>7</v>
      </c>
      <c r="S16" s="34">
        <f t="shared" si="6"/>
        <v>6</v>
      </c>
      <c r="T16" s="34" t="str">
        <f t="shared" si="6"/>
        <v/>
      </c>
      <c r="U16" s="151">
        <f t="shared" si="6"/>
        <v>573</v>
      </c>
      <c r="AC16" s="21">
        <f>J16/$U$36</f>
        <v>0.25276752767527677</v>
      </c>
      <c r="AD16" s="22" t="e">
        <f>#REF!/$U$36</f>
        <v>#REF!</v>
      </c>
    </row>
    <row r="17" spans="1:30" ht="12.75" customHeight="1" x14ac:dyDescent="0.25">
      <c r="A17" s="32" t="s">
        <v>88</v>
      </c>
      <c r="B17" s="34">
        <f t="shared" ref="B17:J17" si="7">IF(SUM(B13:B16),SUM(B13:B16),"")</f>
        <v>46</v>
      </c>
      <c r="C17" s="34">
        <f t="shared" si="7"/>
        <v>73</v>
      </c>
      <c r="D17" s="34">
        <f t="shared" si="7"/>
        <v>47</v>
      </c>
      <c r="E17" s="34">
        <f t="shared" si="7"/>
        <v>69</v>
      </c>
      <c r="F17" s="34">
        <f t="shared" si="7"/>
        <v>168</v>
      </c>
      <c r="G17" s="34">
        <f t="shared" si="7"/>
        <v>37</v>
      </c>
      <c r="H17" s="34" t="str">
        <f t="shared" si="7"/>
        <v/>
      </c>
      <c r="I17" s="34">
        <f t="shared" si="7"/>
        <v>13</v>
      </c>
      <c r="J17" s="151">
        <f t="shared" si="7"/>
        <v>453</v>
      </c>
      <c r="K17" s="7"/>
      <c r="L17" s="8"/>
      <c r="M17" s="8"/>
      <c r="N17" s="8"/>
      <c r="O17" s="8"/>
      <c r="P17" s="8"/>
      <c r="Q17" s="8"/>
      <c r="R17" s="8"/>
      <c r="S17" s="8"/>
      <c r="T17" s="8"/>
      <c r="U17" s="12"/>
      <c r="AC17" s="22">
        <f>J17/$U$36</f>
        <v>0.83579335793357934</v>
      </c>
      <c r="AD17" s="21"/>
    </row>
    <row r="18" spans="1:30" ht="12.75" customHeight="1" x14ac:dyDescent="0.25">
      <c r="A18" s="8"/>
      <c r="B18" s="117"/>
      <c r="C18" s="117"/>
      <c r="D18" s="117"/>
      <c r="E18" s="117"/>
      <c r="F18" s="117"/>
      <c r="G18" s="117"/>
      <c r="H18" s="117"/>
      <c r="I18" s="117"/>
      <c r="K18" s="7"/>
      <c r="L18" s="189" t="s">
        <v>120</v>
      </c>
      <c r="M18" s="190"/>
      <c r="N18" s="190"/>
      <c r="O18" s="190"/>
      <c r="P18" s="190"/>
      <c r="Q18" s="190"/>
      <c r="R18" s="190"/>
      <c r="S18" s="190"/>
      <c r="T18" s="190"/>
      <c r="U18" s="191"/>
      <c r="AC18" s="21"/>
      <c r="AD18" s="21"/>
    </row>
    <row r="19" spans="1:30" ht="12.75" customHeight="1" x14ac:dyDescent="0.25">
      <c r="A19" s="189" t="s">
        <v>84</v>
      </c>
      <c r="B19" s="190"/>
      <c r="C19" s="190"/>
      <c r="D19" s="190"/>
      <c r="E19" s="190"/>
      <c r="F19" s="190"/>
      <c r="G19" s="190"/>
      <c r="H19" s="190"/>
      <c r="I19" s="190"/>
      <c r="J19" s="191"/>
      <c r="K19" s="7"/>
      <c r="L19" s="30" t="s">
        <v>30</v>
      </c>
      <c r="M19" s="31"/>
      <c r="N19" s="31"/>
      <c r="O19" s="31"/>
      <c r="P19" s="31">
        <v>4</v>
      </c>
      <c r="Q19" s="31">
        <v>1</v>
      </c>
      <c r="R19" s="31"/>
      <c r="S19" s="31"/>
      <c r="T19" s="31"/>
      <c r="U19" s="35">
        <f t="shared" ref="U19:U21" si="8">IF(SUM(M19:T19),SUM(M19:T19),"")</f>
        <v>5</v>
      </c>
      <c r="AC19" s="21"/>
      <c r="AD19" s="21">
        <f>U6/$U$36</f>
        <v>0.26199261992619927</v>
      </c>
    </row>
    <row r="20" spans="1:30" ht="12.75" customHeight="1" x14ac:dyDescent="0.25">
      <c r="A20" s="30" t="s">
        <v>3</v>
      </c>
      <c r="B20" s="78">
        <v>1</v>
      </c>
      <c r="C20" s="78">
        <v>1</v>
      </c>
      <c r="D20" s="78"/>
      <c r="E20" s="78">
        <v>2</v>
      </c>
      <c r="F20" s="78">
        <v>2</v>
      </c>
      <c r="G20" s="78">
        <v>1</v>
      </c>
      <c r="H20" s="78">
        <v>30</v>
      </c>
      <c r="I20" s="78"/>
      <c r="J20" s="147">
        <f>IF(SUM(B20:I20),SUM(B20:I20),"")</f>
        <v>37</v>
      </c>
      <c r="K20" s="7"/>
      <c r="L20" s="40" t="s">
        <v>100</v>
      </c>
      <c r="M20" s="41"/>
      <c r="N20" s="41"/>
      <c r="O20" s="41">
        <v>16</v>
      </c>
      <c r="P20" s="41"/>
      <c r="Q20" s="41">
        <v>10</v>
      </c>
      <c r="R20" s="41">
        <v>2</v>
      </c>
      <c r="S20" s="41"/>
      <c r="T20" s="41">
        <v>2</v>
      </c>
      <c r="U20" s="42">
        <f t="shared" si="8"/>
        <v>30</v>
      </c>
      <c r="AC20" s="21">
        <f>J20/$U$36</f>
        <v>6.8265682656826573E-2</v>
      </c>
      <c r="AD20" s="21">
        <f>U7/$U$36</f>
        <v>0.60147601476014756</v>
      </c>
    </row>
    <row r="21" spans="1:30" ht="12.75" customHeight="1" x14ac:dyDescent="0.25">
      <c r="A21" s="40" t="s">
        <v>5</v>
      </c>
      <c r="B21" s="80"/>
      <c r="C21" s="80"/>
      <c r="D21" s="80"/>
      <c r="E21" s="80"/>
      <c r="F21" s="80"/>
      <c r="G21" s="80"/>
      <c r="H21" s="80"/>
      <c r="I21" s="80"/>
      <c r="J21" s="148" t="str">
        <f t="shared" ref="J21:J23" si="9">IF(SUM(B21:I21),SUM(B21:I21),"")</f>
        <v/>
      </c>
      <c r="K21" s="7"/>
      <c r="L21" s="30" t="s">
        <v>64</v>
      </c>
      <c r="M21" s="31">
        <v>104</v>
      </c>
      <c r="N21" s="31">
        <v>7</v>
      </c>
      <c r="O21" s="31">
        <v>8</v>
      </c>
      <c r="P21" s="31">
        <v>77.000000000000014</v>
      </c>
      <c r="Q21" s="31">
        <v>13</v>
      </c>
      <c r="R21" s="31">
        <v>4</v>
      </c>
      <c r="S21" s="31">
        <v>5</v>
      </c>
      <c r="T21" s="31">
        <v>5</v>
      </c>
      <c r="U21" s="35">
        <f t="shared" si="8"/>
        <v>223</v>
      </c>
      <c r="AC21" s="21" t="e">
        <f>J21/$U$36</f>
        <v>#VALUE!</v>
      </c>
      <c r="AD21" s="21">
        <f>U8/$U$36</f>
        <v>9.0405904059040587E-2</v>
      </c>
    </row>
    <row r="22" spans="1:30" ht="12.75" customHeight="1" x14ac:dyDescent="0.25">
      <c r="A22" s="30" t="s">
        <v>16</v>
      </c>
      <c r="B22" s="78"/>
      <c r="C22" s="78"/>
      <c r="D22" s="78"/>
      <c r="E22" s="78"/>
      <c r="F22" s="78"/>
      <c r="G22" s="78"/>
      <c r="H22" s="78"/>
      <c r="I22" s="78"/>
      <c r="J22" s="147" t="str">
        <f t="shared" si="9"/>
        <v/>
      </c>
      <c r="K22" s="7"/>
      <c r="L22" s="32" t="s">
        <v>172</v>
      </c>
      <c r="M22" s="34">
        <f>IF(SUM(M19:M21),SUM(M19:M21),"")</f>
        <v>104</v>
      </c>
      <c r="N22" s="34">
        <f t="shared" ref="N22:U22" si="10">IF(SUM(N19:N21),SUM(N19:N21),"")</f>
        <v>7</v>
      </c>
      <c r="O22" s="34">
        <f t="shared" si="10"/>
        <v>24</v>
      </c>
      <c r="P22" s="34">
        <f t="shared" si="10"/>
        <v>81.000000000000014</v>
      </c>
      <c r="Q22" s="34">
        <f t="shared" si="10"/>
        <v>24</v>
      </c>
      <c r="R22" s="34">
        <f t="shared" si="10"/>
        <v>6</v>
      </c>
      <c r="S22" s="34">
        <f t="shared" si="10"/>
        <v>5</v>
      </c>
      <c r="T22" s="34">
        <f t="shared" si="10"/>
        <v>7</v>
      </c>
      <c r="U22" s="151">
        <f t="shared" si="10"/>
        <v>258</v>
      </c>
      <c r="AC22" s="21" t="e">
        <f>J22/$U$36</f>
        <v>#VALUE!</v>
      </c>
      <c r="AD22" s="21" t="e">
        <f>#REF!/$U$36</f>
        <v>#REF!</v>
      </c>
    </row>
    <row r="23" spans="1:30" ht="12.75" customHeight="1" x14ac:dyDescent="0.25">
      <c r="A23" s="40" t="s">
        <v>33</v>
      </c>
      <c r="B23" s="80">
        <v>25</v>
      </c>
      <c r="C23" s="80"/>
      <c r="D23" s="80"/>
      <c r="E23" s="80">
        <v>4</v>
      </c>
      <c r="F23" s="80"/>
      <c r="G23" s="80">
        <v>15</v>
      </c>
      <c r="H23" s="80"/>
      <c r="I23" s="80"/>
      <c r="J23" s="148">
        <f t="shared" si="9"/>
        <v>44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12"/>
      <c r="X23" s="61"/>
      <c r="Y23" s="61"/>
      <c r="Z23" s="61"/>
      <c r="AA23" s="61"/>
      <c r="AB23" s="61"/>
      <c r="AC23" s="21">
        <f>J23/$U$36</f>
        <v>8.1180811808118078E-2</v>
      </c>
      <c r="AD23" s="21" t="e">
        <f>#REF!/$U$36</f>
        <v>#REF!</v>
      </c>
    </row>
    <row r="24" spans="1:30" ht="12.75" customHeight="1" x14ac:dyDescent="0.25">
      <c r="A24" s="30" t="s">
        <v>36</v>
      </c>
      <c r="B24" s="78"/>
      <c r="C24" s="78"/>
      <c r="D24" s="78">
        <v>1</v>
      </c>
      <c r="E24" s="78"/>
      <c r="F24" s="78"/>
      <c r="G24" s="78">
        <v>17</v>
      </c>
      <c r="H24" s="78"/>
      <c r="I24" s="78"/>
      <c r="J24" s="147">
        <f>IF(SUM(B24:I24),SUM(B24:I24),"")</f>
        <v>18</v>
      </c>
      <c r="K24" s="7"/>
      <c r="L24" s="189" t="s">
        <v>173</v>
      </c>
      <c r="M24" s="190"/>
      <c r="N24" s="190"/>
      <c r="O24" s="190"/>
      <c r="P24" s="190"/>
      <c r="Q24" s="190"/>
      <c r="R24" s="190"/>
      <c r="S24" s="190"/>
      <c r="T24" s="190"/>
      <c r="U24" s="191"/>
      <c r="AC24" s="21">
        <f>J24/$U$36</f>
        <v>3.3210332103321034E-2</v>
      </c>
      <c r="AD24" s="21" t="e">
        <f>#REF!/$U$36</f>
        <v>#REF!</v>
      </c>
    </row>
    <row r="25" spans="1:30" ht="12.75" customHeight="1" x14ac:dyDescent="0.25">
      <c r="A25" s="32" t="s">
        <v>89</v>
      </c>
      <c r="B25" s="34">
        <f t="shared" ref="B25:J25" si="11">IF(SUM(B20:B24),SUM(B20:B24),"")</f>
        <v>26</v>
      </c>
      <c r="C25" s="34">
        <f t="shared" si="11"/>
        <v>1</v>
      </c>
      <c r="D25" s="34">
        <f t="shared" si="11"/>
        <v>1</v>
      </c>
      <c r="E25" s="34">
        <f t="shared" si="11"/>
        <v>6</v>
      </c>
      <c r="F25" s="34">
        <f t="shared" si="11"/>
        <v>2</v>
      </c>
      <c r="G25" s="34">
        <f t="shared" si="11"/>
        <v>33</v>
      </c>
      <c r="H25" s="34">
        <f t="shared" si="11"/>
        <v>30</v>
      </c>
      <c r="I25" s="34" t="str">
        <f t="shared" si="11"/>
        <v/>
      </c>
      <c r="J25" s="151">
        <f t="shared" si="11"/>
        <v>99</v>
      </c>
      <c r="K25" s="7"/>
      <c r="L25" s="87" t="s">
        <v>31</v>
      </c>
      <c r="M25" s="31">
        <v>24</v>
      </c>
      <c r="N25" s="31"/>
      <c r="O25" s="31"/>
      <c r="P25" s="31"/>
      <c r="Q25" s="31"/>
      <c r="R25" s="31"/>
      <c r="S25" s="31">
        <v>1</v>
      </c>
      <c r="T25" s="31"/>
      <c r="U25" s="90">
        <f t="shared" ref="U25:U28" si="12">IF(SUM(M25:T25),SUM(M25:T25),"")</f>
        <v>25</v>
      </c>
      <c r="AC25" s="21" t="e">
        <f>#REF!/$U$36</f>
        <v>#REF!</v>
      </c>
      <c r="AD25" s="21" t="e">
        <f>#REF!/$U$36</f>
        <v>#REF!</v>
      </c>
    </row>
    <row r="26" spans="1:30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K26" s="7"/>
      <c r="L26" s="40" t="s">
        <v>37</v>
      </c>
      <c r="M26" s="41"/>
      <c r="N26" s="41"/>
      <c r="O26" s="41">
        <v>5</v>
      </c>
      <c r="P26" s="41"/>
      <c r="Q26" s="41"/>
      <c r="R26" s="41"/>
      <c r="S26" s="41"/>
      <c r="T26" s="41"/>
      <c r="U26" s="42">
        <f t="shared" si="12"/>
        <v>5</v>
      </c>
      <c r="AC26" s="21" t="e">
        <f>#REF!/$U$36</f>
        <v>#REF!</v>
      </c>
      <c r="AD26" s="22">
        <f>U9/$U$36</f>
        <v>0.95387453874538741</v>
      </c>
    </row>
    <row r="27" spans="1:30" ht="12.75" customHeight="1" x14ac:dyDescent="0.25">
      <c r="A27" s="189" t="s">
        <v>85</v>
      </c>
      <c r="B27" s="189"/>
      <c r="C27" s="189"/>
      <c r="D27" s="189"/>
      <c r="E27" s="189"/>
      <c r="F27" s="189"/>
      <c r="G27" s="189"/>
      <c r="H27" s="189"/>
      <c r="I27" s="189"/>
      <c r="J27" s="189"/>
      <c r="K27" s="7"/>
      <c r="L27" s="87" t="s">
        <v>42</v>
      </c>
      <c r="M27" s="31"/>
      <c r="N27" s="31"/>
      <c r="O27" s="31"/>
      <c r="P27" s="31">
        <v>1</v>
      </c>
      <c r="Q27" s="31"/>
      <c r="R27" s="31"/>
      <c r="S27" s="31"/>
      <c r="T27" s="31">
        <v>2</v>
      </c>
      <c r="U27" s="90">
        <f>IF(SUM(M27:T27),SUM(M27:T27),"")</f>
        <v>3</v>
      </c>
      <c r="AC27" s="21" t="e">
        <f>#REF!/$U$36</f>
        <v>#REF!</v>
      </c>
      <c r="AD27" s="21"/>
    </row>
    <row r="28" spans="1:30" ht="12.75" customHeight="1" x14ac:dyDescent="0.25">
      <c r="A28" s="30" t="s">
        <v>11</v>
      </c>
      <c r="B28" s="78">
        <v>412</v>
      </c>
      <c r="C28" s="78"/>
      <c r="D28" s="78"/>
      <c r="E28" s="78">
        <v>227</v>
      </c>
      <c r="F28" s="78"/>
      <c r="G28" s="78"/>
      <c r="H28" s="78"/>
      <c r="I28" s="78">
        <v>49</v>
      </c>
      <c r="J28" s="35">
        <f>IF(SUM(B28:I28),SUM(B28:I28),"")</f>
        <v>688</v>
      </c>
      <c r="K28" s="7"/>
      <c r="L28" s="40" t="s">
        <v>46</v>
      </c>
      <c r="M28" s="41"/>
      <c r="N28" s="41">
        <v>176</v>
      </c>
      <c r="O28" s="41"/>
      <c r="P28" s="41"/>
      <c r="Q28" s="41"/>
      <c r="R28" s="41"/>
      <c r="S28" s="41"/>
      <c r="T28" s="41">
        <v>1</v>
      </c>
      <c r="U28" s="42">
        <f t="shared" si="12"/>
        <v>177</v>
      </c>
      <c r="AC28" s="22">
        <f>J25/$U$36</f>
        <v>0.18265682656826568</v>
      </c>
      <c r="AD28" s="21"/>
    </row>
    <row r="29" spans="1:30" ht="12.75" customHeight="1" x14ac:dyDescent="0.25">
      <c r="A29" s="40" t="s">
        <v>99</v>
      </c>
      <c r="B29" s="81">
        <v>2</v>
      </c>
      <c r="C29" s="80"/>
      <c r="D29" s="80"/>
      <c r="E29" s="80">
        <v>1</v>
      </c>
      <c r="F29" s="80"/>
      <c r="G29" s="80"/>
      <c r="H29" s="80"/>
      <c r="I29" s="80"/>
      <c r="J29" s="42">
        <f t="shared" ref="J29:J31" si="13">IF(SUM(B29:I29),SUM(B29:I29),"")</f>
        <v>3</v>
      </c>
      <c r="K29" s="7"/>
      <c r="L29" s="32" t="s">
        <v>174</v>
      </c>
      <c r="M29" s="34">
        <f t="shared" ref="M29:U29" si="14">IF(SUM(M25:M28),SUM(M25:M28),"")</f>
        <v>24</v>
      </c>
      <c r="N29" s="34">
        <f t="shared" si="14"/>
        <v>176</v>
      </c>
      <c r="O29" s="34">
        <f t="shared" si="14"/>
        <v>5</v>
      </c>
      <c r="P29" s="34">
        <f t="shared" si="14"/>
        <v>1</v>
      </c>
      <c r="Q29" s="34" t="str">
        <f t="shared" si="14"/>
        <v/>
      </c>
      <c r="R29" s="34" t="str">
        <f t="shared" si="14"/>
        <v/>
      </c>
      <c r="S29" s="34">
        <f t="shared" si="14"/>
        <v>1</v>
      </c>
      <c r="T29" s="34">
        <f t="shared" si="14"/>
        <v>3</v>
      </c>
      <c r="U29" s="151">
        <f t="shared" si="14"/>
        <v>210</v>
      </c>
      <c r="AC29" s="21"/>
      <c r="AD29" s="21" t="e">
        <f>#REF!/$U$36</f>
        <v>#REF!</v>
      </c>
    </row>
    <row r="30" spans="1:30" ht="12.75" customHeight="1" x14ac:dyDescent="0.25">
      <c r="A30" s="30" t="s">
        <v>19</v>
      </c>
      <c r="B30" s="78">
        <v>33</v>
      </c>
      <c r="C30" s="78">
        <v>72</v>
      </c>
      <c r="D30" s="78">
        <v>1</v>
      </c>
      <c r="E30" s="78">
        <v>1</v>
      </c>
      <c r="F30" s="78">
        <v>9</v>
      </c>
      <c r="G30" s="78">
        <v>4</v>
      </c>
      <c r="H30" s="78">
        <v>2</v>
      </c>
      <c r="I30" s="78">
        <v>17</v>
      </c>
      <c r="J30" s="35">
        <f t="shared" si="13"/>
        <v>139</v>
      </c>
      <c r="K30" s="7"/>
      <c r="L30" s="8"/>
      <c r="M30" s="8"/>
      <c r="N30" s="8"/>
      <c r="O30" s="8"/>
      <c r="P30" s="8"/>
      <c r="Q30" s="8"/>
      <c r="R30" s="8"/>
      <c r="S30" s="8"/>
      <c r="T30" s="8"/>
      <c r="U30" s="12"/>
      <c r="AC30" s="21"/>
      <c r="AD30" s="21">
        <f>U12/$U$36</f>
        <v>0.81365313653136528</v>
      </c>
    </row>
    <row r="31" spans="1:30" ht="12.75" customHeight="1" x14ac:dyDescent="0.25">
      <c r="A31" s="40" t="s">
        <v>38</v>
      </c>
      <c r="B31" s="80">
        <v>18</v>
      </c>
      <c r="C31" s="80">
        <v>1</v>
      </c>
      <c r="D31" s="80"/>
      <c r="E31" s="80">
        <v>4</v>
      </c>
      <c r="F31" s="80">
        <v>1</v>
      </c>
      <c r="G31" s="80"/>
      <c r="H31" s="80"/>
      <c r="I31" s="80">
        <v>1</v>
      </c>
      <c r="J31" s="42">
        <f t="shared" si="13"/>
        <v>25</v>
      </c>
      <c r="K31" s="7"/>
      <c r="L31" s="189" t="s">
        <v>175</v>
      </c>
      <c r="M31" s="190"/>
      <c r="N31" s="190"/>
      <c r="O31" s="190"/>
      <c r="P31" s="190"/>
      <c r="Q31" s="190"/>
      <c r="R31" s="190"/>
      <c r="S31" s="190"/>
      <c r="T31" s="190"/>
      <c r="U31" s="191"/>
      <c r="AC31" s="21">
        <f>J28/$U$36</f>
        <v>1.2693726937269372</v>
      </c>
      <c r="AD31" s="21">
        <f>U13/$U$36</f>
        <v>0.18081180811808117</v>
      </c>
    </row>
    <row r="32" spans="1:30" ht="12.75" customHeight="1" x14ac:dyDescent="0.25">
      <c r="A32" s="30" t="s">
        <v>39</v>
      </c>
      <c r="B32" s="78">
        <v>5</v>
      </c>
      <c r="C32" s="78">
        <v>335</v>
      </c>
      <c r="D32" s="78">
        <v>4</v>
      </c>
      <c r="E32" s="78">
        <v>1</v>
      </c>
      <c r="F32" s="78">
        <v>235.99999999999997</v>
      </c>
      <c r="G32" s="78">
        <v>1</v>
      </c>
      <c r="H32" s="78"/>
      <c r="I32" s="78">
        <v>1</v>
      </c>
      <c r="J32" s="35">
        <f>IF(SUM(B32:I32),SUM(B32:I32),"")</f>
        <v>583</v>
      </c>
      <c r="K32" s="7"/>
      <c r="L32" s="30" t="s">
        <v>27</v>
      </c>
      <c r="M32" s="31"/>
      <c r="N32" s="31">
        <v>1</v>
      </c>
      <c r="O32" s="31"/>
      <c r="P32" s="31">
        <v>4</v>
      </c>
      <c r="Q32" s="31"/>
      <c r="R32" s="31">
        <v>1</v>
      </c>
      <c r="S32" s="31"/>
      <c r="T32" s="31"/>
      <c r="U32" s="90">
        <f>IF(SUM(M32:T32),SUM(M32:T32),"")</f>
        <v>6</v>
      </c>
      <c r="AC32" s="21"/>
      <c r="AD32" s="21">
        <f>U14/$U$36</f>
        <v>3.3210332103321034E-2</v>
      </c>
    </row>
    <row r="33" spans="1:30" ht="12.75" customHeight="1" x14ac:dyDescent="0.25">
      <c r="A33" s="32" t="s">
        <v>90</v>
      </c>
      <c r="B33" s="34">
        <f t="shared" ref="B33:J33" si="15">IF(SUM(B28:B32),SUM(B28:B32),"")</f>
        <v>470</v>
      </c>
      <c r="C33" s="34">
        <f t="shared" si="15"/>
        <v>408</v>
      </c>
      <c r="D33" s="34">
        <f t="shared" si="15"/>
        <v>5</v>
      </c>
      <c r="E33" s="34">
        <f t="shared" si="15"/>
        <v>234</v>
      </c>
      <c r="F33" s="34">
        <f t="shared" si="15"/>
        <v>245.99999999999997</v>
      </c>
      <c r="G33" s="34">
        <f t="shared" si="15"/>
        <v>5</v>
      </c>
      <c r="H33" s="34">
        <f t="shared" si="15"/>
        <v>2</v>
      </c>
      <c r="I33" s="34">
        <f t="shared" si="15"/>
        <v>68</v>
      </c>
      <c r="J33" s="151">
        <f t="shared" si="15"/>
        <v>1438</v>
      </c>
      <c r="K33" s="7"/>
      <c r="L33" s="40" t="s">
        <v>32</v>
      </c>
      <c r="M33" s="41">
        <v>101</v>
      </c>
      <c r="N33" s="41">
        <v>80</v>
      </c>
      <c r="O33" s="41"/>
      <c r="P33" s="41">
        <v>198</v>
      </c>
      <c r="Q33" s="41"/>
      <c r="R33" s="41">
        <v>1</v>
      </c>
      <c r="S33" s="41">
        <v>1</v>
      </c>
      <c r="T33" s="41"/>
      <c r="U33" s="42">
        <f t="shared" ref="U33:U34" si="16">IF(SUM(M33:T33),SUM(M33:T33),"")</f>
        <v>381</v>
      </c>
      <c r="AC33" s="21">
        <f>J30/$U$36</f>
        <v>0.25645756457564578</v>
      </c>
      <c r="AD33" s="21" t="e">
        <f>#REF!/$U$36</f>
        <v>#REF!</v>
      </c>
    </row>
    <row r="34" spans="1:30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K34" s="7"/>
      <c r="L34" s="30" t="s">
        <v>44</v>
      </c>
      <c r="M34" s="31">
        <v>12</v>
      </c>
      <c r="N34" s="31"/>
      <c r="O34" s="31">
        <v>34</v>
      </c>
      <c r="P34" s="31">
        <v>6.9999999999999991</v>
      </c>
      <c r="Q34" s="31">
        <v>9.0000000000000018</v>
      </c>
      <c r="R34" s="31">
        <v>2</v>
      </c>
      <c r="S34" s="31">
        <v>1</v>
      </c>
      <c r="T34" s="31">
        <v>1</v>
      </c>
      <c r="U34" s="90">
        <f t="shared" si="16"/>
        <v>66</v>
      </c>
      <c r="AC34" s="21">
        <f>J31/$U$36</f>
        <v>4.6125461254612546E-2</v>
      </c>
      <c r="AD34" s="21">
        <f>U15/$U$36</f>
        <v>2.9520295202952029E-2</v>
      </c>
    </row>
    <row r="35" spans="1:30" ht="12.75" customHeight="1" x14ac:dyDescent="0.25">
      <c r="A35" s="189" t="s">
        <v>86</v>
      </c>
      <c r="B35" s="190"/>
      <c r="C35" s="190"/>
      <c r="D35" s="190"/>
      <c r="E35" s="190"/>
      <c r="F35" s="190"/>
      <c r="G35" s="190"/>
      <c r="H35" s="190"/>
      <c r="I35" s="190"/>
      <c r="J35" s="191"/>
      <c r="K35" s="7"/>
      <c r="L35" s="40" t="s">
        <v>68</v>
      </c>
      <c r="M35" s="41">
        <v>35</v>
      </c>
      <c r="N35" s="41">
        <v>7</v>
      </c>
      <c r="O35" s="41">
        <v>10</v>
      </c>
      <c r="P35" s="41">
        <v>17.999999999999996</v>
      </c>
      <c r="Q35" s="41">
        <v>4</v>
      </c>
      <c r="R35" s="41">
        <v>9</v>
      </c>
      <c r="S35" s="41">
        <v>3</v>
      </c>
      <c r="T35" s="41">
        <v>3</v>
      </c>
      <c r="U35" s="42">
        <f>IF(SUM(M35:T35),SUM(M35:T35),"")</f>
        <v>89</v>
      </c>
      <c r="AC35" s="21">
        <f>J32/$U$36</f>
        <v>1.0756457564575646</v>
      </c>
      <c r="AD35" s="22">
        <f>U16/$U$36</f>
        <v>1.0571955719557196</v>
      </c>
    </row>
    <row r="36" spans="1:30" ht="12.75" customHeight="1" x14ac:dyDescent="0.25">
      <c r="A36" s="30" t="s">
        <v>208</v>
      </c>
      <c r="B36" s="78"/>
      <c r="C36" s="78"/>
      <c r="D36" s="78"/>
      <c r="E36" s="78"/>
      <c r="F36" s="78"/>
      <c r="G36" s="78"/>
      <c r="H36" s="78"/>
      <c r="I36" s="78"/>
      <c r="J36" s="35" t="str">
        <f>IF(SUM(B36:I36),SUM(B36:I36),"")</f>
        <v/>
      </c>
      <c r="K36" s="7"/>
      <c r="L36" s="32" t="s">
        <v>177</v>
      </c>
      <c r="M36" s="34">
        <f t="shared" ref="M36:U36" si="17">IF(SUM(M32:M35),SUM(M32:M35),"")</f>
        <v>148</v>
      </c>
      <c r="N36" s="34">
        <f t="shared" si="17"/>
        <v>88</v>
      </c>
      <c r="O36" s="34">
        <f t="shared" si="17"/>
        <v>44</v>
      </c>
      <c r="P36" s="34">
        <f t="shared" si="17"/>
        <v>227</v>
      </c>
      <c r="Q36" s="34">
        <f t="shared" si="17"/>
        <v>13.000000000000002</v>
      </c>
      <c r="R36" s="34">
        <f t="shared" si="17"/>
        <v>13</v>
      </c>
      <c r="S36" s="34">
        <f t="shared" si="17"/>
        <v>5</v>
      </c>
      <c r="T36" s="34">
        <f t="shared" si="17"/>
        <v>4</v>
      </c>
      <c r="U36" s="151">
        <f t="shared" si="17"/>
        <v>542</v>
      </c>
      <c r="AC36" s="21" t="e">
        <f>#REF!/$U$36</f>
        <v>#REF!</v>
      </c>
      <c r="AD36" s="21"/>
    </row>
    <row r="37" spans="1:30" ht="12.75" customHeight="1" x14ac:dyDescent="0.25">
      <c r="A37" s="40" t="s">
        <v>26</v>
      </c>
      <c r="B37" s="80">
        <v>208</v>
      </c>
      <c r="C37" s="80">
        <v>4</v>
      </c>
      <c r="D37" s="80"/>
      <c r="E37" s="80"/>
      <c r="F37" s="80"/>
      <c r="G37" s="80"/>
      <c r="H37" s="80">
        <v>1</v>
      </c>
      <c r="I37" s="80"/>
      <c r="J37" s="42">
        <f t="shared" ref="J37" si="18">IF(SUM(B37:I37),SUM(B37:I37),"")</f>
        <v>213</v>
      </c>
      <c r="K37" s="7"/>
      <c r="M37" s="70"/>
      <c r="AC37" s="21"/>
      <c r="AD37" s="21"/>
    </row>
    <row r="38" spans="1:30" ht="12.75" customHeight="1" x14ac:dyDescent="0.25">
      <c r="A38" s="36" t="s">
        <v>34</v>
      </c>
      <c r="B38" s="78"/>
      <c r="C38" s="78"/>
      <c r="D38" s="78"/>
      <c r="E38" s="78"/>
      <c r="F38" s="78"/>
      <c r="G38" s="78"/>
      <c r="H38" s="78">
        <v>1</v>
      </c>
      <c r="I38" s="78">
        <v>1</v>
      </c>
      <c r="J38" s="35">
        <f>IF(SUM(B38:I38),SUM(B38:I38),"")</f>
        <v>2</v>
      </c>
      <c r="K38" s="7"/>
      <c r="L38" s="189" t="s">
        <v>176</v>
      </c>
      <c r="M38" s="190"/>
      <c r="N38" s="190"/>
      <c r="O38" s="190"/>
      <c r="P38" s="190"/>
      <c r="Q38" s="190"/>
      <c r="R38" s="190"/>
      <c r="S38" s="190"/>
      <c r="T38" s="190"/>
      <c r="U38" s="191"/>
      <c r="AC38" s="22">
        <f>J33/$U$36</f>
        <v>2.6531365313653135</v>
      </c>
      <c r="AD38" s="21">
        <f>U19/$U$36</f>
        <v>9.2250922509225092E-3</v>
      </c>
    </row>
    <row r="39" spans="1:30" ht="12.75" customHeight="1" x14ac:dyDescent="0.25">
      <c r="A39" s="32" t="s">
        <v>91</v>
      </c>
      <c r="B39" s="34">
        <f t="shared" ref="B39:J39" si="19">IF(SUM(B36:B38),SUM(B36:B38),"")</f>
        <v>208</v>
      </c>
      <c r="C39" s="34">
        <f t="shared" si="19"/>
        <v>4</v>
      </c>
      <c r="D39" s="34" t="str">
        <f t="shared" si="19"/>
        <v/>
      </c>
      <c r="E39" s="34" t="str">
        <f t="shared" si="19"/>
        <v/>
      </c>
      <c r="F39" s="34" t="str">
        <f t="shared" si="19"/>
        <v/>
      </c>
      <c r="G39" s="34" t="str">
        <f t="shared" si="19"/>
        <v/>
      </c>
      <c r="H39" s="34">
        <f t="shared" si="19"/>
        <v>2</v>
      </c>
      <c r="I39" s="34">
        <f t="shared" si="19"/>
        <v>1</v>
      </c>
      <c r="J39" s="151">
        <f t="shared" si="19"/>
        <v>215</v>
      </c>
      <c r="K39" s="7"/>
      <c r="L39" s="30" t="s">
        <v>21</v>
      </c>
      <c r="M39" s="31"/>
      <c r="N39" s="31">
        <v>2</v>
      </c>
      <c r="O39" s="31">
        <v>36</v>
      </c>
      <c r="P39" s="31">
        <v>10</v>
      </c>
      <c r="Q39" s="31">
        <v>3</v>
      </c>
      <c r="R39" s="31">
        <v>1</v>
      </c>
      <c r="S39" s="31"/>
      <c r="T39" s="31">
        <v>1</v>
      </c>
      <c r="U39" s="90">
        <f>IF(SUM(M39:T39),SUM(M39:T39),"")</f>
        <v>53</v>
      </c>
      <c r="AC39" s="21"/>
      <c r="AD39" s="21">
        <f>U20/$U$36</f>
        <v>5.5350553505535055E-2</v>
      </c>
    </row>
    <row r="40" spans="1:30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11"/>
      <c r="K40" s="7"/>
      <c r="L40" s="40" t="s">
        <v>28</v>
      </c>
      <c r="M40" s="41"/>
      <c r="N40" s="41">
        <v>6</v>
      </c>
      <c r="O40" s="41">
        <v>4</v>
      </c>
      <c r="P40" s="41">
        <v>8</v>
      </c>
      <c r="Q40" s="41">
        <v>1</v>
      </c>
      <c r="R40" s="41">
        <v>3</v>
      </c>
      <c r="S40" s="41">
        <v>1</v>
      </c>
      <c r="T40" s="41">
        <v>2</v>
      </c>
      <c r="U40" s="42">
        <f t="shared" ref="U40" si="20">IF(SUM(M40:T40),SUM(M40:T40),"")</f>
        <v>25</v>
      </c>
      <c r="AC40" s="21"/>
      <c r="AD40" s="21">
        <f>U21/$U$36</f>
        <v>0.41143911439114389</v>
      </c>
    </row>
    <row r="41" spans="1:30" ht="12.75" customHeight="1" x14ac:dyDescent="0.25">
      <c r="A41" s="189" t="s">
        <v>108</v>
      </c>
      <c r="B41" s="190"/>
      <c r="C41" s="190"/>
      <c r="D41" s="190"/>
      <c r="E41" s="190"/>
      <c r="F41" s="190"/>
      <c r="G41" s="190"/>
      <c r="H41" s="190"/>
      <c r="I41" s="190"/>
      <c r="J41" s="191"/>
      <c r="K41" s="7"/>
      <c r="L41" s="30" t="s">
        <v>40</v>
      </c>
      <c r="M41" s="31">
        <v>24</v>
      </c>
      <c r="N41" s="31">
        <v>2</v>
      </c>
      <c r="O41" s="31"/>
      <c r="P41" s="31">
        <v>81</v>
      </c>
      <c r="Q41" s="31">
        <v>3</v>
      </c>
      <c r="R41" s="31">
        <v>2</v>
      </c>
      <c r="S41" s="31"/>
      <c r="T41" s="31">
        <v>1</v>
      </c>
      <c r="U41" s="90">
        <f>IF(SUM(M41:T41),SUM(M41:T41),"")</f>
        <v>113</v>
      </c>
      <c r="AC41" s="21" t="e">
        <f>J36/$U$36</f>
        <v>#VALUE!</v>
      </c>
      <c r="AD41" s="21" t="e">
        <f>#REF!/$U$36</f>
        <v>#REF!</v>
      </c>
    </row>
    <row r="42" spans="1:30" ht="12.75" customHeight="1" x14ac:dyDescent="0.25">
      <c r="A42" s="87" t="s">
        <v>15</v>
      </c>
      <c r="B42" s="78"/>
      <c r="C42" s="78"/>
      <c r="D42" s="78"/>
      <c r="E42" s="78">
        <v>3</v>
      </c>
      <c r="F42" s="78"/>
      <c r="G42" s="78">
        <v>1</v>
      </c>
      <c r="H42" s="78">
        <v>2</v>
      </c>
      <c r="I42" s="78">
        <v>11</v>
      </c>
      <c r="J42" s="103">
        <f t="shared" ref="J42:J49" si="21">IF(SUM(B42:I42),SUM(B42:I42),"")</f>
        <v>17</v>
      </c>
      <c r="K42" s="7"/>
      <c r="L42" s="40" t="s">
        <v>45</v>
      </c>
      <c r="M42" s="41">
        <v>44</v>
      </c>
      <c r="N42" s="41">
        <v>61</v>
      </c>
      <c r="O42" s="41">
        <v>1</v>
      </c>
      <c r="P42" s="41">
        <v>43.999999999999993</v>
      </c>
      <c r="Q42" s="41">
        <v>4</v>
      </c>
      <c r="R42" s="41">
        <v>2</v>
      </c>
      <c r="S42" s="41">
        <v>2</v>
      </c>
      <c r="T42" s="41">
        <v>2</v>
      </c>
      <c r="U42" s="42">
        <f>IF(SUM(M42:T42),SUM(M42:T42),"")</f>
        <v>160</v>
      </c>
      <c r="AC42" s="21">
        <f>J37/$U$36</f>
        <v>0.3929889298892989</v>
      </c>
      <c r="AD42" s="21" t="e">
        <f>#REF!/$U$36</f>
        <v>#REF!</v>
      </c>
    </row>
    <row r="43" spans="1:30" ht="12.75" customHeight="1" x14ac:dyDescent="0.25">
      <c r="A43" s="40" t="s">
        <v>22</v>
      </c>
      <c r="B43" s="80"/>
      <c r="C43" s="80"/>
      <c r="D43" s="80"/>
      <c r="E43" s="80"/>
      <c r="F43" s="80"/>
      <c r="G43" s="80"/>
      <c r="H43" s="80">
        <v>14</v>
      </c>
      <c r="I43" s="80">
        <v>1</v>
      </c>
      <c r="J43" s="148">
        <f t="shared" si="21"/>
        <v>15</v>
      </c>
      <c r="K43" s="7"/>
      <c r="L43" s="87" t="s">
        <v>51</v>
      </c>
      <c r="M43" s="31"/>
      <c r="N43" s="31">
        <v>2</v>
      </c>
      <c r="O43" s="31">
        <v>3</v>
      </c>
      <c r="P43" s="31">
        <v>4</v>
      </c>
      <c r="Q43" s="31"/>
      <c r="R43" s="31">
        <v>1</v>
      </c>
      <c r="S43" s="31"/>
      <c r="T43" s="31">
        <v>1</v>
      </c>
      <c r="U43" s="90">
        <f>IF(SUM(M43:T43),SUM(M43:T43),"")</f>
        <v>11</v>
      </c>
      <c r="AC43" s="21">
        <f>J38/$U$36</f>
        <v>3.6900369003690036E-3</v>
      </c>
      <c r="AD43" s="21" t="e">
        <f>#REF!/$U$36</f>
        <v>#REF!</v>
      </c>
    </row>
    <row r="44" spans="1:30" ht="12.75" customHeight="1" x14ac:dyDescent="0.25">
      <c r="A44" s="89" t="s">
        <v>101</v>
      </c>
      <c r="B44" s="176"/>
      <c r="C44" s="176"/>
      <c r="D44" s="176"/>
      <c r="E44" s="176"/>
      <c r="F44" s="176"/>
      <c r="G44" s="176"/>
      <c r="H44" s="176"/>
      <c r="I44" s="176"/>
      <c r="J44" s="103" t="str">
        <f t="shared" si="21"/>
        <v/>
      </c>
      <c r="K44" s="7"/>
      <c r="L44" s="32" t="s">
        <v>178</v>
      </c>
      <c r="M44" s="34">
        <f t="shared" ref="M44:U44" si="22">IF(SUM(M39:M43),SUM(M39:M43),"")</f>
        <v>68</v>
      </c>
      <c r="N44" s="34">
        <f t="shared" si="22"/>
        <v>73</v>
      </c>
      <c r="O44" s="34">
        <f t="shared" si="22"/>
        <v>44</v>
      </c>
      <c r="P44" s="34">
        <f t="shared" si="22"/>
        <v>147</v>
      </c>
      <c r="Q44" s="34">
        <f t="shared" si="22"/>
        <v>11</v>
      </c>
      <c r="R44" s="34">
        <f t="shared" si="22"/>
        <v>9</v>
      </c>
      <c r="S44" s="34">
        <f t="shared" si="22"/>
        <v>3</v>
      </c>
      <c r="T44" s="34">
        <f t="shared" si="22"/>
        <v>7</v>
      </c>
      <c r="U44" s="151">
        <f t="shared" si="22"/>
        <v>362</v>
      </c>
      <c r="AC44" s="21"/>
      <c r="AD44" s="22">
        <f>U22/$U$36</f>
        <v>0.47601476014760147</v>
      </c>
    </row>
    <row r="45" spans="1:30" ht="12.75" customHeight="1" x14ac:dyDescent="0.25">
      <c r="A45" s="40" t="s">
        <v>41</v>
      </c>
      <c r="B45" s="80"/>
      <c r="C45" s="80"/>
      <c r="D45" s="80"/>
      <c r="E45" s="80">
        <v>8</v>
      </c>
      <c r="F45" s="80">
        <v>4</v>
      </c>
      <c r="G45" s="80"/>
      <c r="H45" s="80"/>
      <c r="I45" s="80">
        <v>2</v>
      </c>
      <c r="J45" s="148">
        <f t="shared" si="21"/>
        <v>14</v>
      </c>
      <c r="K45" s="7"/>
      <c r="AC45" s="21" t="e">
        <f>#REF!/$U$36</f>
        <v>#REF!</v>
      </c>
      <c r="AD45" s="21"/>
    </row>
    <row r="46" spans="1:30" ht="12.75" customHeight="1" x14ac:dyDescent="0.25">
      <c r="A46" s="87" t="s">
        <v>50</v>
      </c>
      <c r="B46" s="176">
        <v>31.999999999999996</v>
      </c>
      <c r="C46" s="176"/>
      <c r="D46" s="176">
        <v>1</v>
      </c>
      <c r="E46" s="176">
        <v>24</v>
      </c>
      <c r="F46" s="176">
        <v>12</v>
      </c>
      <c r="G46" s="176">
        <v>3</v>
      </c>
      <c r="H46" s="176">
        <v>1</v>
      </c>
      <c r="I46" s="176">
        <v>5</v>
      </c>
      <c r="J46" s="103">
        <f t="shared" si="21"/>
        <v>78</v>
      </c>
      <c r="K46" s="7"/>
      <c r="L46" s="189" t="s">
        <v>179</v>
      </c>
      <c r="M46" s="190"/>
      <c r="N46" s="190"/>
      <c r="O46" s="190"/>
      <c r="P46" s="190"/>
      <c r="Q46" s="190"/>
      <c r="R46" s="190"/>
      <c r="S46" s="190"/>
      <c r="T46" s="190"/>
      <c r="U46" s="191"/>
      <c r="AC46" s="21" t="e">
        <f>#REF!/$U$36</f>
        <v>#REF!</v>
      </c>
      <c r="AD46" s="21"/>
    </row>
    <row r="47" spans="1:30" ht="12.75" customHeight="1" x14ac:dyDescent="0.25">
      <c r="A47" s="40" t="s">
        <v>52</v>
      </c>
      <c r="B47" s="80"/>
      <c r="C47" s="80"/>
      <c r="D47" s="80"/>
      <c r="E47" s="80"/>
      <c r="F47" s="80"/>
      <c r="G47" s="80"/>
      <c r="H47" s="80">
        <v>2</v>
      </c>
      <c r="I47" s="80">
        <v>2</v>
      </c>
      <c r="J47" s="148">
        <f t="shared" si="21"/>
        <v>4</v>
      </c>
      <c r="K47" s="7"/>
      <c r="L47" s="30" t="s">
        <v>4</v>
      </c>
      <c r="M47" s="31">
        <v>22</v>
      </c>
      <c r="N47" s="31">
        <v>8</v>
      </c>
      <c r="O47" s="31">
        <v>2</v>
      </c>
      <c r="P47" s="31">
        <v>24</v>
      </c>
      <c r="Q47" s="31">
        <v>3</v>
      </c>
      <c r="R47" s="31">
        <v>2</v>
      </c>
      <c r="S47" s="31"/>
      <c r="T47" s="31"/>
      <c r="U47" s="90">
        <f>IF(SUM(M47:T47),SUM(M47:T47),"")</f>
        <v>61</v>
      </c>
      <c r="AC47" s="21"/>
      <c r="AD47" s="21" t="e">
        <f>#REF!/$U$36</f>
        <v>#REF!</v>
      </c>
    </row>
    <row r="48" spans="1:30" ht="12.75" customHeight="1" x14ac:dyDescent="0.25">
      <c r="A48" s="87" t="s">
        <v>53</v>
      </c>
      <c r="B48" s="176">
        <v>18</v>
      </c>
      <c r="C48" s="176"/>
      <c r="D48" s="176"/>
      <c r="E48" s="176">
        <v>1</v>
      </c>
      <c r="F48" s="176">
        <v>5</v>
      </c>
      <c r="G48" s="176">
        <v>1</v>
      </c>
      <c r="H48" s="176">
        <v>4</v>
      </c>
      <c r="I48" s="176">
        <v>2</v>
      </c>
      <c r="J48" s="103">
        <f t="shared" si="21"/>
        <v>31</v>
      </c>
      <c r="K48" s="7"/>
      <c r="L48" s="40" t="s">
        <v>14</v>
      </c>
      <c r="M48" s="41">
        <v>24.999999999999996</v>
      </c>
      <c r="N48" s="41">
        <v>13</v>
      </c>
      <c r="O48" s="41"/>
      <c r="P48" s="41">
        <v>24</v>
      </c>
      <c r="Q48" s="41">
        <v>16</v>
      </c>
      <c r="R48" s="41"/>
      <c r="S48" s="41">
        <v>1</v>
      </c>
      <c r="T48" s="41">
        <v>2</v>
      </c>
      <c r="U48" s="42">
        <f t="shared" ref="U48:U49" si="23">IF(SUM(M48:T48),SUM(M48:T48),"")</f>
        <v>81</v>
      </c>
      <c r="AC48" s="21" t="e">
        <f>#REF!/$U$36</f>
        <v>#REF!</v>
      </c>
      <c r="AD48" s="21"/>
    </row>
    <row r="49" spans="1:37" ht="12.75" customHeight="1" x14ac:dyDescent="0.25">
      <c r="A49" s="40" t="s">
        <v>55</v>
      </c>
      <c r="B49" s="80"/>
      <c r="C49" s="80"/>
      <c r="D49" s="80"/>
      <c r="E49" s="80"/>
      <c r="F49" s="80"/>
      <c r="G49" s="80"/>
      <c r="H49" s="80"/>
      <c r="I49" s="80">
        <v>3</v>
      </c>
      <c r="J49" s="148">
        <f t="shared" si="21"/>
        <v>3</v>
      </c>
      <c r="K49" s="7"/>
      <c r="L49" s="30" t="s">
        <v>59</v>
      </c>
      <c r="M49" s="31">
        <v>17.000000000000004</v>
      </c>
      <c r="N49" s="31">
        <v>12</v>
      </c>
      <c r="O49" s="31">
        <v>36.000000000000007</v>
      </c>
      <c r="P49" s="31">
        <v>13</v>
      </c>
      <c r="Q49" s="31">
        <v>10</v>
      </c>
      <c r="R49" s="31">
        <v>3</v>
      </c>
      <c r="S49" s="31"/>
      <c r="T49" s="31"/>
      <c r="U49" s="90">
        <f t="shared" si="23"/>
        <v>91.000000000000014</v>
      </c>
      <c r="AC49" s="21" t="e">
        <f>#REF!/$U$36</f>
        <v>#REF!</v>
      </c>
      <c r="AD49" s="21">
        <f>U26/$U$36</f>
        <v>9.2250922509225092E-3</v>
      </c>
    </row>
    <row r="50" spans="1:37" ht="12.75" customHeight="1" x14ac:dyDescent="0.25">
      <c r="A50" s="32" t="s">
        <v>109</v>
      </c>
      <c r="B50" s="34">
        <f t="shared" ref="B50:I50" si="24">IF(SUM(B42:B49),SUM(B42:B49),"")</f>
        <v>50</v>
      </c>
      <c r="C50" s="34" t="str">
        <f t="shared" si="24"/>
        <v/>
      </c>
      <c r="D50" s="34">
        <f t="shared" si="24"/>
        <v>1</v>
      </c>
      <c r="E50" s="34">
        <f t="shared" si="24"/>
        <v>36</v>
      </c>
      <c r="F50" s="34">
        <f t="shared" si="24"/>
        <v>21</v>
      </c>
      <c r="G50" s="34">
        <f t="shared" si="24"/>
        <v>5</v>
      </c>
      <c r="H50" s="34">
        <f t="shared" si="24"/>
        <v>23</v>
      </c>
      <c r="I50" s="34">
        <f t="shared" si="24"/>
        <v>26</v>
      </c>
      <c r="J50" s="151">
        <f>IF(SUM(J42:J49),SUM(J42:J49),"")</f>
        <v>162</v>
      </c>
      <c r="K50" s="7"/>
      <c r="L50" s="32" t="s">
        <v>180</v>
      </c>
      <c r="M50" s="34">
        <f t="shared" ref="M50:S50" si="25">IF(SUM(M47:M49),SUM(M47:M49),"")</f>
        <v>64</v>
      </c>
      <c r="N50" s="34">
        <f t="shared" si="25"/>
        <v>33</v>
      </c>
      <c r="O50" s="34">
        <f t="shared" si="25"/>
        <v>38.000000000000007</v>
      </c>
      <c r="P50" s="34">
        <f t="shared" si="25"/>
        <v>61</v>
      </c>
      <c r="Q50" s="34">
        <f t="shared" si="25"/>
        <v>29</v>
      </c>
      <c r="R50" s="34">
        <f t="shared" si="25"/>
        <v>5</v>
      </c>
      <c r="S50" s="34">
        <f t="shared" si="25"/>
        <v>1</v>
      </c>
      <c r="T50" s="34">
        <f>IF(SUM(T47:T49),SUM(T47:T49),"")</f>
        <v>2</v>
      </c>
      <c r="U50" s="151">
        <f>IF(SUM(U47:U49),SUM(U47:U49),"")</f>
        <v>233</v>
      </c>
      <c r="AC50" s="21" t="e">
        <f>#REF!/$U$36</f>
        <v>#REF!</v>
      </c>
      <c r="AD50" s="21"/>
    </row>
    <row r="51" spans="1:37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K51" s="9"/>
      <c r="AC51" s="21" t="e">
        <f>#REF!/$U$36</f>
        <v>#REF!</v>
      </c>
      <c r="AD51" s="21"/>
    </row>
    <row r="52" spans="1:37" ht="12.75" customHeight="1" x14ac:dyDescent="0.25">
      <c r="A52" s="189" t="s">
        <v>110</v>
      </c>
      <c r="B52" s="190"/>
      <c r="C52" s="190"/>
      <c r="D52" s="190"/>
      <c r="E52" s="190"/>
      <c r="F52" s="190"/>
      <c r="G52" s="190"/>
      <c r="H52" s="190"/>
      <c r="I52" s="190"/>
      <c r="J52" s="191"/>
      <c r="K52" s="7"/>
      <c r="L52" s="189" t="s">
        <v>181</v>
      </c>
      <c r="M52" s="190"/>
      <c r="N52" s="190"/>
      <c r="O52" s="190"/>
      <c r="P52" s="190"/>
      <c r="Q52" s="190"/>
      <c r="R52" s="190"/>
      <c r="S52" s="190"/>
      <c r="T52" s="190"/>
      <c r="U52" s="191"/>
      <c r="AC52" s="21" t="e">
        <f>#REF!/$U$36</f>
        <v>#REF!</v>
      </c>
      <c r="AD52" s="21"/>
    </row>
    <row r="53" spans="1:37" ht="12.75" customHeight="1" x14ac:dyDescent="0.25">
      <c r="A53" s="87" t="s">
        <v>8</v>
      </c>
      <c r="B53" s="78">
        <v>1</v>
      </c>
      <c r="C53" s="78">
        <v>3</v>
      </c>
      <c r="D53" s="78"/>
      <c r="E53" s="78">
        <v>1</v>
      </c>
      <c r="F53" s="78">
        <v>44</v>
      </c>
      <c r="G53" s="78"/>
      <c r="H53" s="78"/>
      <c r="I53" s="78"/>
      <c r="J53" s="103">
        <f>IF(SUM(B53:I53),SUM(B53:I53),"")</f>
        <v>49</v>
      </c>
      <c r="K53" s="7"/>
      <c r="L53" s="30" t="s">
        <v>98</v>
      </c>
      <c r="M53" s="31">
        <v>104</v>
      </c>
      <c r="N53" s="31">
        <v>45.999999999999993</v>
      </c>
      <c r="O53" s="31">
        <v>16.000000000000004</v>
      </c>
      <c r="P53" s="31">
        <v>7</v>
      </c>
      <c r="Q53" s="31">
        <v>1</v>
      </c>
      <c r="R53" s="31">
        <v>1</v>
      </c>
      <c r="S53" s="31"/>
      <c r="T53" s="31"/>
      <c r="U53" s="90">
        <f>IF(SUM(M53:T53),SUM(M53:T53),"")</f>
        <v>175</v>
      </c>
      <c r="AC53" s="22">
        <f>J39/$U$36</f>
        <v>0.39667896678966791</v>
      </c>
      <c r="AD53" s="21"/>
    </row>
    <row r="54" spans="1:37" ht="12.75" customHeight="1" x14ac:dyDescent="0.25">
      <c r="A54" s="40" t="s">
        <v>12</v>
      </c>
      <c r="B54" s="80">
        <v>298</v>
      </c>
      <c r="C54" s="80">
        <v>2</v>
      </c>
      <c r="D54" s="80">
        <v>12</v>
      </c>
      <c r="E54" s="80">
        <v>2</v>
      </c>
      <c r="F54" s="80">
        <v>3</v>
      </c>
      <c r="G54" s="80">
        <v>14</v>
      </c>
      <c r="H54" s="80"/>
      <c r="I54" s="80"/>
      <c r="J54" s="148">
        <f>IF(SUM(B54:I54),SUM(B54:I54),"")</f>
        <v>331</v>
      </c>
      <c r="K54" s="7"/>
      <c r="L54" s="40" t="s">
        <v>23</v>
      </c>
      <c r="M54" s="41"/>
      <c r="N54" s="41"/>
      <c r="O54" s="41"/>
      <c r="P54" s="41"/>
      <c r="Q54" s="41"/>
      <c r="R54" s="41"/>
      <c r="S54" s="41"/>
      <c r="T54" s="41"/>
      <c r="U54" s="42" t="str">
        <f t="shared" ref="U54:U57" si="26">IF(SUM(M54:T54),SUM(M54:T54),"")</f>
        <v/>
      </c>
      <c r="AC54" s="21"/>
      <c r="AD54" s="21"/>
    </row>
    <row r="55" spans="1:37" ht="12.75" customHeight="1" x14ac:dyDescent="0.25">
      <c r="A55" s="89" t="s">
        <v>35</v>
      </c>
      <c r="B55" s="31"/>
      <c r="C55" s="31"/>
      <c r="D55" s="31"/>
      <c r="E55" s="31"/>
      <c r="F55" s="31"/>
      <c r="G55" s="31"/>
      <c r="H55" s="31"/>
      <c r="I55" s="31">
        <v>4</v>
      </c>
      <c r="J55" s="103">
        <f>IF(SUM(B55:I55),SUM(B55:I55),"")</f>
        <v>4</v>
      </c>
      <c r="K55" s="7"/>
      <c r="L55" s="30" t="s">
        <v>29</v>
      </c>
      <c r="M55" s="31">
        <v>2</v>
      </c>
      <c r="N55" s="31">
        <v>15</v>
      </c>
      <c r="O55" s="31"/>
      <c r="P55" s="31">
        <v>5</v>
      </c>
      <c r="Q55" s="31">
        <v>1</v>
      </c>
      <c r="R55" s="31"/>
      <c r="S55" s="31"/>
      <c r="T55" s="31"/>
      <c r="U55" s="90">
        <f t="shared" si="26"/>
        <v>23</v>
      </c>
      <c r="AC55" s="21"/>
      <c r="AD55" s="21" t="e">
        <f>#REF!/$U$36</f>
        <v>#REF!</v>
      </c>
    </row>
    <row r="56" spans="1:37" ht="12.75" customHeight="1" x14ac:dyDescent="0.25">
      <c r="A56" s="32" t="s">
        <v>111</v>
      </c>
      <c r="B56" s="34">
        <f t="shared" ref="B56:I56" si="27">IF(SUM(B53:B55),SUM(B53:B55),"")</f>
        <v>299</v>
      </c>
      <c r="C56" s="34">
        <f t="shared" si="27"/>
        <v>5</v>
      </c>
      <c r="D56" s="34">
        <f t="shared" si="27"/>
        <v>12</v>
      </c>
      <c r="E56" s="34">
        <f t="shared" si="27"/>
        <v>3</v>
      </c>
      <c r="F56" s="34">
        <f t="shared" si="27"/>
        <v>47</v>
      </c>
      <c r="G56" s="34">
        <f t="shared" si="27"/>
        <v>14</v>
      </c>
      <c r="H56" s="34" t="str">
        <f t="shared" si="27"/>
        <v/>
      </c>
      <c r="I56" s="34">
        <f t="shared" si="27"/>
        <v>4</v>
      </c>
      <c r="J56" s="151">
        <f>IF(SUM(J53:J55),SUM(J53:J55),"")</f>
        <v>384</v>
      </c>
      <c r="K56" s="7"/>
      <c r="L56" s="40" t="s">
        <v>62</v>
      </c>
      <c r="M56" s="41">
        <v>111</v>
      </c>
      <c r="N56" s="41">
        <v>270</v>
      </c>
      <c r="O56" s="41">
        <v>18</v>
      </c>
      <c r="P56" s="41">
        <v>7</v>
      </c>
      <c r="Q56" s="41">
        <v>3</v>
      </c>
      <c r="R56" s="41"/>
      <c r="S56" s="41"/>
      <c r="T56" s="41"/>
      <c r="U56" s="42">
        <f t="shared" si="26"/>
        <v>409</v>
      </c>
      <c r="AC56" s="21" t="e">
        <f>#REF!/$U$36</f>
        <v>#REF!</v>
      </c>
      <c r="AD56" s="21" t="e">
        <f>#REF!/$U$36</f>
        <v>#REF!</v>
      </c>
    </row>
    <row r="57" spans="1:37" ht="12.75" customHeight="1" x14ac:dyDescent="0.25">
      <c r="B57" s="88"/>
      <c r="C57" s="88"/>
      <c r="D57" s="88"/>
      <c r="E57" s="88"/>
      <c r="F57" s="88"/>
      <c r="G57" s="88"/>
      <c r="H57" s="88"/>
      <c r="I57" s="88"/>
      <c r="K57" s="7"/>
      <c r="L57" s="87" t="s">
        <v>65</v>
      </c>
      <c r="M57" s="78">
        <v>9</v>
      </c>
      <c r="N57" s="78">
        <v>5</v>
      </c>
      <c r="O57" s="78">
        <v>20</v>
      </c>
      <c r="P57" s="78">
        <v>12</v>
      </c>
      <c r="Q57" s="78">
        <v>6.9999999999999991</v>
      </c>
      <c r="R57" s="78">
        <v>4</v>
      </c>
      <c r="S57" s="78">
        <v>1</v>
      </c>
      <c r="T57" s="78">
        <v>1</v>
      </c>
      <c r="U57" s="90">
        <f t="shared" si="26"/>
        <v>59</v>
      </c>
      <c r="V57" s="6"/>
      <c r="W57" s="6"/>
      <c r="X57" s="6"/>
      <c r="Y57" s="6"/>
      <c r="Z57" s="6"/>
      <c r="AA57" s="6"/>
      <c r="AB57" s="6"/>
      <c r="AC57" s="21" t="e">
        <f>#REF!/$U$36</f>
        <v>#REF!</v>
      </c>
      <c r="AD57" s="21" t="e">
        <f>#REF!/$U$36</f>
        <v>#REF!</v>
      </c>
    </row>
    <row r="58" spans="1:37" ht="12.75" customHeight="1" x14ac:dyDescent="0.25">
      <c r="A58" s="189" t="s">
        <v>112</v>
      </c>
      <c r="B58" s="190"/>
      <c r="C58" s="190"/>
      <c r="D58" s="190"/>
      <c r="E58" s="190"/>
      <c r="F58" s="190"/>
      <c r="G58" s="190"/>
      <c r="H58" s="190"/>
      <c r="I58" s="190"/>
      <c r="J58" s="191"/>
      <c r="K58" s="7"/>
      <c r="L58" s="32" t="s">
        <v>182</v>
      </c>
      <c r="M58" s="34">
        <f>IF(SUM(M53:M57),SUM(M53:M57),"")</f>
        <v>226</v>
      </c>
      <c r="N58" s="34">
        <f t="shared" ref="N58:U58" si="28">IF(SUM(N53:N57),SUM(N53:N57),"")</f>
        <v>336</v>
      </c>
      <c r="O58" s="34">
        <f t="shared" si="28"/>
        <v>54</v>
      </c>
      <c r="P58" s="34">
        <f t="shared" si="28"/>
        <v>31</v>
      </c>
      <c r="Q58" s="34">
        <f t="shared" si="28"/>
        <v>12</v>
      </c>
      <c r="R58" s="34">
        <f t="shared" si="28"/>
        <v>5</v>
      </c>
      <c r="S58" s="34">
        <f t="shared" si="28"/>
        <v>1</v>
      </c>
      <c r="T58" s="34">
        <f t="shared" si="28"/>
        <v>1</v>
      </c>
      <c r="U58" s="151">
        <f t="shared" si="28"/>
        <v>666</v>
      </c>
      <c r="AC58" s="21" t="e">
        <f>#REF!/$U$36</f>
        <v>#REF!</v>
      </c>
      <c r="AD58" s="22">
        <f>U29/$U$36</f>
        <v>0.38745387453874541</v>
      </c>
    </row>
    <row r="59" spans="1:37" ht="12.75" customHeight="1" x14ac:dyDescent="0.25">
      <c r="A59" s="87" t="s">
        <v>13</v>
      </c>
      <c r="B59" s="31"/>
      <c r="C59" s="31"/>
      <c r="D59" s="31"/>
      <c r="E59" s="31"/>
      <c r="F59" s="31">
        <v>13</v>
      </c>
      <c r="G59" s="31"/>
      <c r="H59" s="31"/>
      <c r="I59" s="31"/>
      <c r="J59" s="103">
        <f>IF(SUM(B59:I59),SUM(B59:I59),"")</f>
        <v>13</v>
      </c>
      <c r="K59" s="7"/>
      <c r="AC59" s="22">
        <f>J50/$U$36</f>
        <v>0.2988929889298893</v>
      </c>
      <c r="AD59" s="21"/>
    </row>
    <row r="60" spans="1:37" ht="12.75" customHeight="1" x14ac:dyDescent="0.25">
      <c r="A60" s="40" t="s">
        <v>43</v>
      </c>
      <c r="B60" s="80">
        <v>18</v>
      </c>
      <c r="C60" s="80"/>
      <c r="D60" s="80"/>
      <c r="E60" s="80">
        <v>6.9999999999999991</v>
      </c>
      <c r="F60" s="80">
        <v>5</v>
      </c>
      <c r="G60" s="80">
        <v>4</v>
      </c>
      <c r="H60" s="80">
        <v>7</v>
      </c>
      <c r="I60" s="80">
        <v>3</v>
      </c>
      <c r="J60" s="148">
        <f t="shared" ref="J60:J61" si="29">IF(SUM(B60:I60),SUM(B60:I60),"")</f>
        <v>44</v>
      </c>
      <c r="K60" s="7"/>
      <c r="L60" s="189" t="s">
        <v>183</v>
      </c>
      <c r="M60" s="190"/>
      <c r="N60" s="190"/>
      <c r="O60" s="190"/>
      <c r="P60" s="190"/>
      <c r="Q60" s="190"/>
      <c r="R60" s="190"/>
      <c r="S60" s="190"/>
      <c r="T60" s="190"/>
      <c r="U60" s="191"/>
      <c r="AD60" s="21"/>
    </row>
    <row r="61" spans="1:37" ht="12.75" customHeight="1" x14ac:dyDescent="0.25">
      <c r="A61" s="89" t="s">
        <v>56</v>
      </c>
      <c r="B61" s="31">
        <v>15</v>
      </c>
      <c r="C61" s="31">
        <v>1</v>
      </c>
      <c r="D61" s="31"/>
      <c r="E61" s="31"/>
      <c r="F61" s="31"/>
      <c r="G61" s="31"/>
      <c r="H61" s="31">
        <v>1</v>
      </c>
      <c r="I61" s="31">
        <v>2</v>
      </c>
      <c r="J61" s="103">
        <f t="shared" si="29"/>
        <v>19</v>
      </c>
      <c r="K61" s="7"/>
      <c r="L61" s="30" t="s">
        <v>7</v>
      </c>
      <c r="M61" s="31"/>
      <c r="N61" s="31"/>
      <c r="O61" s="31"/>
      <c r="P61" s="31"/>
      <c r="Q61" s="31">
        <v>2</v>
      </c>
      <c r="R61" s="31"/>
      <c r="S61" s="31"/>
      <c r="T61" s="31"/>
      <c r="U61" s="90">
        <f>IF(SUM(M61:T61),SUM(M61:T61),"")</f>
        <v>2</v>
      </c>
      <c r="AD61" s="21">
        <f>U35/$U$36</f>
        <v>0.16420664206642066</v>
      </c>
    </row>
    <row r="62" spans="1:37" ht="12.75" customHeight="1" x14ac:dyDescent="0.25">
      <c r="A62" s="40" t="s">
        <v>67</v>
      </c>
      <c r="B62" s="80">
        <v>3</v>
      </c>
      <c r="C62" s="80"/>
      <c r="D62" s="80"/>
      <c r="E62" s="80">
        <v>3</v>
      </c>
      <c r="F62" s="80">
        <v>7</v>
      </c>
      <c r="G62" s="80">
        <v>11</v>
      </c>
      <c r="H62" s="80"/>
      <c r="I62" s="80">
        <v>2</v>
      </c>
      <c r="J62" s="148">
        <f>IF(SUM(B62:I62),SUM(B62:I62),"")</f>
        <v>26</v>
      </c>
      <c r="K62" s="7"/>
      <c r="L62" s="40" t="s">
        <v>48</v>
      </c>
      <c r="M62" s="41"/>
      <c r="N62" s="41"/>
      <c r="O62" s="41"/>
      <c r="P62" s="41"/>
      <c r="Q62" s="41"/>
      <c r="R62" s="41"/>
      <c r="S62" s="41"/>
      <c r="T62" s="41">
        <v>2</v>
      </c>
      <c r="U62" s="42">
        <f t="shared" ref="U62" si="30">IF(SUM(M62:T62),SUM(M62:T62),"")</f>
        <v>2</v>
      </c>
      <c r="V62" s="6"/>
      <c r="W62" s="6"/>
      <c r="X62" s="6"/>
      <c r="Y62" s="6"/>
      <c r="Z62" s="6"/>
      <c r="AA62" s="6"/>
      <c r="AB62" s="6"/>
      <c r="AD62" s="21"/>
    </row>
    <row r="63" spans="1:37" ht="12.75" customHeight="1" x14ac:dyDescent="0.25">
      <c r="A63" s="32" t="s">
        <v>113</v>
      </c>
      <c r="B63" s="34">
        <f t="shared" ref="B63:J63" si="31">IF(SUM(B59:B62),SUM(B59:B62),"")</f>
        <v>36</v>
      </c>
      <c r="C63" s="34">
        <f t="shared" si="31"/>
        <v>1</v>
      </c>
      <c r="D63" s="34" t="str">
        <f t="shared" si="31"/>
        <v/>
      </c>
      <c r="E63" s="34">
        <f t="shared" si="31"/>
        <v>10</v>
      </c>
      <c r="F63" s="34">
        <f t="shared" si="31"/>
        <v>25</v>
      </c>
      <c r="G63" s="34">
        <f t="shared" si="31"/>
        <v>15</v>
      </c>
      <c r="H63" s="34">
        <f t="shared" si="31"/>
        <v>8</v>
      </c>
      <c r="I63" s="34">
        <f t="shared" si="31"/>
        <v>7</v>
      </c>
      <c r="J63" s="34">
        <f t="shared" si="31"/>
        <v>102</v>
      </c>
      <c r="L63" s="30" t="s">
        <v>57</v>
      </c>
      <c r="M63" s="31"/>
      <c r="N63" s="178"/>
      <c r="O63" s="178"/>
      <c r="P63" s="178"/>
      <c r="Q63" s="178"/>
      <c r="R63" s="178"/>
      <c r="S63" s="178"/>
      <c r="T63" s="178"/>
      <c r="U63" s="90" t="str">
        <f>IF(SUM(M63:T63),SUM(M63:T63),"")</f>
        <v/>
      </c>
      <c r="V63" s="6"/>
      <c r="W63" s="6"/>
      <c r="X63" s="6"/>
      <c r="Y63" s="6"/>
      <c r="Z63" s="6"/>
      <c r="AA63" s="6"/>
      <c r="AB63" s="6"/>
      <c r="AK63" s="21"/>
    </row>
    <row r="64" spans="1:37" ht="12.75" customHeight="1" x14ac:dyDescent="0.25">
      <c r="L64" s="32" t="s">
        <v>184</v>
      </c>
      <c r="M64" s="34" t="str">
        <f t="shared" ref="M64:T64" si="32">IF(SUM(M61:M63),SUM(M61:M63),"")</f>
        <v/>
      </c>
      <c r="N64" s="34" t="str">
        <f t="shared" si="32"/>
        <v/>
      </c>
      <c r="O64" s="34" t="str">
        <f t="shared" si="32"/>
        <v/>
      </c>
      <c r="P64" s="34" t="str">
        <f t="shared" si="32"/>
        <v/>
      </c>
      <c r="Q64" s="34">
        <f t="shared" si="32"/>
        <v>2</v>
      </c>
      <c r="R64" s="34" t="str">
        <f t="shared" si="32"/>
        <v/>
      </c>
      <c r="S64" s="34" t="str">
        <f t="shared" si="32"/>
        <v/>
      </c>
      <c r="T64" s="34">
        <f t="shared" si="32"/>
        <v>2</v>
      </c>
      <c r="U64" s="151">
        <f>IF(SUM(U61:U63),SUM(U61:U63),"")</f>
        <v>4</v>
      </c>
      <c r="V64" s="6"/>
      <c r="AC64" s="19" t="s">
        <v>135</v>
      </c>
      <c r="AD64" s="19" t="s">
        <v>145</v>
      </c>
      <c r="AE64" s="19" t="s">
        <v>146</v>
      </c>
      <c r="AF64" s="19" t="s">
        <v>147</v>
      </c>
      <c r="AG64" s="19" t="s">
        <v>148</v>
      </c>
      <c r="AH64" s="19" t="s">
        <v>149</v>
      </c>
      <c r="AI64" s="19" t="s">
        <v>150</v>
      </c>
      <c r="AJ64" s="19">
        <v>300</v>
      </c>
    </row>
    <row r="65" spans="1:36" ht="12.75" customHeight="1" x14ac:dyDescent="0.25">
      <c r="A65" s="189" t="s">
        <v>114</v>
      </c>
      <c r="B65" s="190"/>
      <c r="C65" s="190"/>
      <c r="D65" s="190"/>
      <c r="E65" s="190"/>
      <c r="F65" s="190"/>
      <c r="G65" s="190"/>
      <c r="H65" s="190"/>
      <c r="I65" s="190"/>
      <c r="J65" s="191"/>
      <c r="L65" s="5"/>
      <c r="P65" s="4"/>
      <c r="Q65" s="4"/>
      <c r="R65" s="4"/>
      <c r="S65" s="4"/>
      <c r="T65" s="4"/>
      <c r="U65" s="25"/>
      <c r="AC65" s="21">
        <f t="shared" ref="AC65:AJ65" si="33">M36/$U$36</f>
        <v>0.27306273062730629</v>
      </c>
      <c r="AD65" s="21">
        <f t="shared" si="33"/>
        <v>0.16236162361623616</v>
      </c>
      <c r="AE65" s="21">
        <f t="shared" si="33"/>
        <v>8.1180811808118078E-2</v>
      </c>
      <c r="AF65" s="21">
        <f t="shared" si="33"/>
        <v>0.41881918819188191</v>
      </c>
      <c r="AG65" s="21">
        <f t="shared" si="33"/>
        <v>2.3985239852398529E-2</v>
      </c>
      <c r="AH65" s="21">
        <f t="shared" si="33"/>
        <v>2.3985239852398525E-2</v>
      </c>
      <c r="AI65" s="21">
        <f t="shared" si="33"/>
        <v>9.2250922509225092E-3</v>
      </c>
      <c r="AJ65" s="21">
        <f t="shared" si="33"/>
        <v>7.3800738007380072E-3</v>
      </c>
    </row>
    <row r="66" spans="1:36" ht="12.75" customHeight="1" x14ac:dyDescent="0.25">
      <c r="A66" s="30" t="s">
        <v>1</v>
      </c>
      <c r="B66" s="78"/>
      <c r="C66" s="78"/>
      <c r="D66" s="78">
        <v>4</v>
      </c>
      <c r="E66" s="78">
        <v>8</v>
      </c>
      <c r="F66" s="78">
        <v>5</v>
      </c>
      <c r="G66" s="78">
        <v>2</v>
      </c>
      <c r="H66" s="78"/>
      <c r="I66" s="78"/>
      <c r="J66" s="147">
        <f>IF(SUM(B66:I66),SUM(B66:I66),"")</f>
        <v>19</v>
      </c>
      <c r="L66" s="189" t="s">
        <v>185</v>
      </c>
      <c r="M66" s="190"/>
      <c r="N66" s="190"/>
      <c r="O66" s="190"/>
      <c r="P66" s="190"/>
      <c r="Q66" s="190"/>
      <c r="R66" s="190"/>
      <c r="S66" s="190"/>
      <c r="T66" s="190"/>
      <c r="U66" s="191"/>
    </row>
    <row r="67" spans="1:36" ht="12.75" customHeight="1" x14ac:dyDescent="0.25">
      <c r="A67" s="40" t="s">
        <v>209</v>
      </c>
      <c r="B67" s="80">
        <v>16</v>
      </c>
      <c r="C67" s="80">
        <v>3</v>
      </c>
      <c r="D67" s="80">
        <v>3</v>
      </c>
      <c r="E67" s="80">
        <v>10</v>
      </c>
      <c r="F67" s="80">
        <v>1</v>
      </c>
      <c r="G67" s="80">
        <v>1</v>
      </c>
      <c r="H67" s="80"/>
      <c r="I67" s="80">
        <v>2</v>
      </c>
      <c r="J67" s="148">
        <f t="shared" ref="J67:J68" si="34">IF(SUM(B67:I67),SUM(B67:I67),"")</f>
        <v>36</v>
      </c>
      <c r="L67" s="30" t="s">
        <v>97</v>
      </c>
      <c r="M67" s="31">
        <v>37</v>
      </c>
      <c r="N67" s="31">
        <v>384.99999999999989</v>
      </c>
      <c r="O67" s="31">
        <v>43.000000000000007</v>
      </c>
      <c r="P67" s="31">
        <v>23</v>
      </c>
      <c r="Q67" s="31">
        <v>5</v>
      </c>
      <c r="R67" s="31">
        <v>6</v>
      </c>
      <c r="S67" s="31">
        <v>2</v>
      </c>
      <c r="T67" s="31">
        <v>4</v>
      </c>
      <c r="U67" s="90">
        <f>IF(SUM(M67:T67),SUM(M67:T67),"")</f>
        <v>504.99999999999989</v>
      </c>
    </row>
    <row r="68" spans="1:36" ht="12.75" customHeight="1" x14ac:dyDescent="0.25">
      <c r="A68" s="87" t="s">
        <v>17</v>
      </c>
      <c r="B68" s="78"/>
      <c r="C68" s="78"/>
      <c r="D68" s="78">
        <v>2</v>
      </c>
      <c r="E68" s="78">
        <v>4</v>
      </c>
      <c r="F68" s="78">
        <v>2</v>
      </c>
      <c r="G68" s="78"/>
      <c r="H68" s="78"/>
      <c r="I68" s="78"/>
      <c r="J68" s="103">
        <f t="shared" si="34"/>
        <v>8</v>
      </c>
      <c r="L68" s="32" t="s">
        <v>186</v>
      </c>
      <c r="M68" s="34">
        <f t="shared" ref="M68:T68" si="35">IF(SUM(M67:M67),SUM(M67:M67),"")</f>
        <v>37</v>
      </c>
      <c r="N68" s="34">
        <f t="shared" si="35"/>
        <v>384.99999999999989</v>
      </c>
      <c r="O68" s="34">
        <f t="shared" si="35"/>
        <v>43.000000000000007</v>
      </c>
      <c r="P68" s="34">
        <f t="shared" si="35"/>
        <v>23</v>
      </c>
      <c r="Q68" s="34">
        <f t="shared" si="35"/>
        <v>5</v>
      </c>
      <c r="R68" s="34">
        <f t="shared" si="35"/>
        <v>6</v>
      </c>
      <c r="S68" s="34">
        <f t="shared" si="35"/>
        <v>2</v>
      </c>
      <c r="T68" s="34">
        <f t="shared" si="35"/>
        <v>4</v>
      </c>
      <c r="U68" s="151">
        <f>IF(SUM(U67:U67),SUM(U67:U67),"")</f>
        <v>504.99999999999989</v>
      </c>
    </row>
    <row r="69" spans="1:36" ht="12.75" customHeight="1" x14ac:dyDescent="0.25">
      <c r="A69" s="40" t="s">
        <v>60</v>
      </c>
      <c r="B69" s="80">
        <v>151</v>
      </c>
      <c r="C69" s="80"/>
      <c r="D69" s="80">
        <v>2</v>
      </c>
      <c r="E69" s="80">
        <v>1</v>
      </c>
      <c r="F69" s="80">
        <v>1</v>
      </c>
      <c r="G69" s="80">
        <v>1</v>
      </c>
      <c r="H69" s="80"/>
      <c r="I69" s="80">
        <v>1</v>
      </c>
      <c r="J69" s="148">
        <f>IF(SUM(B69:I69),SUM(B69:I69),"")</f>
        <v>157</v>
      </c>
      <c r="L69" s="5"/>
      <c r="P69" s="5"/>
      <c r="Q69" s="5"/>
      <c r="R69" s="5"/>
      <c r="S69" s="5"/>
      <c r="T69" s="5"/>
      <c r="U69" s="25"/>
    </row>
    <row r="70" spans="1:36" ht="12.75" customHeight="1" x14ac:dyDescent="0.25">
      <c r="A70" s="32" t="s">
        <v>115</v>
      </c>
      <c r="B70" s="34">
        <f>IF(SUM(B66:B69),SUM(B66:B69),"")</f>
        <v>167</v>
      </c>
      <c r="C70" s="34">
        <f t="shared" ref="C70:J70" si="36">IF(SUM(C66:C69),SUM(C66:C69),"")</f>
        <v>3</v>
      </c>
      <c r="D70" s="34">
        <f t="shared" si="36"/>
        <v>11</v>
      </c>
      <c r="E70" s="34">
        <f t="shared" si="36"/>
        <v>23</v>
      </c>
      <c r="F70" s="34">
        <f t="shared" si="36"/>
        <v>9</v>
      </c>
      <c r="G70" s="34">
        <f t="shared" si="36"/>
        <v>4</v>
      </c>
      <c r="H70" s="34" t="str">
        <f t="shared" si="36"/>
        <v/>
      </c>
      <c r="I70" s="34">
        <f t="shared" si="36"/>
        <v>3</v>
      </c>
      <c r="J70" s="151">
        <f t="shared" si="36"/>
        <v>220</v>
      </c>
      <c r="L70" s="32" t="s">
        <v>121</v>
      </c>
      <c r="M70" s="34">
        <f>IF(SUM(B10,B17,B25,B33,B39,B50,B56,B63,B70,M9,M16,M22,M29,M36,M44,M50,M58,M64,M68),SUM(B10,B17,B25,B33,B39,B50,B56,B63,B70,M9,M16,M22,M29,M36,M44,M50,M58,M64,M68),"")</f>
        <v>2817</v>
      </c>
      <c r="N70" s="34">
        <f t="shared" ref="N70:T70" si="37">IF(SUM(C10,C17,C25,C33,C39,C50,C56,C63,C70,N9,N16,N22,N29,N36,N44,N50,N58,N64,N68),SUM(C10,C17,C25,C33,C39,C50,C56,C63,C70,N9,N16,N22,N29,N36,N44,N50,N58,N64,N68),"")</f>
        <v>1735</v>
      </c>
      <c r="O70" s="34">
        <f t="shared" si="37"/>
        <v>604</v>
      </c>
      <c r="P70" s="34">
        <f t="shared" si="37"/>
        <v>1130</v>
      </c>
      <c r="Q70" s="34">
        <f t="shared" si="37"/>
        <v>653</v>
      </c>
      <c r="R70" s="34">
        <f t="shared" si="37"/>
        <v>172</v>
      </c>
      <c r="S70" s="34">
        <f t="shared" si="37"/>
        <v>95</v>
      </c>
      <c r="T70" s="34">
        <f t="shared" si="37"/>
        <v>158</v>
      </c>
      <c r="U70" s="34">
        <f>IF(SUM(J10,J17,J25,J33,J39,J50,J56,J63,J70,U9,U16,U22,U29,U36,U44,U50,U58,U64,U68),SUM(J10,J17,J25,J33,J39,J50,J56,J63,J70,U9,U16,U22,U29,U36,U44,U50,U58,U64,U68),"")</f>
        <v>7364</v>
      </c>
    </row>
    <row r="71" spans="1:36" x14ac:dyDescent="0.25">
      <c r="L71" s="5"/>
      <c r="P71" s="5"/>
      <c r="Q71" s="5"/>
      <c r="R71" s="5"/>
      <c r="S71" s="5"/>
      <c r="T71" s="5"/>
      <c r="U71" s="25"/>
    </row>
    <row r="72" spans="1:36" x14ac:dyDescent="0.25">
      <c r="L72" s="5"/>
      <c r="M72" s="5"/>
      <c r="N72" s="5"/>
      <c r="O72" s="5"/>
      <c r="P72" s="5"/>
      <c r="Q72" s="5"/>
      <c r="R72" s="5"/>
      <c r="S72" s="5"/>
      <c r="T72" s="5"/>
      <c r="U72" s="25"/>
    </row>
    <row r="73" spans="1:36" x14ac:dyDescent="0.25">
      <c r="L73" s="5"/>
      <c r="M73" s="5"/>
      <c r="N73" s="5"/>
      <c r="O73" s="5"/>
      <c r="P73" s="5"/>
      <c r="Q73" s="5"/>
      <c r="R73" s="5"/>
      <c r="S73" s="5"/>
      <c r="T73" s="5"/>
      <c r="U73" s="25"/>
    </row>
    <row r="74" spans="1:36" x14ac:dyDescent="0.25">
      <c r="L74" s="5"/>
      <c r="M74" s="5"/>
      <c r="N74" s="5"/>
      <c r="O74" s="5"/>
      <c r="P74" s="5"/>
      <c r="Q74" s="5"/>
      <c r="R74" s="5"/>
      <c r="S74" s="5"/>
      <c r="T74" s="5"/>
      <c r="U74" s="25"/>
    </row>
    <row r="75" spans="1:36" x14ac:dyDescent="0.25">
      <c r="L75" s="5"/>
      <c r="Q75" s="5"/>
      <c r="R75" s="5"/>
      <c r="S75" s="5"/>
      <c r="T75" s="5"/>
      <c r="U75" s="25"/>
    </row>
    <row r="76" spans="1:36" x14ac:dyDescent="0.25">
      <c r="L76" s="5"/>
      <c r="Q76" s="5"/>
      <c r="R76" s="5"/>
      <c r="S76" s="5"/>
      <c r="T76" s="5"/>
      <c r="U76" s="25"/>
    </row>
    <row r="81" spans="1:38" x14ac:dyDescent="0.25">
      <c r="E81" s="5"/>
      <c r="F81" s="5"/>
      <c r="G81" s="5"/>
      <c r="H81" s="5"/>
      <c r="I81" s="5"/>
      <c r="J81" s="25"/>
    </row>
    <row r="82" spans="1:38" x14ac:dyDescent="0.25">
      <c r="E82" s="5"/>
      <c r="F82" s="5"/>
      <c r="G82" s="5"/>
      <c r="H82" s="5"/>
      <c r="I82" s="5"/>
      <c r="J82" s="25"/>
    </row>
    <row r="83" spans="1:38" x14ac:dyDescent="0.25">
      <c r="E83" s="5"/>
      <c r="F83" s="5"/>
      <c r="G83" s="5"/>
      <c r="H83" s="5"/>
      <c r="I83" s="5"/>
      <c r="J83" s="25"/>
    </row>
    <row r="84" spans="1:38" x14ac:dyDescent="0.25">
      <c r="E84" s="5"/>
      <c r="F84" s="5"/>
      <c r="G84" s="5"/>
      <c r="H84" s="5"/>
      <c r="I84" s="5"/>
      <c r="J84" s="25"/>
    </row>
    <row r="85" spans="1:38" x14ac:dyDescent="0.25">
      <c r="E85" s="5"/>
      <c r="F85" s="5"/>
      <c r="G85" s="5"/>
      <c r="H85" s="5"/>
      <c r="I85" s="5"/>
      <c r="J85" s="25"/>
    </row>
    <row r="86" spans="1:38" x14ac:dyDescent="0.25">
      <c r="E86" s="5"/>
      <c r="F86" s="5"/>
      <c r="G86" s="5"/>
      <c r="H86" s="5"/>
      <c r="I86" s="5"/>
      <c r="J86" s="25"/>
      <c r="M86" s="5"/>
      <c r="N86" s="5"/>
      <c r="O86" s="5"/>
      <c r="P86" s="5"/>
    </row>
    <row r="87" spans="1:38" x14ac:dyDescent="0.25">
      <c r="E87" s="5"/>
      <c r="F87" s="5"/>
      <c r="G87" s="5"/>
      <c r="H87" s="5"/>
      <c r="I87" s="5"/>
      <c r="J87" s="25"/>
      <c r="P87" s="5"/>
    </row>
    <row r="88" spans="1:38" x14ac:dyDescent="0.25">
      <c r="E88" s="5"/>
      <c r="F88" s="5"/>
      <c r="G88" s="5"/>
      <c r="H88" s="5"/>
      <c r="I88" s="5"/>
      <c r="J88" s="25"/>
    </row>
    <row r="89" spans="1:38" x14ac:dyDescent="0.25">
      <c r="E89" s="5"/>
      <c r="F89" s="5"/>
      <c r="G89" s="5"/>
      <c r="H89" s="5"/>
      <c r="I89" s="5"/>
      <c r="J89" s="25"/>
    </row>
    <row r="90" spans="1:38" x14ac:dyDescent="0.25">
      <c r="E90" s="5"/>
      <c r="F90" s="5"/>
      <c r="G90" s="5"/>
      <c r="H90" s="5"/>
      <c r="I90" s="5"/>
      <c r="J90" s="25"/>
    </row>
    <row r="91" spans="1:38" x14ac:dyDescent="0.25">
      <c r="E91" s="5"/>
      <c r="F91" s="5"/>
      <c r="G91" s="5"/>
      <c r="H91" s="5"/>
      <c r="I91" s="5"/>
      <c r="J91" s="25"/>
    </row>
    <row r="92" spans="1:38" x14ac:dyDescent="0.25">
      <c r="E92" s="5"/>
      <c r="F92" s="5"/>
      <c r="G92" s="5"/>
      <c r="H92" s="5"/>
      <c r="I92" s="5"/>
      <c r="J92" s="25"/>
    </row>
    <row r="93" spans="1:38" ht="15.75" customHeight="1" x14ac:dyDescent="0.25">
      <c r="E93" s="5"/>
      <c r="F93" s="5"/>
      <c r="G93" s="5"/>
      <c r="H93" s="5"/>
      <c r="I93" s="5"/>
      <c r="J93" s="25"/>
    </row>
    <row r="94" spans="1:38" s="27" customFormat="1" ht="15.95" customHeight="1" x14ac:dyDescent="0.25">
      <c r="A94" s="96"/>
      <c r="B94" s="96" t="s">
        <v>134</v>
      </c>
      <c r="C94" s="96"/>
      <c r="D94" s="93"/>
      <c r="E94" s="5"/>
      <c r="F94" s="5"/>
      <c r="G94" s="5"/>
      <c r="H94" s="5"/>
      <c r="I94" s="5"/>
      <c r="J94" s="25"/>
      <c r="K94" s="26"/>
      <c r="L94" s="1"/>
      <c r="P94" s="1"/>
      <c r="Q94" s="1"/>
      <c r="R94" s="1"/>
      <c r="S94" s="1"/>
      <c r="T94" s="1"/>
      <c r="U94" s="10"/>
      <c r="AC94" s="28"/>
      <c r="AD94" s="28"/>
      <c r="AE94" s="28"/>
      <c r="AF94" s="28"/>
      <c r="AG94" s="28"/>
      <c r="AH94" s="28"/>
      <c r="AI94" s="28"/>
      <c r="AJ94" s="28"/>
      <c r="AK94" s="28"/>
      <c r="AL94" s="29"/>
    </row>
    <row r="95" spans="1:38" s="27" customFormat="1" ht="15.95" customHeight="1" x14ac:dyDescent="0.25">
      <c r="A95" s="97" t="s">
        <v>122</v>
      </c>
      <c r="B95" s="94">
        <f>J10</f>
        <v>421</v>
      </c>
      <c r="C95" s="98">
        <f>B95/$B$114</f>
        <v>5.717001629549158E-2</v>
      </c>
      <c r="D95" s="93"/>
      <c r="E95" s="1"/>
      <c r="F95" s="1"/>
      <c r="G95" s="1"/>
      <c r="H95" s="1"/>
      <c r="I95" s="1"/>
      <c r="J95" s="10"/>
      <c r="K95" s="26"/>
      <c r="L95" s="1"/>
      <c r="M95" s="105" t="s">
        <v>135</v>
      </c>
      <c r="N95" s="106">
        <f>M70</f>
        <v>2817</v>
      </c>
      <c r="O95" s="98">
        <f t="shared" ref="O95:O102" si="38">N95/$N$103</f>
        <v>0.38253666485605647</v>
      </c>
      <c r="P95" s="1"/>
      <c r="Q95" s="1"/>
      <c r="R95" s="1"/>
      <c r="S95" s="1"/>
      <c r="T95" s="1"/>
      <c r="U95" s="10"/>
      <c r="AC95" s="28"/>
      <c r="AD95" s="28"/>
      <c r="AE95" s="28"/>
      <c r="AF95" s="28"/>
      <c r="AG95" s="28"/>
      <c r="AH95" s="28"/>
      <c r="AI95" s="28"/>
      <c r="AJ95" s="28"/>
      <c r="AK95" s="28"/>
      <c r="AL95" s="29"/>
    </row>
    <row r="96" spans="1:38" s="27" customFormat="1" ht="15.95" customHeight="1" x14ac:dyDescent="0.25">
      <c r="A96" s="97" t="s">
        <v>124</v>
      </c>
      <c r="B96" s="94">
        <f>J17</f>
        <v>453</v>
      </c>
      <c r="C96" s="98">
        <f t="shared" ref="C96:C113" si="39">B96/$B$114</f>
        <v>6.1515480717001629E-2</v>
      </c>
      <c r="D96" s="93"/>
      <c r="E96" s="1"/>
      <c r="F96" s="1"/>
      <c r="G96" s="1"/>
      <c r="H96" s="1"/>
      <c r="I96" s="1"/>
      <c r="J96" s="10"/>
      <c r="K96" s="26"/>
      <c r="L96" s="1"/>
      <c r="M96" s="105" t="s">
        <v>136</v>
      </c>
      <c r="N96" s="106">
        <f>N70</f>
        <v>1735</v>
      </c>
      <c r="O96" s="98">
        <f t="shared" si="38"/>
        <v>0.23560564910374795</v>
      </c>
      <c r="P96" s="1"/>
      <c r="Q96" s="1"/>
      <c r="R96" s="1"/>
      <c r="S96" s="1"/>
      <c r="T96" s="1"/>
      <c r="U96" s="10"/>
      <c r="AC96" s="28"/>
      <c r="AD96" s="28"/>
      <c r="AE96" s="28"/>
      <c r="AF96" s="28"/>
      <c r="AG96" s="28"/>
      <c r="AH96" s="28"/>
      <c r="AI96" s="28"/>
      <c r="AJ96" s="28"/>
      <c r="AK96" s="28"/>
      <c r="AL96" s="29"/>
    </row>
    <row r="97" spans="1:38" s="27" customFormat="1" ht="15.95" customHeight="1" x14ac:dyDescent="0.25">
      <c r="A97" s="97" t="s">
        <v>123</v>
      </c>
      <c r="B97" s="94">
        <f>J25</f>
        <v>99</v>
      </c>
      <c r="C97" s="98">
        <f t="shared" si="39"/>
        <v>1.3443780554046714E-2</v>
      </c>
      <c r="D97" s="93"/>
      <c r="E97" s="1"/>
      <c r="F97" s="1"/>
      <c r="G97" s="1"/>
      <c r="H97" s="1"/>
      <c r="I97" s="1"/>
      <c r="J97" s="10"/>
      <c r="K97" s="26"/>
      <c r="L97" s="1"/>
      <c r="M97" s="105" t="s">
        <v>137</v>
      </c>
      <c r="N97" s="106">
        <f>O70</f>
        <v>604</v>
      </c>
      <c r="O97" s="98">
        <f t="shared" si="38"/>
        <v>8.2020640956002172E-2</v>
      </c>
      <c r="P97" s="1"/>
      <c r="Q97" s="1"/>
      <c r="R97" s="1"/>
      <c r="S97" s="1"/>
      <c r="T97" s="1"/>
      <c r="U97" s="10"/>
      <c r="AC97" s="28"/>
      <c r="AD97" s="28"/>
      <c r="AE97" s="28"/>
      <c r="AF97" s="28"/>
      <c r="AG97" s="28"/>
      <c r="AH97" s="28"/>
      <c r="AI97" s="28"/>
      <c r="AJ97" s="28"/>
      <c r="AK97" s="28"/>
      <c r="AL97" s="29"/>
    </row>
    <row r="98" spans="1:38" s="27" customFormat="1" ht="15.95" customHeight="1" x14ac:dyDescent="0.25">
      <c r="A98" s="97" t="s">
        <v>125</v>
      </c>
      <c r="B98" s="94">
        <f>J33</f>
        <v>1438</v>
      </c>
      <c r="C98" s="98">
        <f t="shared" si="39"/>
        <v>0.19527430744160781</v>
      </c>
      <c r="D98" s="93"/>
      <c r="E98" s="1"/>
      <c r="F98" s="1"/>
      <c r="G98" s="1"/>
      <c r="H98" s="1"/>
      <c r="I98" s="1"/>
      <c r="J98" s="10"/>
      <c r="K98" s="26"/>
      <c r="L98" s="1"/>
      <c r="M98" s="105" t="s">
        <v>138</v>
      </c>
      <c r="N98" s="106">
        <f>P70</f>
        <v>1130</v>
      </c>
      <c r="O98" s="98">
        <f t="shared" si="38"/>
        <v>0.1534492123845736</v>
      </c>
      <c r="P98" s="1"/>
      <c r="Q98" s="1"/>
      <c r="R98" s="1"/>
      <c r="S98" s="1"/>
      <c r="T98" s="1"/>
      <c r="U98" s="10"/>
      <c r="AC98" s="28"/>
      <c r="AD98" s="28"/>
      <c r="AE98" s="28"/>
      <c r="AF98" s="28"/>
      <c r="AG98" s="28"/>
      <c r="AH98" s="28"/>
      <c r="AI98" s="28"/>
      <c r="AJ98" s="28"/>
      <c r="AK98" s="28"/>
      <c r="AL98" s="29"/>
    </row>
    <row r="99" spans="1:38" s="27" customFormat="1" ht="15.95" customHeight="1" x14ac:dyDescent="0.25">
      <c r="A99" s="97" t="s">
        <v>126</v>
      </c>
      <c r="B99" s="94">
        <f>J39</f>
        <v>215</v>
      </c>
      <c r="C99" s="98">
        <f t="shared" si="39"/>
        <v>2.9196089082020642E-2</v>
      </c>
      <c r="D99" s="93"/>
      <c r="E99" s="1"/>
      <c r="F99" s="1"/>
      <c r="G99" s="1"/>
      <c r="H99" s="1"/>
      <c r="I99" s="1"/>
      <c r="J99" s="10"/>
      <c r="K99" s="26"/>
      <c r="L99" s="1"/>
      <c r="M99" s="105" t="s">
        <v>139</v>
      </c>
      <c r="N99" s="106">
        <f>Q70</f>
        <v>653</v>
      </c>
      <c r="O99" s="98">
        <f t="shared" si="38"/>
        <v>8.8674633351439436E-2</v>
      </c>
      <c r="P99" s="1"/>
      <c r="Q99" s="1"/>
      <c r="R99" s="1"/>
      <c r="S99" s="1"/>
      <c r="T99" s="1"/>
      <c r="U99" s="10"/>
      <c r="AC99" s="28"/>
      <c r="AD99" s="28"/>
      <c r="AE99" s="28"/>
      <c r="AF99" s="28"/>
      <c r="AG99" s="28"/>
      <c r="AH99" s="28"/>
      <c r="AI99" s="28"/>
      <c r="AJ99" s="28"/>
      <c r="AK99" s="28"/>
      <c r="AL99" s="29"/>
    </row>
    <row r="100" spans="1:38" s="27" customFormat="1" ht="15.95" customHeight="1" x14ac:dyDescent="0.25">
      <c r="A100" s="97" t="s">
        <v>127</v>
      </c>
      <c r="B100" s="94">
        <f>J50</f>
        <v>162</v>
      </c>
      <c r="C100" s="98">
        <f>B100/$B$114</f>
        <v>2.1998913633894623E-2</v>
      </c>
      <c r="D100" s="98"/>
      <c r="E100" s="1"/>
      <c r="F100" s="1"/>
      <c r="G100" s="1"/>
      <c r="H100" s="1"/>
      <c r="I100" s="1"/>
      <c r="J100" s="10"/>
      <c r="K100" s="26"/>
      <c r="L100" s="1"/>
      <c r="M100" s="105" t="s">
        <v>140</v>
      </c>
      <c r="N100" s="106">
        <f>R70</f>
        <v>172</v>
      </c>
      <c r="O100" s="98">
        <f t="shared" si="38"/>
        <v>2.3356871265616513E-2</v>
      </c>
      <c r="P100" s="1"/>
      <c r="Q100" s="1"/>
      <c r="R100" s="1"/>
      <c r="S100" s="1"/>
      <c r="T100" s="1"/>
      <c r="U100" s="10"/>
      <c r="AC100" s="28"/>
      <c r="AD100" s="28"/>
      <c r="AE100" s="28"/>
      <c r="AF100" s="28"/>
      <c r="AG100" s="28"/>
      <c r="AH100" s="28"/>
      <c r="AI100" s="28"/>
      <c r="AJ100" s="28"/>
      <c r="AK100" s="28"/>
      <c r="AL100" s="29"/>
    </row>
    <row r="101" spans="1:38" s="27" customFormat="1" ht="15.95" customHeight="1" x14ac:dyDescent="0.25">
      <c r="A101" s="97" t="s">
        <v>128</v>
      </c>
      <c r="B101" s="94">
        <f>J56</f>
        <v>384</v>
      </c>
      <c r="C101" s="98">
        <f t="shared" si="39"/>
        <v>5.2145573058120585E-2</v>
      </c>
      <c r="D101" s="98"/>
      <c r="E101" s="1"/>
      <c r="F101" s="1"/>
      <c r="G101" s="1"/>
      <c r="H101" s="1"/>
      <c r="I101" s="1"/>
      <c r="J101" s="10"/>
      <c r="K101" s="26"/>
      <c r="L101" s="1"/>
      <c r="M101" s="105" t="s">
        <v>141</v>
      </c>
      <c r="N101" s="106">
        <f>S70</f>
        <v>95</v>
      </c>
      <c r="O101" s="98">
        <f t="shared" si="38"/>
        <v>1.2900597501357958E-2</v>
      </c>
      <c r="P101" s="1"/>
      <c r="Q101" s="1"/>
      <c r="R101" s="1"/>
      <c r="S101" s="1"/>
      <c r="T101" s="1"/>
      <c r="U101" s="10"/>
      <c r="AC101" s="28"/>
      <c r="AD101" s="28"/>
      <c r="AE101" s="28"/>
      <c r="AF101" s="28"/>
      <c r="AG101" s="28"/>
      <c r="AH101" s="28"/>
      <c r="AI101" s="28"/>
      <c r="AJ101" s="28"/>
      <c r="AK101" s="28"/>
      <c r="AL101" s="29"/>
    </row>
    <row r="102" spans="1:38" s="27" customFormat="1" ht="15.95" customHeight="1" x14ac:dyDescent="0.25">
      <c r="A102" s="97" t="s">
        <v>129</v>
      </c>
      <c r="B102" s="94">
        <f>J63</f>
        <v>102</v>
      </c>
      <c r="C102" s="98">
        <f t="shared" si="39"/>
        <v>1.3851167843563281E-2</v>
      </c>
      <c r="D102" s="98"/>
      <c r="E102" s="1"/>
      <c r="F102" s="1"/>
      <c r="G102" s="1"/>
      <c r="H102" s="1"/>
      <c r="I102" s="1"/>
      <c r="J102" s="10"/>
      <c r="K102" s="26"/>
      <c r="L102" s="1"/>
      <c r="M102" s="105" t="s">
        <v>142</v>
      </c>
      <c r="N102" s="106">
        <f>T70</f>
        <v>158</v>
      </c>
      <c r="O102" s="98">
        <f t="shared" si="38"/>
        <v>2.1455730581205867E-2</v>
      </c>
      <c r="P102" s="1"/>
      <c r="Q102" s="1"/>
      <c r="R102" s="1"/>
      <c r="S102" s="1"/>
      <c r="T102" s="1"/>
      <c r="U102" s="10"/>
      <c r="AC102" s="28"/>
      <c r="AD102" s="28"/>
      <c r="AE102" s="28"/>
      <c r="AF102" s="28"/>
      <c r="AG102" s="28"/>
      <c r="AH102" s="28"/>
      <c r="AI102" s="28"/>
      <c r="AJ102" s="28"/>
      <c r="AK102" s="28"/>
      <c r="AL102" s="29"/>
    </row>
    <row r="103" spans="1:38" s="27" customFormat="1" ht="15.95" customHeight="1" x14ac:dyDescent="0.25">
      <c r="A103" s="97" t="s">
        <v>130</v>
      </c>
      <c r="B103" s="94">
        <f>J70</f>
        <v>220</v>
      </c>
      <c r="C103" s="98">
        <f t="shared" si="39"/>
        <v>2.9875067897881587E-2</v>
      </c>
      <c r="D103" s="98"/>
      <c r="E103" s="1"/>
      <c r="F103" s="1"/>
      <c r="G103" s="1"/>
      <c r="H103" s="1"/>
      <c r="I103" s="1"/>
      <c r="J103" s="10"/>
      <c r="K103" s="26"/>
      <c r="L103" s="1"/>
      <c r="M103" s="96"/>
      <c r="N103" s="106">
        <f>SUM(N95:N102)</f>
        <v>7364</v>
      </c>
      <c r="O103" s="96"/>
      <c r="P103" s="1"/>
      <c r="Q103" s="1"/>
      <c r="R103" s="1"/>
      <c r="S103" s="1"/>
      <c r="T103" s="1"/>
      <c r="U103" s="10"/>
      <c r="AC103" s="28"/>
      <c r="AD103" s="28"/>
      <c r="AE103" s="28"/>
      <c r="AF103" s="28"/>
      <c r="AG103" s="28"/>
      <c r="AH103" s="28"/>
      <c r="AI103" s="28"/>
      <c r="AJ103" s="28"/>
      <c r="AK103" s="28"/>
      <c r="AL103" s="29"/>
    </row>
    <row r="104" spans="1:38" s="27" customFormat="1" ht="15.95" customHeight="1" x14ac:dyDescent="0.25">
      <c r="A104" s="97" t="s">
        <v>131</v>
      </c>
      <c r="B104" s="94">
        <f>U9</f>
        <v>517</v>
      </c>
      <c r="C104" s="98">
        <f t="shared" si="39"/>
        <v>7.0206409560021721E-2</v>
      </c>
      <c r="D104" s="98"/>
      <c r="E104" s="1"/>
      <c r="F104" s="1"/>
      <c r="G104" s="1"/>
      <c r="H104" s="1"/>
      <c r="I104" s="1"/>
      <c r="J104" s="10"/>
      <c r="K104" s="26"/>
      <c r="L104" s="1"/>
      <c r="M104" s="93"/>
      <c r="N104" s="93"/>
      <c r="O104" s="93"/>
      <c r="P104" s="1"/>
      <c r="Q104" s="1"/>
      <c r="R104" s="1"/>
      <c r="S104" s="1"/>
      <c r="T104" s="1"/>
      <c r="U104" s="10"/>
      <c r="AC104" s="28"/>
      <c r="AD104" s="28"/>
      <c r="AE104" s="28"/>
      <c r="AF104" s="28"/>
      <c r="AG104" s="28"/>
      <c r="AH104" s="28"/>
      <c r="AI104" s="28"/>
      <c r="AJ104" s="28"/>
      <c r="AK104" s="28"/>
      <c r="AL104" s="29"/>
    </row>
    <row r="105" spans="1:38" s="27" customFormat="1" ht="15.95" customHeight="1" x14ac:dyDescent="0.25">
      <c r="A105" s="97" t="s">
        <v>132</v>
      </c>
      <c r="B105" s="94">
        <f>U16</f>
        <v>573</v>
      </c>
      <c r="C105" s="98">
        <f t="shared" si="39"/>
        <v>7.7810972297664316E-2</v>
      </c>
      <c r="D105" s="98"/>
      <c r="E105" s="1"/>
      <c r="F105" s="1"/>
      <c r="G105" s="1"/>
      <c r="H105" s="1"/>
      <c r="I105" s="1"/>
      <c r="J105" s="10"/>
      <c r="K105" s="26"/>
      <c r="L105" s="1"/>
      <c r="M105" s="1"/>
      <c r="N105" s="1"/>
      <c r="O105" s="1"/>
      <c r="P105" s="1"/>
      <c r="Q105" s="1"/>
      <c r="R105" s="1"/>
      <c r="S105" s="1"/>
      <c r="T105" s="1"/>
      <c r="U105" s="10"/>
      <c r="AC105" s="28"/>
      <c r="AD105" s="28"/>
      <c r="AE105" s="28"/>
      <c r="AF105" s="28"/>
      <c r="AG105" s="28"/>
      <c r="AH105" s="28"/>
      <c r="AI105" s="28"/>
      <c r="AJ105" s="28"/>
      <c r="AK105" s="28"/>
      <c r="AL105" s="29"/>
    </row>
    <row r="106" spans="1:38" s="27" customFormat="1" ht="15.95" customHeight="1" x14ac:dyDescent="0.25">
      <c r="A106" s="97" t="s">
        <v>133</v>
      </c>
      <c r="B106" s="94">
        <f>U22</f>
        <v>258</v>
      </c>
      <c r="C106" s="98">
        <f t="shared" si="39"/>
        <v>3.5035306898424767E-2</v>
      </c>
      <c r="D106" s="98"/>
      <c r="E106" s="1"/>
      <c r="F106" s="1"/>
      <c r="G106" s="1"/>
      <c r="H106" s="1"/>
      <c r="I106" s="1"/>
      <c r="J106" s="10"/>
      <c r="K106" s="26"/>
      <c r="L106" s="1"/>
      <c r="M106" s="1"/>
      <c r="N106" s="1"/>
      <c r="O106" s="1"/>
      <c r="P106" s="1"/>
      <c r="Q106" s="1"/>
      <c r="R106" s="1"/>
      <c r="S106" s="1"/>
      <c r="T106" s="1"/>
      <c r="U106" s="10"/>
      <c r="AC106" s="28"/>
      <c r="AD106" s="28"/>
      <c r="AE106" s="28"/>
      <c r="AF106" s="28"/>
      <c r="AG106" s="28"/>
      <c r="AH106" s="28"/>
      <c r="AI106" s="28"/>
      <c r="AJ106" s="28"/>
      <c r="AK106" s="28"/>
      <c r="AL106" s="29"/>
    </row>
    <row r="107" spans="1:38" s="27" customFormat="1" ht="15.95" customHeight="1" x14ac:dyDescent="0.25">
      <c r="A107" s="97" t="s">
        <v>187</v>
      </c>
      <c r="B107" s="94">
        <f>U29</f>
        <v>210</v>
      </c>
      <c r="C107" s="98">
        <f t="shared" si="39"/>
        <v>2.8517110266159697E-2</v>
      </c>
      <c r="D107" s="98"/>
      <c r="E107" s="1"/>
      <c r="F107" s="1"/>
      <c r="G107" s="1"/>
      <c r="H107" s="1"/>
      <c r="I107" s="1"/>
      <c r="J107" s="10"/>
      <c r="K107" s="26"/>
      <c r="L107" s="1"/>
      <c r="M107" s="1"/>
      <c r="N107" s="1"/>
      <c r="O107" s="1"/>
      <c r="P107" s="1"/>
      <c r="Q107" s="1"/>
      <c r="R107" s="1"/>
      <c r="S107" s="1"/>
      <c r="T107" s="1"/>
      <c r="U107" s="10"/>
      <c r="AC107" s="28"/>
      <c r="AD107" s="28"/>
      <c r="AE107" s="28"/>
      <c r="AF107" s="28"/>
      <c r="AG107" s="28"/>
      <c r="AH107" s="28"/>
      <c r="AI107" s="28"/>
      <c r="AJ107" s="28"/>
      <c r="AK107" s="28"/>
      <c r="AL107" s="29"/>
    </row>
    <row r="108" spans="1:38" ht="15.95" customHeight="1" x14ac:dyDescent="0.25">
      <c r="A108" s="97" t="s">
        <v>188</v>
      </c>
      <c r="B108" s="99">
        <f>U36</f>
        <v>542</v>
      </c>
      <c r="C108" s="98">
        <f t="shared" si="39"/>
        <v>7.360130363932646E-2</v>
      </c>
      <c r="D108" s="98"/>
    </row>
    <row r="109" spans="1:38" x14ac:dyDescent="0.25">
      <c r="A109" s="97" t="s">
        <v>131</v>
      </c>
      <c r="B109" s="99">
        <f>U44</f>
        <v>362</v>
      </c>
      <c r="C109" s="98">
        <f t="shared" si="39"/>
        <v>4.9158066268332426E-2</v>
      </c>
      <c r="D109" s="98"/>
    </row>
    <row r="110" spans="1:38" x14ac:dyDescent="0.25">
      <c r="A110" s="97" t="s">
        <v>132</v>
      </c>
      <c r="B110" s="99">
        <f>U50</f>
        <v>233</v>
      </c>
      <c r="C110" s="98">
        <f t="shared" si="39"/>
        <v>3.1640412819120042E-2</v>
      </c>
      <c r="D110" s="98"/>
    </row>
    <row r="111" spans="1:38" x14ac:dyDescent="0.25">
      <c r="A111" s="97" t="s">
        <v>133</v>
      </c>
      <c r="B111" s="100">
        <f>U58</f>
        <v>666</v>
      </c>
      <c r="C111" s="98">
        <f t="shared" si="39"/>
        <v>9.0439978272677898E-2</v>
      </c>
      <c r="D111" s="98"/>
    </row>
    <row r="112" spans="1:38" x14ac:dyDescent="0.25">
      <c r="A112" s="97" t="s">
        <v>187</v>
      </c>
      <c r="B112" s="100">
        <f>U64</f>
        <v>4</v>
      </c>
      <c r="C112" s="98">
        <f t="shared" si="39"/>
        <v>5.4318305268875606E-4</v>
      </c>
      <c r="D112" s="98"/>
    </row>
    <row r="113" spans="1:4" x14ac:dyDescent="0.25">
      <c r="A113" s="97" t="s">
        <v>189</v>
      </c>
      <c r="B113" s="100">
        <f>U68</f>
        <v>504.99999999999989</v>
      </c>
      <c r="C113" s="98">
        <f t="shared" si="39"/>
        <v>6.8576860401955445E-2</v>
      </c>
      <c r="D113" s="98"/>
    </row>
    <row r="114" spans="1:4" x14ac:dyDescent="0.25">
      <c r="A114" s="101"/>
      <c r="B114" s="95">
        <f>SUM(B95:B113)</f>
        <v>7364</v>
      </c>
      <c r="C114" s="98"/>
      <c r="D114" s="98"/>
    </row>
  </sheetData>
  <mergeCells count="26">
    <mergeCell ref="A2:U2"/>
    <mergeCell ref="A3:A4"/>
    <mergeCell ref="B3:I3"/>
    <mergeCell ref="J3:J4"/>
    <mergeCell ref="L3:L4"/>
    <mergeCell ref="M3:T3"/>
    <mergeCell ref="U3:U4"/>
    <mergeCell ref="A41:J41"/>
    <mergeCell ref="A5:J5"/>
    <mergeCell ref="L5:U5"/>
    <mergeCell ref="L11:U11"/>
    <mergeCell ref="A12:J12"/>
    <mergeCell ref="L18:U18"/>
    <mergeCell ref="A19:J19"/>
    <mergeCell ref="L24:U24"/>
    <mergeCell ref="A27:J27"/>
    <mergeCell ref="L31:U31"/>
    <mergeCell ref="A35:J35"/>
    <mergeCell ref="L38:U38"/>
    <mergeCell ref="L66:U66"/>
    <mergeCell ref="L46:U46"/>
    <mergeCell ref="A52:J52"/>
    <mergeCell ref="L52:U52"/>
    <mergeCell ref="A58:J58"/>
    <mergeCell ref="L60:U60"/>
    <mergeCell ref="A65:J65"/>
  </mergeCells>
  <printOptions horizontalCentered="1"/>
  <pageMargins left="0.51181102362204722" right="0.27559055118110237" top="0.19685039370078741" bottom="0" header="0.19685039370078741" footer="0.28000000000000003"/>
  <pageSetup paperSize="9" scale="6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92161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114300</xdr:rowOff>
              </from>
              <to>
                <xdr:col>0</xdr:col>
                <xdr:colOff>762000</xdr:colOff>
                <xdr:row>0</xdr:row>
                <xdr:rowOff>504825</xdr:rowOff>
              </to>
            </anchor>
          </objectPr>
        </oleObject>
      </mc:Choice>
      <mc:Fallback>
        <oleObject shapeId="92161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AB86"/>
  <sheetViews>
    <sheetView showGridLines="0" zoomScale="85" zoomScaleNormal="85" zoomScaleSheetLayoutView="80" workbookViewId="0">
      <pane ySplit="4" topLeftCell="A74" activePane="bottomLeft" state="frozen"/>
      <selection activeCell="E68" sqref="E68"/>
      <selection pane="bottomLeft" activeCell="B79" sqref="B79:D79"/>
    </sheetView>
  </sheetViews>
  <sheetFormatPr defaultRowHeight="15.75" x14ac:dyDescent="0.25"/>
  <cols>
    <col min="1" max="1" width="17.75" style="1" customWidth="1"/>
    <col min="2" max="2" width="10.125" style="1" customWidth="1"/>
    <col min="3" max="3" width="10.75" style="1" customWidth="1"/>
    <col min="4" max="4" width="10.125" style="1" customWidth="1"/>
    <col min="5" max="5" width="10.125" style="10" customWidth="1"/>
    <col min="6" max="6" width="0.875" style="2" customWidth="1"/>
    <col min="7" max="7" width="18.25" style="1" customWidth="1"/>
    <col min="8" max="10" width="10.125" style="1" customWidth="1"/>
    <col min="11" max="11" width="10.125" style="10" customWidth="1"/>
    <col min="19" max="26" width="6.625" style="20" customWidth="1"/>
    <col min="27" max="27" width="9" style="20"/>
    <col min="28" max="28" width="9" style="18"/>
  </cols>
  <sheetData>
    <row r="1" spans="1:20" ht="72.75" customHeight="1" thickBot="1" x14ac:dyDescent="0.3"/>
    <row r="2" spans="1:20" ht="16.5" thickBot="1" x14ac:dyDescent="0.3">
      <c r="A2" s="192" t="s">
        <v>234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</row>
    <row r="3" spans="1:20" ht="17.25" customHeight="1" thickBot="1" x14ac:dyDescent="0.3">
      <c r="A3" s="193" t="s">
        <v>87</v>
      </c>
      <c r="B3" s="195" t="s">
        <v>164</v>
      </c>
      <c r="C3" s="196"/>
      <c r="D3" s="196"/>
      <c r="E3" s="198" t="s">
        <v>0</v>
      </c>
      <c r="F3" s="7"/>
      <c r="G3" s="193" t="s">
        <v>87</v>
      </c>
      <c r="H3" s="195" t="s">
        <v>164</v>
      </c>
      <c r="I3" s="196"/>
      <c r="J3" s="196"/>
      <c r="K3" s="198" t="s">
        <v>0</v>
      </c>
    </row>
    <row r="4" spans="1:20" ht="30" customHeight="1" thickBot="1" x14ac:dyDescent="0.3">
      <c r="A4" s="194"/>
      <c r="B4" s="52" t="s">
        <v>92</v>
      </c>
      <c r="C4" s="53" t="s">
        <v>93</v>
      </c>
      <c r="D4" s="54" t="s">
        <v>222</v>
      </c>
      <c r="E4" s="199"/>
      <c r="F4" s="7"/>
      <c r="G4" s="194"/>
      <c r="H4" s="52" t="s">
        <v>92</v>
      </c>
      <c r="I4" s="53" t="s">
        <v>93</v>
      </c>
      <c r="J4" s="54" t="s">
        <v>222</v>
      </c>
      <c r="K4" s="199"/>
    </row>
    <row r="5" spans="1:20" ht="12.75" customHeight="1" x14ac:dyDescent="0.25">
      <c r="A5" s="107" t="s">
        <v>82</v>
      </c>
      <c r="B5" s="107"/>
      <c r="C5" s="107"/>
      <c r="D5" s="107"/>
      <c r="E5" s="107"/>
      <c r="F5" s="7"/>
      <c r="G5" s="107" t="s">
        <v>116</v>
      </c>
      <c r="H5" s="107"/>
      <c r="I5" s="107"/>
      <c r="J5" s="107"/>
      <c r="K5" s="107"/>
    </row>
    <row r="6" spans="1:20" ht="12.75" customHeight="1" x14ac:dyDescent="0.25">
      <c r="A6" s="30" t="s">
        <v>24</v>
      </c>
      <c r="B6" s="31">
        <v>2</v>
      </c>
      <c r="C6" s="31"/>
      <c r="D6" s="31">
        <v>150</v>
      </c>
      <c r="E6" s="158">
        <f>IF(SUM(B6:D6),SUM(B6:D6),"")</f>
        <v>152</v>
      </c>
      <c r="F6" s="7"/>
      <c r="G6" s="30" t="s">
        <v>6</v>
      </c>
      <c r="H6" s="31">
        <v>46</v>
      </c>
      <c r="I6" s="31">
        <v>96</v>
      </c>
      <c r="J6" s="31"/>
      <c r="K6" s="35">
        <f>IF(SUM(H6:J6),SUM(H6:J6),"")</f>
        <v>142</v>
      </c>
      <c r="S6" s="21"/>
      <c r="T6" s="21"/>
    </row>
    <row r="7" spans="1:20" ht="12.75" customHeight="1" x14ac:dyDescent="0.25">
      <c r="A7" s="40" t="s">
        <v>25</v>
      </c>
      <c r="B7" s="41"/>
      <c r="C7" s="41"/>
      <c r="D7" s="41">
        <v>114</v>
      </c>
      <c r="E7" s="149">
        <f>IF(SUM(B7:D7),SUM(B7:D7),"")</f>
        <v>114</v>
      </c>
      <c r="F7" s="7"/>
      <c r="G7" s="40" t="s">
        <v>49</v>
      </c>
      <c r="H7" s="41">
        <v>206</v>
      </c>
      <c r="I7" s="41">
        <v>120</v>
      </c>
      <c r="J7" s="41"/>
      <c r="K7" s="42">
        <f>IF(SUM(H7:J7),SUM(H7:J7),"")</f>
        <v>326</v>
      </c>
      <c r="S7" s="21"/>
      <c r="T7" s="21"/>
    </row>
    <row r="8" spans="1:20" ht="12.75" customHeight="1" x14ac:dyDescent="0.25">
      <c r="A8" s="87" t="s">
        <v>47</v>
      </c>
      <c r="B8" s="31"/>
      <c r="C8" s="31">
        <v>106</v>
      </c>
      <c r="D8" s="31"/>
      <c r="E8" s="158">
        <f>IF(SUM(B8:D8),SUM(B8:D8),"")</f>
        <v>106</v>
      </c>
      <c r="F8" s="7"/>
      <c r="G8" s="30" t="s">
        <v>63</v>
      </c>
      <c r="H8" s="31">
        <v>9</v>
      </c>
      <c r="I8" s="31">
        <v>40</v>
      </c>
      <c r="J8" s="31"/>
      <c r="K8" s="35">
        <f>IF(SUM(H8:J8),SUM(H8:J8),"")</f>
        <v>49</v>
      </c>
      <c r="S8" s="22"/>
      <c r="T8" s="21"/>
    </row>
    <row r="9" spans="1:20" ht="12.75" customHeight="1" x14ac:dyDescent="0.25">
      <c r="A9" s="40" t="s">
        <v>54</v>
      </c>
      <c r="B9" s="115"/>
      <c r="C9" s="115">
        <v>49</v>
      </c>
      <c r="D9" s="115"/>
      <c r="E9" s="149">
        <f>IF(SUM(B9:D9),SUM(B9:D9),"")</f>
        <v>49</v>
      </c>
      <c r="F9" s="7"/>
      <c r="G9" s="32" t="s">
        <v>117</v>
      </c>
      <c r="H9" s="34">
        <f>IF(SUM(H6:H8),SUM(H6:H8),"")</f>
        <v>261</v>
      </c>
      <c r="I9" s="34">
        <f>IF(SUM(I6:I8),SUM(I6:I8),"")</f>
        <v>256</v>
      </c>
      <c r="J9" s="34" t="str">
        <f>IF(SUM(J6:J8),SUM(J6:J8),"")</f>
        <v/>
      </c>
      <c r="K9" s="34">
        <f t="shared" ref="K9" si="0">IF(SUM(K6:K8),SUM(K6:K8),"")</f>
        <v>517</v>
      </c>
      <c r="S9" s="21"/>
      <c r="T9" s="21"/>
    </row>
    <row r="10" spans="1:20" ht="12.75" customHeight="1" x14ac:dyDescent="0.25">
      <c r="A10" s="32" t="s">
        <v>107</v>
      </c>
      <c r="B10" s="33">
        <f>IF(SUM(B6:B9),SUM(B6:B9),"")</f>
        <v>2</v>
      </c>
      <c r="C10" s="33">
        <f>IF(SUM(C6:C9),SUM(C6:C9),"")</f>
        <v>155</v>
      </c>
      <c r="D10" s="33">
        <f>IF(SUM(D6:D9),SUM(D6:D9),"")</f>
        <v>264</v>
      </c>
      <c r="E10" s="150">
        <f>IF(SUM(E6:E9),SUM(E6:E9),"")</f>
        <v>421</v>
      </c>
      <c r="F10" s="7"/>
      <c r="G10" s="8"/>
      <c r="H10" s="8"/>
      <c r="I10" s="8"/>
      <c r="J10" s="8"/>
      <c r="K10" s="12"/>
      <c r="S10" s="21"/>
      <c r="T10" s="21"/>
    </row>
    <row r="11" spans="1:20" ht="12.75" customHeight="1" x14ac:dyDescent="0.25">
      <c r="A11" s="8"/>
      <c r="B11" s="8"/>
      <c r="C11" s="8"/>
      <c r="D11" s="8"/>
      <c r="F11" s="7"/>
      <c r="G11" s="108" t="s">
        <v>118</v>
      </c>
      <c r="H11" s="109"/>
      <c r="I11" s="109"/>
      <c r="J11" s="109"/>
      <c r="K11" s="110"/>
      <c r="S11" s="21"/>
      <c r="T11" s="21"/>
    </row>
    <row r="12" spans="1:20" ht="12.75" customHeight="1" x14ac:dyDescent="0.25">
      <c r="A12" s="108" t="s">
        <v>83</v>
      </c>
      <c r="B12" s="109"/>
      <c r="C12" s="109"/>
      <c r="D12" s="109"/>
      <c r="E12" s="110"/>
      <c r="F12" s="7"/>
      <c r="G12" s="87" t="s">
        <v>9</v>
      </c>
      <c r="H12" s="78">
        <v>33</v>
      </c>
      <c r="I12" s="78"/>
      <c r="J12" s="78">
        <v>408</v>
      </c>
      <c r="K12" s="90">
        <f>IF(SUM(H12:J12),SUM(H12:J12),"")</f>
        <v>441</v>
      </c>
      <c r="S12" s="21"/>
      <c r="T12" s="21"/>
    </row>
    <row r="13" spans="1:20" ht="12.75" customHeight="1" x14ac:dyDescent="0.25">
      <c r="A13" s="30" t="s">
        <v>2</v>
      </c>
      <c r="B13" s="78">
        <v>29</v>
      </c>
      <c r="C13" s="78">
        <v>173</v>
      </c>
      <c r="D13" s="78"/>
      <c r="E13" s="147">
        <f>IF(SUM(B13:D13),SUM(B13:D13),"")</f>
        <v>202</v>
      </c>
      <c r="F13" s="7"/>
      <c r="G13" s="40" t="s">
        <v>18</v>
      </c>
      <c r="H13" s="80">
        <v>97.999999999999986</v>
      </c>
      <c r="I13" s="80"/>
      <c r="J13" s="80"/>
      <c r="K13" s="42">
        <f>IF(SUM(H13:J13),SUM(H13:J13),"")</f>
        <v>97.999999999999986</v>
      </c>
      <c r="S13" s="21"/>
      <c r="T13" s="21"/>
    </row>
    <row r="14" spans="1:20" ht="12.75" customHeight="1" x14ac:dyDescent="0.25">
      <c r="A14" s="40" t="s">
        <v>10</v>
      </c>
      <c r="B14" s="80">
        <v>1</v>
      </c>
      <c r="C14" s="80">
        <v>12</v>
      </c>
      <c r="D14" s="80">
        <v>73</v>
      </c>
      <c r="E14" s="148">
        <f>IF(SUM(B14:D14),SUM(B14:D14),"")</f>
        <v>86</v>
      </c>
      <c r="F14" s="7"/>
      <c r="G14" s="87" t="s">
        <v>20</v>
      </c>
      <c r="H14" s="78">
        <v>18</v>
      </c>
      <c r="I14" s="78"/>
      <c r="J14" s="78"/>
      <c r="K14" s="90">
        <f>IF(SUM(H14:J14),SUM(H14:J14),"")</f>
        <v>18</v>
      </c>
      <c r="S14" s="21"/>
      <c r="T14" s="22"/>
    </row>
    <row r="15" spans="1:20" ht="12.75" customHeight="1" x14ac:dyDescent="0.25">
      <c r="A15" s="30" t="s">
        <v>58</v>
      </c>
      <c r="B15" s="78">
        <v>6</v>
      </c>
      <c r="C15" s="78">
        <v>22</v>
      </c>
      <c r="D15" s="78"/>
      <c r="E15" s="147">
        <f>IF(SUM(B15:D15),SUM(B15:D15),"")</f>
        <v>28</v>
      </c>
      <c r="F15" s="7"/>
      <c r="G15" s="40" t="s">
        <v>61</v>
      </c>
      <c r="H15" s="80">
        <v>16</v>
      </c>
      <c r="I15" s="80"/>
      <c r="J15" s="80"/>
      <c r="K15" s="42">
        <f>IF(SUM(H15:J15),SUM(H15:J15),"")</f>
        <v>16</v>
      </c>
      <c r="S15" s="22"/>
      <c r="T15" s="21"/>
    </row>
    <row r="16" spans="1:20" ht="12.75" customHeight="1" x14ac:dyDescent="0.25">
      <c r="A16" s="40" t="s">
        <v>66</v>
      </c>
      <c r="B16" s="80">
        <v>1</v>
      </c>
      <c r="C16" s="80">
        <v>30</v>
      </c>
      <c r="D16" s="80">
        <v>106</v>
      </c>
      <c r="E16" s="148">
        <f>IF(SUM(B16:D16),SUM(B16:D16),"")</f>
        <v>137</v>
      </c>
      <c r="F16" s="7"/>
      <c r="G16" s="32" t="s">
        <v>119</v>
      </c>
      <c r="H16" s="34">
        <f>IF(SUM(H12:H15),SUM(H12:H15),"")</f>
        <v>165</v>
      </c>
      <c r="I16" s="34" t="str">
        <f>IF(SUM(I12:I15),SUM(I12:I15),"")</f>
        <v/>
      </c>
      <c r="J16" s="34">
        <f>IF(SUM(J12:J15),SUM(J12:J15),"")</f>
        <v>408</v>
      </c>
      <c r="K16" s="34">
        <f t="shared" ref="K16" si="1">IF(SUM(K12:K15),SUM(K12:K15),"")</f>
        <v>573</v>
      </c>
      <c r="S16" s="21"/>
      <c r="T16" s="21"/>
    </row>
    <row r="17" spans="1:20" ht="12.75" customHeight="1" x14ac:dyDescent="0.25">
      <c r="A17" s="32" t="s">
        <v>88</v>
      </c>
      <c r="B17" s="34">
        <f>IF(SUM(B13:B16),SUM(B13:B16),"")</f>
        <v>37</v>
      </c>
      <c r="C17" s="34">
        <f>IF(SUM(C13:C16),SUM(C13:C16),"")</f>
        <v>237</v>
      </c>
      <c r="D17" s="34">
        <f>IF(SUM(D13:D16),SUM(D13:D16),"")</f>
        <v>179</v>
      </c>
      <c r="E17" s="151">
        <f t="shared" ref="E17" si="2">IF(SUM(E13:E16),SUM(E13:E16),"")</f>
        <v>453</v>
      </c>
      <c r="F17" s="7"/>
      <c r="G17" s="8"/>
      <c r="H17" s="8"/>
      <c r="I17" s="8"/>
      <c r="J17" s="8"/>
      <c r="K17" s="12"/>
      <c r="S17" s="21"/>
      <c r="T17" s="21"/>
    </row>
    <row r="18" spans="1:20" ht="12.75" customHeight="1" x14ac:dyDescent="0.25">
      <c r="A18" s="8"/>
      <c r="B18" s="117"/>
      <c r="C18" s="117"/>
      <c r="D18" s="117"/>
      <c r="F18" s="7"/>
      <c r="G18" s="108" t="s">
        <v>120</v>
      </c>
      <c r="H18" s="109"/>
      <c r="I18" s="109"/>
      <c r="J18" s="109"/>
      <c r="K18" s="110"/>
      <c r="S18" s="21"/>
      <c r="T18" s="21"/>
    </row>
    <row r="19" spans="1:20" ht="12.75" customHeight="1" x14ac:dyDescent="0.25">
      <c r="A19" s="108" t="s">
        <v>84</v>
      </c>
      <c r="B19" s="109"/>
      <c r="C19" s="109"/>
      <c r="D19" s="109"/>
      <c r="E19" s="110"/>
      <c r="F19" s="7"/>
      <c r="G19" s="30" t="s">
        <v>30</v>
      </c>
      <c r="H19" s="31">
        <v>5</v>
      </c>
      <c r="I19" s="31"/>
      <c r="J19" s="31"/>
      <c r="K19" s="35">
        <f>IF(SUM(H19:J19),SUM(H19:J19),"")</f>
        <v>5</v>
      </c>
      <c r="S19" s="21"/>
      <c r="T19" s="21"/>
    </row>
    <row r="20" spans="1:20" ht="12.75" customHeight="1" x14ac:dyDescent="0.25">
      <c r="A20" s="30" t="s">
        <v>3</v>
      </c>
      <c r="B20" s="78">
        <v>7</v>
      </c>
      <c r="C20" s="78">
        <v>30</v>
      </c>
      <c r="D20" s="78"/>
      <c r="E20" s="147">
        <f>IF(SUM(B20:D20),SUM(B20:D20),"")</f>
        <v>37</v>
      </c>
      <c r="F20" s="7"/>
      <c r="G20" s="40" t="s">
        <v>100</v>
      </c>
      <c r="H20" s="41">
        <v>13.999999999999998</v>
      </c>
      <c r="I20" s="41">
        <v>16</v>
      </c>
      <c r="J20" s="41"/>
      <c r="K20" s="42">
        <f>IF(SUM(H20:J20),SUM(H20:J20),"")</f>
        <v>30</v>
      </c>
      <c r="S20" s="21"/>
      <c r="T20" s="21"/>
    </row>
    <row r="21" spans="1:20" ht="12.75" customHeight="1" x14ac:dyDescent="0.25">
      <c r="A21" s="40" t="s">
        <v>5</v>
      </c>
      <c r="B21" s="80"/>
      <c r="C21" s="80"/>
      <c r="D21" s="80"/>
      <c r="E21" s="148" t="str">
        <f>IF(SUM(B21:D21),SUM(B21:D21),"")</f>
        <v/>
      </c>
      <c r="F21" s="7"/>
      <c r="G21" s="30" t="s">
        <v>64</v>
      </c>
      <c r="H21" s="31">
        <v>222.99999999999997</v>
      </c>
      <c r="I21" s="31"/>
      <c r="J21" s="31"/>
      <c r="K21" s="35">
        <f>IF(SUM(H21:J21),SUM(H21:J21),"")</f>
        <v>222.99999999999997</v>
      </c>
      <c r="L21" s="60"/>
      <c r="M21" s="61"/>
      <c r="N21" s="61"/>
      <c r="O21" s="61"/>
      <c r="P21" s="61"/>
      <c r="Q21" s="61"/>
      <c r="R21" s="61"/>
      <c r="S21" s="21"/>
      <c r="T21" s="21"/>
    </row>
    <row r="22" spans="1:20" ht="12.75" customHeight="1" x14ac:dyDescent="0.25">
      <c r="A22" s="30" t="s">
        <v>16</v>
      </c>
      <c r="B22" s="78"/>
      <c r="C22" s="78"/>
      <c r="D22" s="78"/>
      <c r="E22" s="147" t="str">
        <f>IF(SUM(B22:D22),SUM(B22:D22),"")</f>
        <v/>
      </c>
      <c r="F22" s="7"/>
      <c r="G22" s="32" t="s">
        <v>172</v>
      </c>
      <c r="H22" s="34">
        <f>IF(SUM(H19:H21),SUM(H19:H21),"")</f>
        <v>241.99999999999997</v>
      </c>
      <c r="I22" s="34">
        <f>IF(SUM(I19:I21),SUM(I19:I21),"")</f>
        <v>16</v>
      </c>
      <c r="J22" s="34" t="str">
        <f>IF(SUM(J19:J21),SUM(J19:J21),"")</f>
        <v/>
      </c>
      <c r="K22" s="34">
        <f t="shared" ref="K22" si="3">IF(SUM(K19:K21),SUM(K19:K21),"")</f>
        <v>258</v>
      </c>
      <c r="S22" s="21"/>
      <c r="T22" s="21"/>
    </row>
    <row r="23" spans="1:20" ht="12.75" customHeight="1" x14ac:dyDescent="0.25">
      <c r="A23" s="40" t="s">
        <v>33</v>
      </c>
      <c r="B23" s="80">
        <v>4</v>
      </c>
      <c r="C23" s="80">
        <v>40</v>
      </c>
      <c r="D23" s="80"/>
      <c r="E23" s="148">
        <f>IF(SUM(B23:D23),SUM(B23:D23),"")</f>
        <v>44</v>
      </c>
      <c r="F23" s="7"/>
      <c r="G23" s="8"/>
      <c r="H23" s="8"/>
      <c r="I23" s="8"/>
      <c r="J23" s="8"/>
      <c r="K23" s="12"/>
      <c r="S23" s="21"/>
      <c r="T23" s="21"/>
    </row>
    <row r="24" spans="1:20" ht="12.75" customHeight="1" x14ac:dyDescent="0.25">
      <c r="A24" s="30" t="s">
        <v>36</v>
      </c>
      <c r="B24" s="78">
        <v>1</v>
      </c>
      <c r="C24" s="78">
        <v>17</v>
      </c>
      <c r="D24" s="78"/>
      <c r="E24" s="147">
        <f>IF(SUM(B24:D24),SUM(B24:D24),"")</f>
        <v>18</v>
      </c>
      <c r="F24" s="7"/>
      <c r="G24" s="108" t="s">
        <v>173</v>
      </c>
      <c r="H24" s="109"/>
      <c r="I24" s="109"/>
      <c r="J24" s="109"/>
      <c r="K24" s="110"/>
      <c r="S24" s="21"/>
      <c r="T24" s="22"/>
    </row>
    <row r="25" spans="1:20" ht="12.75" customHeight="1" x14ac:dyDescent="0.25">
      <c r="A25" s="32" t="s">
        <v>89</v>
      </c>
      <c r="B25" s="34">
        <f>IF(SUM(B20:B24),SUM(B20:B24),"")</f>
        <v>12</v>
      </c>
      <c r="C25" s="34">
        <f>IF(SUM(C20:C24),SUM(C20:C24),"")</f>
        <v>87</v>
      </c>
      <c r="D25" s="34" t="str">
        <f>IF(SUM(D20:D24),SUM(D20:D24),"")</f>
        <v/>
      </c>
      <c r="E25" s="151">
        <f t="shared" ref="E25" si="4">IF(SUM(E20:E24),SUM(E20:E24),"")</f>
        <v>99</v>
      </c>
      <c r="F25" s="7"/>
      <c r="G25" s="87" t="s">
        <v>31</v>
      </c>
      <c r="H25" s="78">
        <v>1</v>
      </c>
      <c r="I25" s="78">
        <v>24</v>
      </c>
      <c r="J25" s="78"/>
      <c r="K25" s="90">
        <f>IF(SUM(H25:J25),SUM(H25:J25),"")</f>
        <v>25</v>
      </c>
      <c r="S25" s="21"/>
      <c r="T25" s="21"/>
    </row>
    <row r="26" spans="1:20" ht="12.75" customHeight="1" x14ac:dyDescent="0.25">
      <c r="A26" s="8"/>
      <c r="B26" s="8"/>
      <c r="C26" s="8"/>
      <c r="D26" s="8"/>
      <c r="F26" s="7"/>
      <c r="G26" s="40" t="s">
        <v>37</v>
      </c>
      <c r="H26" s="41">
        <v>5</v>
      </c>
      <c r="I26" s="41"/>
      <c r="J26" s="41"/>
      <c r="K26" s="42">
        <f>IF(SUM(H26:J26),SUM(H26:J26),"")</f>
        <v>5</v>
      </c>
      <c r="S26" s="22"/>
      <c r="T26" s="21"/>
    </row>
    <row r="27" spans="1:20" ht="12.75" customHeight="1" x14ac:dyDescent="0.25">
      <c r="A27" s="111" t="s">
        <v>85</v>
      </c>
      <c r="B27" s="111"/>
      <c r="C27" s="111"/>
      <c r="D27" s="111"/>
      <c r="E27" s="111"/>
      <c r="F27" s="7"/>
      <c r="G27" s="87" t="s">
        <v>42</v>
      </c>
      <c r="H27" s="78">
        <v>3</v>
      </c>
      <c r="I27" s="78"/>
      <c r="J27" s="78"/>
      <c r="K27" s="90">
        <f>IF(SUM(H27:J27),SUM(H27:J27),"")</f>
        <v>3</v>
      </c>
      <c r="S27" s="21"/>
      <c r="T27" s="21"/>
    </row>
    <row r="28" spans="1:20" ht="12.75" customHeight="1" x14ac:dyDescent="0.25">
      <c r="A28" s="30" t="s">
        <v>11</v>
      </c>
      <c r="B28" s="78">
        <v>3</v>
      </c>
      <c r="C28" s="78">
        <v>48</v>
      </c>
      <c r="D28" s="78">
        <v>637</v>
      </c>
      <c r="E28" s="147">
        <f>IF(SUM(B28:D28),SUM(B28:D28),"")</f>
        <v>688</v>
      </c>
      <c r="F28" s="7"/>
      <c r="G28" s="40" t="s">
        <v>46</v>
      </c>
      <c r="H28" s="41">
        <v>1</v>
      </c>
      <c r="I28" s="41"/>
      <c r="J28" s="41">
        <v>176</v>
      </c>
      <c r="K28" s="42">
        <f>IF(SUM(H28:J28),SUM(H28:J28),"")</f>
        <v>177</v>
      </c>
      <c r="S28" s="21"/>
      <c r="T28" s="21"/>
    </row>
    <row r="29" spans="1:20" ht="12.75" customHeight="1" x14ac:dyDescent="0.25">
      <c r="A29" s="40" t="s">
        <v>99</v>
      </c>
      <c r="B29" s="81">
        <v>3</v>
      </c>
      <c r="C29" s="80"/>
      <c r="D29" s="80"/>
      <c r="E29" s="42">
        <f>IF(SUM(B29:D29),SUM(B29:D29),"")</f>
        <v>3</v>
      </c>
      <c r="F29" s="7"/>
      <c r="G29" s="32" t="s">
        <v>174</v>
      </c>
      <c r="H29" s="34">
        <f>IF(SUM(H25:H28),SUM(H25:H28),"")</f>
        <v>10</v>
      </c>
      <c r="I29" s="34">
        <f t="shared" ref="I29:J29" si="5">IF(SUM(I25:I28),SUM(I25:I28),"")</f>
        <v>24</v>
      </c>
      <c r="J29" s="34">
        <f t="shared" si="5"/>
        <v>176</v>
      </c>
      <c r="K29" s="34">
        <f t="shared" ref="K29" si="6">IF(SUM(K25:K28),SUM(K25:K28),"")</f>
        <v>210</v>
      </c>
      <c r="S29" s="21"/>
      <c r="T29" s="21"/>
    </row>
    <row r="30" spans="1:20" ht="12.75" customHeight="1" x14ac:dyDescent="0.25">
      <c r="A30" s="30" t="s">
        <v>19</v>
      </c>
      <c r="B30" s="78">
        <v>69.000000000000014</v>
      </c>
      <c r="C30" s="78">
        <v>70</v>
      </c>
      <c r="D30" s="78"/>
      <c r="E30" s="147">
        <f>IF(SUM(B30:D30),SUM(B30:D30),"")</f>
        <v>139</v>
      </c>
      <c r="F30" s="7"/>
      <c r="G30" s="8"/>
      <c r="H30" s="8"/>
      <c r="I30" s="8"/>
      <c r="J30" s="8"/>
      <c r="K30" s="12"/>
      <c r="S30" s="21"/>
      <c r="T30" s="21"/>
    </row>
    <row r="31" spans="1:20" ht="12.75" customHeight="1" x14ac:dyDescent="0.25">
      <c r="A31" s="40" t="s">
        <v>38</v>
      </c>
      <c r="B31" s="80">
        <v>25</v>
      </c>
      <c r="C31" s="80"/>
      <c r="D31" s="80"/>
      <c r="E31" s="42">
        <f>IF(SUM(B31:D31),SUM(B31:D31),"")</f>
        <v>25</v>
      </c>
      <c r="F31" s="7"/>
      <c r="G31" s="108" t="s">
        <v>175</v>
      </c>
      <c r="H31" s="109"/>
      <c r="I31" s="109"/>
      <c r="J31" s="109"/>
      <c r="K31" s="110"/>
      <c r="S31" s="21"/>
      <c r="T31" s="21"/>
    </row>
    <row r="32" spans="1:20" ht="12.75" customHeight="1" x14ac:dyDescent="0.25">
      <c r="A32" s="30" t="s">
        <v>39</v>
      </c>
      <c r="B32" s="78">
        <v>19.999999999999996</v>
      </c>
      <c r="C32" s="78">
        <v>563</v>
      </c>
      <c r="D32" s="78"/>
      <c r="E32" s="147">
        <f>IF(SUM(B32:D32),SUM(B32:D32),"")</f>
        <v>583</v>
      </c>
      <c r="F32" s="7"/>
      <c r="G32" s="30" t="s">
        <v>27</v>
      </c>
      <c r="H32" s="78">
        <v>6</v>
      </c>
      <c r="I32" s="78"/>
      <c r="J32" s="78"/>
      <c r="K32" s="90">
        <f>IF(SUM(H32:J32),SUM(H32:J32),"")</f>
        <v>6</v>
      </c>
      <c r="S32" s="21"/>
      <c r="T32" s="21"/>
    </row>
    <row r="33" spans="1:20" ht="12.75" customHeight="1" x14ac:dyDescent="0.25">
      <c r="A33" s="32" t="s">
        <v>90</v>
      </c>
      <c r="B33" s="34">
        <f>IF(SUM(B28:B32),SUM(B28:B32),"")</f>
        <v>120.00000000000001</v>
      </c>
      <c r="C33" s="34">
        <f>IF(SUM(C28:C32),SUM(C28:C32),"")</f>
        <v>681</v>
      </c>
      <c r="D33" s="34">
        <f>IF(SUM(D28:D32),SUM(D28:D32),"")</f>
        <v>637</v>
      </c>
      <c r="E33" s="151">
        <f t="shared" ref="E33" si="7">IF(SUM(E28:E32),SUM(E28:E32),"")</f>
        <v>1438</v>
      </c>
      <c r="F33" s="7"/>
      <c r="G33" s="40" t="s">
        <v>32</v>
      </c>
      <c r="H33" s="41">
        <v>102.99999999999999</v>
      </c>
      <c r="I33" s="41">
        <v>278</v>
      </c>
      <c r="J33" s="41"/>
      <c r="K33" s="42">
        <f>IF(SUM(H33:J33),SUM(H33:J33),"")</f>
        <v>381</v>
      </c>
      <c r="S33" s="21"/>
      <c r="T33" s="22"/>
    </row>
    <row r="34" spans="1:20" ht="12.75" customHeight="1" x14ac:dyDescent="0.25">
      <c r="A34" s="8"/>
      <c r="B34" s="8"/>
      <c r="C34" s="8"/>
      <c r="D34" s="8"/>
      <c r="F34" s="7"/>
      <c r="G34" s="30" t="s">
        <v>44</v>
      </c>
      <c r="H34" s="78">
        <v>54</v>
      </c>
      <c r="I34" s="78">
        <v>12</v>
      </c>
      <c r="J34" s="157"/>
      <c r="K34" s="90">
        <f>IF(SUM(H34:J34),SUM(H34:J34),"")</f>
        <v>66</v>
      </c>
      <c r="S34" s="21"/>
      <c r="T34" s="21"/>
    </row>
    <row r="35" spans="1:20" ht="12.75" customHeight="1" x14ac:dyDescent="0.25">
      <c r="A35" s="108" t="s">
        <v>86</v>
      </c>
      <c r="B35" s="109"/>
      <c r="C35" s="109"/>
      <c r="D35" s="109"/>
      <c r="E35" s="110"/>
      <c r="F35" s="7"/>
      <c r="G35" s="40" t="s">
        <v>68</v>
      </c>
      <c r="H35" s="41">
        <v>89</v>
      </c>
      <c r="I35" s="41"/>
      <c r="J35" s="41"/>
      <c r="K35" s="42">
        <f>IF(SUM(H35:J35),SUM(H35:J35),"")</f>
        <v>89</v>
      </c>
      <c r="S35" s="21"/>
      <c r="T35" s="21"/>
    </row>
    <row r="36" spans="1:20" ht="12.75" customHeight="1" x14ac:dyDescent="0.25">
      <c r="A36" s="30" t="s">
        <v>208</v>
      </c>
      <c r="B36" s="78"/>
      <c r="C36" s="78"/>
      <c r="D36" s="78"/>
      <c r="E36" s="35" t="str">
        <f>IF(SUM(B36:D36),SUM(B36:D36),"")</f>
        <v/>
      </c>
      <c r="F36" s="7"/>
      <c r="G36" s="32" t="s">
        <v>177</v>
      </c>
      <c r="H36" s="34">
        <f>IF(SUM(H32:H35),SUM(H32:H35),"")</f>
        <v>252</v>
      </c>
      <c r="I36" s="34">
        <f>IF(SUM(I32:I35),SUM(I32:I35),"")</f>
        <v>290</v>
      </c>
      <c r="J36" s="34" t="str">
        <f>IF(SUM(J32:J35),SUM(J32:J35),"")</f>
        <v/>
      </c>
      <c r="K36" s="34">
        <f t="shared" ref="K36" si="8">IF(SUM(K32:K35),SUM(K32:K35),"")</f>
        <v>542</v>
      </c>
      <c r="S36" s="22"/>
      <c r="T36" s="21"/>
    </row>
    <row r="37" spans="1:20" ht="12.75" customHeight="1" x14ac:dyDescent="0.25">
      <c r="A37" s="40" t="s">
        <v>26</v>
      </c>
      <c r="B37" s="80">
        <v>5</v>
      </c>
      <c r="C37" s="80">
        <v>24</v>
      </c>
      <c r="D37" s="80">
        <v>184</v>
      </c>
      <c r="E37" s="42">
        <f>IF(SUM(B37:D37),SUM(B37:D37),"")</f>
        <v>213</v>
      </c>
      <c r="F37" s="7"/>
      <c r="H37" s="70"/>
      <c r="S37" s="21"/>
      <c r="T37" s="21"/>
    </row>
    <row r="38" spans="1:20" ht="12.75" customHeight="1" x14ac:dyDescent="0.25">
      <c r="A38" s="36" t="s">
        <v>34</v>
      </c>
      <c r="B38" s="78">
        <v>2</v>
      </c>
      <c r="C38" s="78"/>
      <c r="D38" s="78"/>
      <c r="E38" s="35">
        <f>IF(SUM(B38:D38),SUM(B38:D38),"")</f>
        <v>2</v>
      </c>
      <c r="F38" s="7"/>
      <c r="G38" s="108" t="s">
        <v>176</v>
      </c>
      <c r="H38" s="109"/>
      <c r="I38" s="109"/>
      <c r="J38" s="109"/>
      <c r="K38" s="110"/>
      <c r="S38" s="21"/>
      <c r="T38" s="21"/>
    </row>
    <row r="39" spans="1:20" ht="12.75" customHeight="1" x14ac:dyDescent="0.25">
      <c r="A39" s="32" t="s">
        <v>91</v>
      </c>
      <c r="B39" s="34">
        <f>IF(SUM(B36:B38),SUM(B36:B38),"")</f>
        <v>7</v>
      </c>
      <c r="C39" s="34">
        <f>IF(SUM(C36:C38),SUM(C36:C38),"")</f>
        <v>24</v>
      </c>
      <c r="D39" s="34">
        <f>IF(SUM(D36:D38),SUM(D36:D38),"")</f>
        <v>184</v>
      </c>
      <c r="E39" s="151">
        <f t="shared" ref="E39" si="9">IF(SUM(E36:E38),SUM(E36:E38),"")</f>
        <v>215</v>
      </c>
      <c r="F39" s="7"/>
      <c r="G39" s="30" t="s">
        <v>21</v>
      </c>
      <c r="H39" s="78">
        <v>16.999999999999996</v>
      </c>
      <c r="I39" s="78">
        <v>36</v>
      </c>
      <c r="J39" s="78"/>
      <c r="K39" s="90">
        <f>IF(SUM(H39:J39),SUM(H39:J39),"")</f>
        <v>53</v>
      </c>
      <c r="S39" s="21"/>
      <c r="T39" s="21"/>
    </row>
    <row r="40" spans="1:20" ht="12.75" customHeight="1" x14ac:dyDescent="0.25">
      <c r="A40" s="8"/>
      <c r="B40" s="8"/>
      <c r="C40" s="8"/>
      <c r="D40" s="8"/>
      <c r="E40" s="11"/>
      <c r="F40" s="7"/>
      <c r="G40" s="40" t="s">
        <v>28</v>
      </c>
      <c r="H40" s="41">
        <v>24.999999999999996</v>
      </c>
      <c r="I40" s="41"/>
      <c r="J40" s="41"/>
      <c r="K40" s="42">
        <f>IF(SUM(H40:J40),SUM(H40:J40),"")</f>
        <v>24.999999999999996</v>
      </c>
      <c r="S40" s="21"/>
      <c r="T40" s="21"/>
    </row>
    <row r="41" spans="1:20" ht="12.75" customHeight="1" x14ac:dyDescent="0.25">
      <c r="A41" s="108" t="s">
        <v>108</v>
      </c>
      <c r="B41" s="109"/>
      <c r="C41" s="109"/>
      <c r="D41" s="109"/>
      <c r="E41" s="110"/>
      <c r="F41" s="7"/>
      <c r="G41" s="30" t="s">
        <v>40</v>
      </c>
      <c r="H41" s="78">
        <v>16.000000000000004</v>
      </c>
      <c r="I41" s="78">
        <v>38</v>
      </c>
      <c r="J41" s="78">
        <v>59</v>
      </c>
      <c r="K41" s="90">
        <f>IF(SUM(H41:J41),SUM(H41:J41),"")</f>
        <v>113</v>
      </c>
      <c r="S41" s="21"/>
      <c r="T41" s="21"/>
    </row>
    <row r="42" spans="1:20" ht="12.75" customHeight="1" x14ac:dyDescent="0.25">
      <c r="A42" s="87" t="s">
        <v>15</v>
      </c>
      <c r="B42" s="78">
        <v>17</v>
      </c>
      <c r="C42" s="78"/>
      <c r="D42" s="78"/>
      <c r="E42" s="35">
        <f t="shared" ref="E42:E49" si="10">IF(SUM(B42:D42),SUM(B42:D42),"")</f>
        <v>17</v>
      </c>
      <c r="F42" s="7"/>
      <c r="G42" s="40" t="s">
        <v>45</v>
      </c>
      <c r="H42" s="41">
        <v>69</v>
      </c>
      <c r="I42" s="41">
        <v>30</v>
      </c>
      <c r="J42" s="41">
        <v>61</v>
      </c>
      <c r="K42" s="42">
        <f>IF(SUM(H42:J42),SUM(H42:J42),"")</f>
        <v>160</v>
      </c>
      <c r="S42" s="21"/>
      <c r="T42" s="22"/>
    </row>
    <row r="43" spans="1:20" ht="12.75" customHeight="1" x14ac:dyDescent="0.25">
      <c r="A43" s="40" t="s">
        <v>22</v>
      </c>
      <c r="B43" s="80">
        <v>15</v>
      </c>
      <c r="C43" s="80"/>
      <c r="D43" s="80"/>
      <c r="E43" s="42">
        <f t="shared" si="10"/>
        <v>15</v>
      </c>
      <c r="F43" s="7"/>
      <c r="G43" s="87" t="s">
        <v>51</v>
      </c>
      <c r="H43" s="78">
        <v>11</v>
      </c>
      <c r="I43" s="78"/>
      <c r="J43" s="78"/>
      <c r="K43" s="90">
        <f>IF(SUM(H43:J43),SUM(H43:J43),"")</f>
        <v>11</v>
      </c>
      <c r="S43" s="21"/>
      <c r="T43" s="21"/>
    </row>
    <row r="44" spans="1:20" ht="12.75" customHeight="1" x14ac:dyDescent="0.25">
      <c r="A44" s="89" t="s">
        <v>101</v>
      </c>
      <c r="B44" s="78"/>
      <c r="C44" s="78"/>
      <c r="D44" s="78"/>
      <c r="E44" s="35" t="str">
        <f t="shared" si="10"/>
        <v/>
      </c>
      <c r="F44" s="7"/>
      <c r="G44" s="32" t="s">
        <v>178</v>
      </c>
      <c r="H44" s="34">
        <f>IF(SUM(H39:H43),SUM(H39:H43),"")</f>
        <v>138</v>
      </c>
      <c r="I44" s="34">
        <f>IF(SUM(I39:I43),SUM(I39:I43),"")</f>
        <v>104</v>
      </c>
      <c r="J44" s="34">
        <f>IF(SUM(J39:J43),SUM(J39:J43),"")</f>
        <v>120</v>
      </c>
      <c r="K44" s="34">
        <f t="shared" ref="K44" si="11">IF(SUM(K39:K43),SUM(K39:K43),"")</f>
        <v>362</v>
      </c>
      <c r="S44" s="21"/>
      <c r="T44" s="21"/>
    </row>
    <row r="45" spans="1:20" ht="12.75" customHeight="1" x14ac:dyDescent="0.25">
      <c r="A45" s="40" t="s">
        <v>41</v>
      </c>
      <c r="B45" s="80">
        <v>14</v>
      </c>
      <c r="C45" s="80"/>
      <c r="D45" s="80"/>
      <c r="E45" s="42">
        <f t="shared" si="10"/>
        <v>14</v>
      </c>
      <c r="F45" s="7"/>
      <c r="S45" s="21"/>
      <c r="T45" s="21"/>
    </row>
    <row r="46" spans="1:20" ht="12.75" customHeight="1" x14ac:dyDescent="0.25">
      <c r="A46" s="87" t="s">
        <v>50</v>
      </c>
      <c r="B46" s="78">
        <v>78.000000000000014</v>
      </c>
      <c r="C46" s="78"/>
      <c r="D46" s="78"/>
      <c r="E46" s="35">
        <f t="shared" si="10"/>
        <v>78.000000000000014</v>
      </c>
      <c r="F46" s="7"/>
      <c r="G46" s="108" t="s">
        <v>179</v>
      </c>
      <c r="H46" s="109"/>
      <c r="I46" s="109"/>
      <c r="J46" s="109"/>
      <c r="K46" s="110"/>
      <c r="S46" s="21"/>
      <c r="T46" s="21"/>
    </row>
    <row r="47" spans="1:20" ht="12.75" customHeight="1" x14ac:dyDescent="0.25">
      <c r="A47" s="40" t="s">
        <v>52</v>
      </c>
      <c r="B47" s="80">
        <v>4</v>
      </c>
      <c r="C47" s="80"/>
      <c r="D47" s="80"/>
      <c r="E47" s="42">
        <f t="shared" si="10"/>
        <v>4</v>
      </c>
      <c r="F47" s="7"/>
      <c r="G47" s="30" t="s">
        <v>4</v>
      </c>
      <c r="H47" s="31">
        <v>61.000000000000007</v>
      </c>
      <c r="I47" s="31"/>
      <c r="J47" s="31"/>
      <c r="K47" s="90">
        <f>IF(SUM(H47:J47),SUM(H47:J47),"")</f>
        <v>61.000000000000007</v>
      </c>
      <c r="S47" s="21"/>
      <c r="T47" s="21"/>
    </row>
    <row r="48" spans="1:20" ht="12.75" customHeight="1" x14ac:dyDescent="0.25">
      <c r="A48" s="87" t="s">
        <v>53</v>
      </c>
      <c r="B48" s="78">
        <v>31</v>
      </c>
      <c r="C48" s="78"/>
      <c r="D48" s="78"/>
      <c r="E48" s="35">
        <f t="shared" si="10"/>
        <v>31</v>
      </c>
      <c r="F48" s="7"/>
      <c r="G48" s="40" t="s">
        <v>14</v>
      </c>
      <c r="H48" s="41">
        <v>81</v>
      </c>
      <c r="I48" s="41"/>
      <c r="J48" s="41"/>
      <c r="K48" s="42">
        <f>IF(SUM(H48:J48),SUM(H48:J48),"")</f>
        <v>81</v>
      </c>
      <c r="S48" s="21"/>
      <c r="T48" s="21"/>
    </row>
    <row r="49" spans="1:27" ht="12.75" customHeight="1" x14ac:dyDescent="0.25">
      <c r="A49" s="40" t="s">
        <v>55</v>
      </c>
      <c r="B49" s="80">
        <v>3</v>
      </c>
      <c r="C49" s="80"/>
      <c r="D49" s="80"/>
      <c r="E49" s="42">
        <f t="shared" si="10"/>
        <v>3</v>
      </c>
      <c r="F49" s="7"/>
      <c r="G49" s="30" t="s">
        <v>59</v>
      </c>
      <c r="H49" s="31">
        <v>91</v>
      </c>
      <c r="I49" s="31"/>
      <c r="J49" s="31"/>
      <c r="K49" s="90">
        <f>IF(SUM(H49:J49),SUM(H49:J49),"")</f>
        <v>91</v>
      </c>
      <c r="S49" s="21"/>
      <c r="T49" s="21"/>
    </row>
    <row r="50" spans="1:27" ht="12.75" customHeight="1" x14ac:dyDescent="0.25">
      <c r="A50" s="32" t="s">
        <v>109</v>
      </c>
      <c r="B50" s="34">
        <f>IF(SUM(B42:B49),SUM(B42:B49),"")</f>
        <v>162</v>
      </c>
      <c r="C50" s="34" t="str">
        <f>IF(SUM(C42:C49),SUM(C42:C49),"")</f>
        <v/>
      </c>
      <c r="D50" s="34" t="str">
        <f>IF(SUM(D42:D49),SUM(D42:D49),"")</f>
        <v/>
      </c>
      <c r="E50" s="151">
        <f>IF(SUM(E42:E49),SUM(E42:E49),"")</f>
        <v>162</v>
      </c>
      <c r="F50" s="7"/>
      <c r="G50" s="32" t="s">
        <v>180</v>
      </c>
      <c r="H50" s="34">
        <f>IF(SUM(H47:H49),SUM(H47:H49),"")</f>
        <v>233</v>
      </c>
      <c r="I50" s="34" t="str">
        <f>IF(SUM(I47:I49),SUM(I47:I49),"")</f>
        <v/>
      </c>
      <c r="J50" s="34" t="str">
        <f>IF(SUM(J47:J49),SUM(J47:J49),"")</f>
        <v/>
      </c>
      <c r="K50" s="34">
        <f>IF(SUM(K47:K49),SUM(K47:K49),"")</f>
        <v>233</v>
      </c>
      <c r="S50" s="21"/>
      <c r="T50" s="21"/>
    </row>
    <row r="51" spans="1:27" ht="12.75" customHeight="1" x14ac:dyDescent="0.25">
      <c r="A51" s="8"/>
      <c r="B51" s="8"/>
      <c r="C51" s="8"/>
      <c r="D51" s="8"/>
      <c r="F51" s="9"/>
      <c r="S51" s="22"/>
      <c r="T51" s="21"/>
    </row>
    <row r="52" spans="1:27" ht="12.75" customHeight="1" x14ac:dyDescent="0.25">
      <c r="A52" s="108" t="s">
        <v>110</v>
      </c>
      <c r="B52" s="109"/>
      <c r="C52" s="109"/>
      <c r="D52" s="109"/>
      <c r="E52" s="110"/>
      <c r="F52" s="7"/>
      <c r="G52" s="108" t="s">
        <v>181</v>
      </c>
      <c r="H52" s="109"/>
      <c r="I52" s="109"/>
      <c r="J52" s="109"/>
      <c r="K52" s="110"/>
      <c r="S52" s="21"/>
      <c r="T52" s="21"/>
    </row>
    <row r="53" spans="1:27" ht="12.75" customHeight="1" x14ac:dyDescent="0.25">
      <c r="A53" s="87" t="s">
        <v>8</v>
      </c>
      <c r="B53" s="78">
        <v>6</v>
      </c>
      <c r="C53" s="78">
        <v>43</v>
      </c>
      <c r="D53" s="78"/>
      <c r="E53" s="35">
        <f>IF(SUM(B53:D53),SUM(B53:D53),"")</f>
        <v>49</v>
      </c>
      <c r="F53" s="7"/>
      <c r="G53" s="30" t="s">
        <v>98</v>
      </c>
      <c r="H53" s="78">
        <v>175</v>
      </c>
      <c r="I53" s="91"/>
      <c r="J53" s="78"/>
      <c r="K53" s="90">
        <f>IF(SUM(H53:J53),SUM(H53:J53),"")</f>
        <v>175</v>
      </c>
      <c r="S53" s="21"/>
      <c r="T53" s="21"/>
    </row>
    <row r="54" spans="1:27" ht="12.75" customHeight="1" x14ac:dyDescent="0.25">
      <c r="A54" s="40" t="s">
        <v>12</v>
      </c>
      <c r="B54" s="80">
        <v>26.999999999999996</v>
      </c>
      <c r="C54" s="80">
        <v>49</v>
      </c>
      <c r="D54" s="80">
        <v>255</v>
      </c>
      <c r="E54" s="42">
        <f>IF(SUM(B54:D54),SUM(B54:D54),"")</f>
        <v>331</v>
      </c>
      <c r="F54" s="7"/>
      <c r="G54" s="40" t="s">
        <v>23</v>
      </c>
      <c r="H54" s="41"/>
      <c r="I54" s="41"/>
      <c r="J54" s="41"/>
      <c r="K54" s="42" t="str">
        <f>IF(SUM(H54:J54),SUM(H54:J54),"")</f>
        <v/>
      </c>
      <c r="S54" s="21"/>
      <c r="T54" s="21"/>
    </row>
    <row r="55" spans="1:27" ht="12.75" customHeight="1" x14ac:dyDescent="0.25">
      <c r="A55" s="89" t="s">
        <v>35</v>
      </c>
      <c r="B55" s="78">
        <v>4</v>
      </c>
      <c r="C55" s="78"/>
      <c r="D55" s="78"/>
      <c r="E55" s="35">
        <f>IF(SUM(B55:D55),SUM(B55:D55),"")</f>
        <v>4</v>
      </c>
      <c r="F55" s="7"/>
      <c r="G55" s="30" t="s">
        <v>29</v>
      </c>
      <c r="H55" s="78">
        <v>23</v>
      </c>
      <c r="I55" s="31"/>
      <c r="J55" s="78"/>
      <c r="K55" s="90">
        <f>IF(SUM(H55:J55),SUM(H55:J55),"")</f>
        <v>23</v>
      </c>
      <c r="L55" s="6"/>
      <c r="M55" s="6"/>
      <c r="N55" s="6"/>
      <c r="O55" s="6"/>
      <c r="P55" s="6"/>
      <c r="Q55" s="6"/>
      <c r="R55" s="6"/>
      <c r="S55" s="21"/>
      <c r="T55" s="21"/>
    </row>
    <row r="56" spans="1:27" ht="12.75" customHeight="1" x14ac:dyDescent="0.25">
      <c r="A56" s="32" t="s">
        <v>111</v>
      </c>
      <c r="B56" s="34">
        <f>IF(SUM(B53:B55),SUM(B53:B55),"")</f>
        <v>37</v>
      </c>
      <c r="C56" s="34">
        <f>IF(SUM(C53:C55),SUM(C53:C55),"")</f>
        <v>92</v>
      </c>
      <c r="D56" s="34">
        <f>IF(SUM(D53:D55),SUM(D53:D55),"")</f>
        <v>255</v>
      </c>
      <c r="E56" s="151">
        <f>IF(SUM(E53:E55),SUM(E53:E55),"")</f>
        <v>384</v>
      </c>
      <c r="F56" s="7"/>
      <c r="G56" s="40" t="s">
        <v>62</v>
      </c>
      <c r="H56" s="41">
        <v>169.00000000000003</v>
      </c>
      <c r="I56" s="41">
        <v>240</v>
      </c>
      <c r="J56" s="41"/>
      <c r="K56" s="42">
        <f>IF(SUM(H56:J56),SUM(H56:J56),"")</f>
        <v>409</v>
      </c>
      <c r="S56" s="21"/>
      <c r="T56" s="22"/>
    </row>
    <row r="57" spans="1:27" ht="12.75" customHeight="1" x14ac:dyDescent="0.25">
      <c r="F57" s="7"/>
      <c r="G57" s="87" t="s">
        <v>65</v>
      </c>
      <c r="H57" s="78">
        <v>58.999999999999993</v>
      </c>
      <c r="I57" s="78"/>
      <c r="J57" s="78"/>
      <c r="K57" s="90">
        <f>IF(SUM(H57:J57),SUM(H57:J57),"")</f>
        <v>58.999999999999993</v>
      </c>
      <c r="S57" s="22"/>
      <c r="T57" s="21"/>
    </row>
    <row r="58" spans="1:27" ht="12.75" customHeight="1" x14ac:dyDescent="0.25">
      <c r="A58" s="108" t="s">
        <v>112</v>
      </c>
      <c r="B58" s="109"/>
      <c r="C58" s="109"/>
      <c r="D58" s="109"/>
      <c r="E58" s="110"/>
      <c r="F58" s="7"/>
      <c r="G58" s="32" t="s">
        <v>182</v>
      </c>
      <c r="H58" s="34">
        <f>IF(SUM(H53:H57),SUM(H53:H57),"")</f>
        <v>426</v>
      </c>
      <c r="I58" s="34">
        <f>IF(SUM(I53:I57),SUM(I53:I57),"")</f>
        <v>240</v>
      </c>
      <c r="J58" s="34" t="str">
        <f>IF(SUM(J53:J57),SUM(J53:J57),"")</f>
        <v/>
      </c>
      <c r="K58" s="34">
        <f t="shared" ref="K58" si="12">IF(SUM(K53:K57),SUM(K53:K57),"")</f>
        <v>666</v>
      </c>
      <c r="T58" s="21"/>
    </row>
    <row r="59" spans="1:27" ht="12.75" customHeight="1" x14ac:dyDescent="0.25">
      <c r="A59" s="87" t="s">
        <v>13</v>
      </c>
      <c r="B59" s="78">
        <v>13</v>
      </c>
      <c r="C59" s="78"/>
      <c r="D59" s="78"/>
      <c r="E59" s="35">
        <f>IF(SUM(B59:D59),SUM(B59:D59),"")</f>
        <v>13</v>
      </c>
      <c r="F59" s="7"/>
      <c r="L59" s="6"/>
      <c r="T59" s="21"/>
    </row>
    <row r="60" spans="1:27" ht="12.75" customHeight="1" x14ac:dyDescent="0.25">
      <c r="A60" s="40" t="s">
        <v>43</v>
      </c>
      <c r="B60" s="80">
        <v>43.999999999999993</v>
      </c>
      <c r="C60" s="80"/>
      <c r="D60" s="80"/>
      <c r="E60" s="42">
        <f>IF(SUM(B60:D60),SUM(B60:D60),"")</f>
        <v>43.999999999999993</v>
      </c>
      <c r="F60" s="7"/>
      <c r="G60" s="108" t="s">
        <v>183</v>
      </c>
      <c r="H60" s="109"/>
      <c r="I60" s="109"/>
      <c r="J60" s="109"/>
      <c r="K60" s="110"/>
      <c r="L60" s="6"/>
      <c r="M60" s="6"/>
      <c r="N60" s="6"/>
      <c r="O60" s="6"/>
      <c r="P60" s="6"/>
      <c r="Q60" s="6"/>
      <c r="R60" s="6"/>
      <c r="T60" s="21"/>
    </row>
    <row r="61" spans="1:27" ht="12.75" customHeight="1" x14ac:dyDescent="0.25">
      <c r="A61" s="89" t="s">
        <v>56</v>
      </c>
      <c r="B61" s="78">
        <v>19</v>
      </c>
      <c r="C61" s="78"/>
      <c r="D61" s="78"/>
      <c r="E61" s="35">
        <f>IF(SUM(B61:D61),SUM(B61:D61),"")</f>
        <v>19</v>
      </c>
      <c r="F61" s="7"/>
      <c r="G61" s="30" t="s">
        <v>7</v>
      </c>
      <c r="H61" s="78">
        <v>2</v>
      </c>
      <c r="I61" s="78"/>
      <c r="J61" s="78"/>
      <c r="K61" s="90">
        <f>IF(SUM(H61:J61),SUM(H61:J61),"")</f>
        <v>2</v>
      </c>
      <c r="L61" s="6"/>
      <c r="M61" s="6"/>
      <c r="N61" s="6"/>
      <c r="O61" s="6"/>
      <c r="P61" s="6"/>
      <c r="Q61" s="6"/>
      <c r="R61" s="6"/>
      <c r="T61" s="21"/>
    </row>
    <row r="62" spans="1:27" ht="12.75" customHeight="1" x14ac:dyDescent="0.25">
      <c r="A62" s="40" t="s">
        <v>67</v>
      </c>
      <c r="B62" s="80">
        <v>26</v>
      </c>
      <c r="C62" s="80"/>
      <c r="D62" s="80"/>
      <c r="E62" s="42">
        <f>IF(SUM(B62:D62),SUM(B62:D62),"")</f>
        <v>26</v>
      </c>
      <c r="F62" s="7"/>
      <c r="G62" s="40" t="s">
        <v>48</v>
      </c>
      <c r="H62" s="41">
        <v>2</v>
      </c>
      <c r="I62" s="41"/>
      <c r="J62" s="41"/>
      <c r="K62" s="42">
        <f>IF(SUM(H62:J62),SUM(H62:J62),"")</f>
        <v>2</v>
      </c>
      <c r="L62" s="6"/>
      <c r="M62" s="6"/>
      <c r="N62" s="6"/>
      <c r="O62" s="6"/>
      <c r="P62" s="6"/>
      <c r="Q62" s="6"/>
      <c r="R62" s="6"/>
      <c r="AA62" s="21"/>
    </row>
    <row r="63" spans="1:27" ht="12.75" customHeight="1" x14ac:dyDescent="0.25">
      <c r="A63" s="32" t="s">
        <v>113</v>
      </c>
      <c r="B63" s="34">
        <f>IF(SUM(B59:B62),SUM(B59:B62),"")</f>
        <v>102</v>
      </c>
      <c r="C63" s="34" t="str">
        <f>IF(SUM(C59:C62),SUM(C59:C62),"")</f>
        <v/>
      </c>
      <c r="D63" s="34" t="str">
        <f>IF(SUM(D59:D62),SUM(D59:D62),"")</f>
        <v/>
      </c>
      <c r="E63" s="151">
        <f>IF(SUM(E59:E62),SUM(E59:E62),"")</f>
        <v>102</v>
      </c>
      <c r="G63" s="30" t="s">
        <v>57</v>
      </c>
      <c r="H63" s="78"/>
      <c r="I63" s="92"/>
      <c r="J63" s="92"/>
      <c r="K63" s="90" t="str">
        <f>IF(SUM(H63:J63),SUM(H63:J63),"")</f>
        <v/>
      </c>
    </row>
    <row r="64" spans="1:27" ht="12.75" customHeight="1" x14ac:dyDescent="0.25">
      <c r="G64" s="32" t="s">
        <v>184</v>
      </c>
      <c r="H64" s="34">
        <f>IF(SUM(H61:H63),SUM(H61:H63),"")</f>
        <v>4</v>
      </c>
      <c r="I64" s="34" t="str">
        <f>IF(SUM(I61:I63),SUM(I61:I63),"")</f>
        <v/>
      </c>
      <c r="J64" s="34" t="str">
        <f>IF(SUM(J61:J63),SUM(J61:J63),"")</f>
        <v/>
      </c>
      <c r="K64" s="34">
        <f>IF(SUM(K61:K63),SUM(K61:K63),"")</f>
        <v>4</v>
      </c>
    </row>
    <row r="65" spans="1:28" ht="12.75" customHeight="1" x14ac:dyDescent="0.25">
      <c r="A65" s="108" t="s">
        <v>114</v>
      </c>
      <c r="B65" s="109"/>
      <c r="C65" s="109"/>
      <c r="D65" s="109"/>
      <c r="E65" s="110"/>
      <c r="G65" s="5"/>
      <c r="K65" s="25"/>
    </row>
    <row r="66" spans="1:28" ht="12.75" customHeight="1" x14ac:dyDescent="0.25">
      <c r="A66" s="30" t="s">
        <v>1</v>
      </c>
      <c r="B66" s="78">
        <v>19</v>
      </c>
      <c r="C66" s="78"/>
      <c r="D66" s="78"/>
      <c r="E66" s="147">
        <f t="shared" ref="E66:E69" si="13">IF(SUM(B66:D66),SUM(B66:D66),"")</f>
        <v>19</v>
      </c>
      <c r="G66" s="108" t="s">
        <v>185</v>
      </c>
      <c r="H66" s="109"/>
      <c r="I66" s="109"/>
      <c r="J66" s="109"/>
      <c r="K66" s="110"/>
    </row>
    <row r="67" spans="1:28" ht="12.75" customHeight="1" x14ac:dyDescent="0.25">
      <c r="A67" s="40" t="s">
        <v>209</v>
      </c>
      <c r="B67" s="80">
        <v>36</v>
      </c>
      <c r="C67" s="80"/>
      <c r="D67" s="80"/>
      <c r="E67" s="148">
        <f t="shared" si="13"/>
        <v>36</v>
      </c>
      <c r="G67" s="30" t="s">
        <v>97</v>
      </c>
      <c r="H67" s="78">
        <v>169.00000000000003</v>
      </c>
      <c r="I67" s="31">
        <v>336</v>
      </c>
      <c r="J67" s="78"/>
      <c r="K67" s="90">
        <f>IF(SUM(H67:J67),SUM(H67:J67),"")</f>
        <v>505</v>
      </c>
    </row>
    <row r="68" spans="1:28" ht="12.75" customHeight="1" x14ac:dyDescent="0.25">
      <c r="A68" s="87" t="s">
        <v>17</v>
      </c>
      <c r="B68" s="78">
        <v>8.0000000000000018</v>
      </c>
      <c r="C68" s="78"/>
      <c r="D68" s="78"/>
      <c r="E68" s="103">
        <f t="shared" si="13"/>
        <v>8.0000000000000018</v>
      </c>
      <c r="G68" s="32" t="s">
        <v>186</v>
      </c>
      <c r="H68" s="34">
        <f>IF(SUM(H67),SUM(H67),"")</f>
        <v>169.00000000000003</v>
      </c>
      <c r="I68" s="34">
        <f>IF(SUM(I67),SUM(I67),"")</f>
        <v>336</v>
      </c>
      <c r="J68" s="34" t="str">
        <f>IF(SUM(J67),SUM(J67),"")</f>
        <v/>
      </c>
      <c r="K68" s="34">
        <f>IF(SUM(K67:K67),SUM(K67:K67),"")</f>
        <v>505</v>
      </c>
    </row>
    <row r="69" spans="1:28" ht="12.75" customHeight="1" x14ac:dyDescent="0.25">
      <c r="A69" s="40" t="s">
        <v>60</v>
      </c>
      <c r="B69" s="80">
        <v>157</v>
      </c>
      <c r="C69" s="80"/>
      <c r="D69" s="80"/>
      <c r="E69" s="148">
        <f t="shared" si="13"/>
        <v>157</v>
      </c>
      <c r="G69" s="5"/>
      <c r="K69" s="25"/>
    </row>
    <row r="70" spans="1:28" ht="12.75" customHeight="1" x14ac:dyDescent="0.25">
      <c r="A70" s="32" t="s">
        <v>115</v>
      </c>
      <c r="B70" s="34">
        <f>IF(SUM(B66:B69),SUM(B66:B69),"")</f>
        <v>220</v>
      </c>
      <c r="C70" s="34" t="str">
        <f>IF(SUM(C66:C69),SUM(C66:C69),"")</f>
        <v/>
      </c>
      <c r="D70" s="34" t="str">
        <f>IF(SUM(D66:D69),SUM(D66:D69),"")</f>
        <v/>
      </c>
      <c r="E70" s="151">
        <f t="shared" ref="E70" si="14">IF(SUM(E66:E69),SUM(E66:E69),"")</f>
        <v>220</v>
      </c>
      <c r="G70" s="32" t="s">
        <v>121</v>
      </c>
      <c r="H70" s="34">
        <f>IF(SUM(B10,B17,B25,B33,B39,B50,B56,B63,B70,H9,H16,H22,H29,H36,H44,H50,H58,H64,H68),SUM(B10,B17,B25,B33,B39,B50,B56,B63,B70,H9,H16,H22,H29,H36,H44,H50,H58,H64,H68),"")</f>
        <v>2599</v>
      </c>
      <c r="I70" s="34">
        <f>IF(SUM(C10,C17,C25,C33,C39,C50,C56,C63,C70,I9,I16,I22,I29,I36,I44,I50,I58,I64,I68),SUM(C10,C17,C25,C33,C39,C50,C56,C63,C70,I9,I16,I22,I29,I36,I44,I50,I58,I64,I68),"")</f>
        <v>2542</v>
      </c>
      <c r="J70" s="34">
        <f>IF(SUM(D10,D17,D25,D33,D39,D50,D56,D63,D70,J9,J16,J22,J29,J36,J44,J50,J58,J64,J68),SUM(D10,D17,D25,D33,D39,D50,D56,D63,D70,J9,J16,J22,J29,J36,J44,J50,J58,J64,J68),"")</f>
        <v>2223</v>
      </c>
      <c r="K70" s="34">
        <f>IF(SUM(E10,E17,E25,E33,E39,E50,E56,E63,E70,K9,K16,K22,K29,K36,K44,K50,K58,K64,K68),SUM(E10,E17,E25,E33,E39,E50,E56,E63,E70,K9,K16,K22,K29,K36,K44,K50,K58,K64,K68),"")</f>
        <v>7364</v>
      </c>
    </row>
    <row r="71" spans="1:28" ht="16.5" thickBot="1" x14ac:dyDescent="0.3">
      <c r="A71" s="2"/>
      <c r="E71" s="1"/>
      <c r="F71" s="10"/>
      <c r="G71"/>
      <c r="H71" s="6"/>
      <c r="I71" s="6"/>
      <c r="J71" s="6"/>
      <c r="K71"/>
      <c r="N71" s="20"/>
      <c r="O71" s="20"/>
      <c r="P71" s="20"/>
      <c r="Q71" s="20"/>
      <c r="R71" s="20"/>
      <c r="W71" s="18"/>
      <c r="X71"/>
      <c r="Y71"/>
      <c r="Z71"/>
      <c r="AA71"/>
      <c r="AB71"/>
    </row>
    <row r="72" spans="1:28" ht="16.5" thickBot="1" x14ac:dyDescent="0.3">
      <c r="A72" s="200" t="s">
        <v>226</v>
      </c>
      <c r="B72" s="200"/>
      <c r="C72" s="200"/>
      <c r="D72" s="200"/>
      <c r="E72" s="200"/>
      <c r="F72" s="10"/>
      <c r="G72"/>
      <c r="H72"/>
      <c r="I72"/>
      <c r="J72"/>
      <c r="K72"/>
      <c r="N72" s="20"/>
      <c r="O72" s="20"/>
      <c r="P72" s="20"/>
      <c r="Q72" s="20"/>
      <c r="R72" s="20"/>
      <c r="W72" s="18"/>
      <c r="X72"/>
      <c r="Y72"/>
      <c r="Z72"/>
      <c r="AA72"/>
      <c r="AB72"/>
    </row>
    <row r="73" spans="1:28" ht="26.25" thickBot="1" x14ac:dyDescent="0.3">
      <c r="A73" s="51" t="s">
        <v>69</v>
      </c>
      <c r="B73" s="52" t="s">
        <v>92</v>
      </c>
      <c r="C73" s="53" t="s">
        <v>93</v>
      </c>
      <c r="D73" s="54" t="s">
        <v>153</v>
      </c>
      <c r="E73" s="55" t="s">
        <v>0</v>
      </c>
      <c r="F73" s="10"/>
      <c r="G73"/>
      <c r="H73"/>
      <c r="I73"/>
      <c r="J73"/>
      <c r="K73"/>
      <c r="L73" s="6"/>
      <c r="M73" s="6"/>
      <c r="N73" s="20"/>
      <c r="O73" s="20"/>
      <c r="P73" s="20"/>
      <c r="Q73" s="20"/>
      <c r="R73" s="20"/>
      <c r="W73" s="18"/>
      <c r="X73"/>
      <c r="Y73"/>
      <c r="Z73"/>
      <c r="AA73"/>
      <c r="AB73"/>
    </row>
    <row r="74" spans="1:28" ht="12.75" customHeight="1" x14ac:dyDescent="0.25">
      <c r="A74" s="49" t="s">
        <v>70</v>
      </c>
      <c r="B74" s="56">
        <v>321.00000000000011</v>
      </c>
      <c r="C74" s="56">
        <v>75</v>
      </c>
      <c r="D74" s="56">
        <v>320</v>
      </c>
      <c r="E74" s="35">
        <f t="shared" ref="E74:E85" si="15">IF(SUM(B74:D74),SUM(B74:D74),"")</f>
        <v>716.00000000000011</v>
      </c>
      <c r="F74" s="10"/>
      <c r="G74"/>
      <c r="H74"/>
      <c r="I74"/>
      <c r="J74"/>
      <c r="K74"/>
      <c r="N74" s="20"/>
      <c r="O74" s="20"/>
      <c r="P74" s="20"/>
      <c r="Q74" s="20"/>
      <c r="R74" s="20"/>
      <c r="W74" s="18"/>
      <c r="X74"/>
      <c r="Y74"/>
      <c r="Z74"/>
      <c r="AA74"/>
      <c r="AB74"/>
    </row>
    <row r="75" spans="1:28" ht="12.75" customHeight="1" x14ac:dyDescent="0.25">
      <c r="A75" s="48" t="s">
        <v>71</v>
      </c>
      <c r="B75" s="57">
        <v>511</v>
      </c>
      <c r="C75" s="57">
        <v>252</v>
      </c>
      <c r="D75" s="57">
        <v>481</v>
      </c>
      <c r="E75" s="42">
        <f t="shared" si="15"/>
        <v>1244</v>
      </c>
      <c r="F75" s="10"/>
      <c r="G75"/>
      <c r="H75"/>
      <c r="I75"/>
      <c r="J75"/>
      <c r="K75"/>
      <c r="N75" s="20"/>
      <c r="O75" s="20"/>
      <c r="P75" s="20"/>
      <c r="Q75" s="20"/>
      <c r="R75" s="20"/>
      <c r="W75" s="18"/>
      <c r="X75"/>
      <c r="Y75"/>
      <c r="Z75"/>
      <c r="AA75"/>
      <c r="AB75"/>
    </row>
    <row r="76" spans="1:28" ht="12.75" customHeight="1" x14ac:dyDescent="0.25">
      <c r="A76" s="49" t="s">
        <v>72</v>
      </c>
      <c r="B76" s="56">
        <v>388.99999999999994</v>
      </c>
      <c r="C76" s="56">
        <v>1243.9999999999998</v>
      </c>
      <c r="D76" s="56">
        <v>501</v>
      </c>
      <c r="E76" s="35">
        <f t="shared" si="15"/>
        <v>2134</v>
      </c>
      <c r="F76" s="10"/>
      <c r="G76"/>
      <c r="H76"/>
      <c r="I76"/>
      <c r="J76"/>
      <c r="K76"/>
      <c r="N76" s="20"/>
      <c r="O76" s="20"/>
      <c r="P76" s="20"/>
      <c r="Q76" s="20"/>
      <c r="R76" s="20"/>
      <c r="W76" s="18"/>
      <c r="X76"/>
      <c r="Y76"/>
      <c r="Z76"/>
      <c r="AA76"/>
      <c r="AB76"/>
    </row>
    <row r="77" spans="1:28" ht="12.75" customHeight="1" x14ac:dyDescent="0.25">
      <c r="A77" s="48" t="s">
        <v>73</v>
      </c>
      <c r="B77" s="57">
        <v>442.00000000000017</v>
      </c>
      <c r="C77" s="57">
        <v>195</v>
      </c>
      <c r="D77" s="57">
        <v>59</v>
      </c>
      <c r="E77" s="42">
        <f>IF(SUM(B77:D77),SUM(B77:D77),"")</f>
        <v>696.00000000000023</v>
      </c>
      <c r="F77" s="10"/>
      <c r="G77"/>
      <c r="H77"/>
      <c r="I77"/>
      <c r="J77"/>
      <c r="K77"/>
      <c r="N77" s="20"/>
      <c r="O77" s="20"/>
      <c r="P77" s="20"/>
      <c r="Q77" s="20"/>
      <c r="R77" s="20"/>
      <c r="W77" s="18"/>
      <c r="X77"/>
      <c r="Y77"/>
      <c r="Z77"/>
      <c r="AA77"/>
      <c r="AB77"/>
    </row>
    <row r="78" spans="1:28" ht="12.75" customHeight="1" x14ac:dyDescent="0.25">
      <c r="A78" s="49" t="s">
        <v>74</v>
      </c>
      <c r="B78" s="56">
        <v>472.00000000000051</v>
      </c>
      <c r="C78" s="56">
        <v>158</v>
      </c>
      <c r="D78" s="56"/>
      <c r="E78" s="35">
        <f>IF(SUM(B78:D78),SUM(B78:D78),"")</f>
        <v>630.00000000000045</v>
      </c>
      <c r="F78" s="10"/>
      <c r="G78"/>
      <c r="H78"/>
      <c r="I78"/>
      <c r="J78"/>
      <c r="K78"/>
      <c r="N78" s="20"/>
      <c r="O78" s="20"/>
      <c r="P78" s="20"/>
      <c r="Q78" s="20"/>
      <c r="R78" s="20"/>
      <c r="W78" s="18"/>
      <c r="X78"/>
      <c r="Y78"/>
      <c r="Z78"/>
      <c r="AA78"/>
      <c r="AB78"/>
    </row>
    <row r="79" spans="1:28" ht="12.75" customHeight="1" x14ac:dyDescent="0.25">
      <c r="A79" s="48" t="s">
        <v>75</v>
      </c>
      <c r="B79" s="57">
        <v>464.00000000000006</v>
      </c>
      <c r="C79" s="57">
        <v>618</v>
      </c>
      <c r="D79" s="57">
        <v>862.00000000000011</v>
      </c>
      <c r="E79" s="42">
        <f>IF(SUM(B79:D79),SUM(B79:D79),"")</f>
        <v>1944</v>
      </c>
      <c r="F79" s="10"/>
      <c r="G79"/>
      <c r="H79"/>
      <c r="I79"/>
      <c r="J79"/>
      <c r="K79"/>
      <c r="N79" s="20"/>
      <c r="O79" s="20"/>
      <c r="P79" s="20"/>
      <c r="Q79" s="20"/>
      <c r="R79" s="20"/>
      <c r="W79" s="18"/>
      <c r="X79"/>
      <c r="Y79"/>
      <c r="Z79"/>
      <c r="AA79"/>
      <c r="AB79"/>
    </row>
    <row r="80" spans="1:28" ht="12.75" customHeight="1" x14ac:dyDescent="0.25">
      <c r="A80" s="49" t="s">
        <v>76</v>
      </c>
      <c r="B80" s="56"/>
      <c r="C80" s="56"/>
      <c r="D80" s="56"/>
      <c r="E80" s="35" t="str">
        <f t="shared" si="15"/>
        <v/>
      </c>
      <c r="F80" s="10"/>
      <c r="G80"/>
      <c r="H80"/>
      <c r="I80"/>
      <c r="J80"/>
      <c r="K80"/>
      <c r="N80" s="20"/>
      <c r="O80" s="20"/>
      <c r="P80" s="20"/>
      <c r="Q80" s="20"/>
      <c r="R80" s="20"/>
      <c r="W80" s="18"/>
      <c r="X80"/>
      <c r="Y80"/>
      <c r="Z80"/>
      <c r="AA80"/>
      <c r="AB80"/>
    </row>
    <row r="81" spans="1:5" ht="12.75" customHeight="1" x14ac:dyDescent="0.25">
      <c r="A81" s="48" t="s">
        <v>77</v>
      </c>
      <c r="B81" s="57"/>
      <c r="C81" s="57"/>
      <c r="D81" s="57"/>
      <c r="E81" s="42" t="str">
        <f t="shared" si="15"/>
        <v/>
      </c>
    </row>
    <row r="82" spans="1:5" ht="12.75" customHeight="1" x14ac:dyDescent="0.25">
      <c r="A82" s="49" t="s">
        <v>78</v>
      </c>
      <c r="B82" s="56"/>
      <c r="C82" s="56"/>
      <c r="D82" s="56"/>
      <c r="E82" s="35" t="str">
        <f t="shared" si="15"/>
        <v/>
      </c>
    </row>
    <row r="83" spans="1:5" ht="12.75" customHeight="1" x14ac:dyDescent="0.25">
      <c r="A83" s="48" t="s">
        <v>79</v>
      </c>
      <c r="B83" s="57"/>
      <c r="C83" s="57"/>
      <c r="D83" s="57"/>
      <c r="E83" s="42" t="str">
        <f t="shared" si="15"/>
        <v/>
      </c>
    </row>
    <row r="84" spans="1:5" ht="12.75" customHeight="1" x14ac:dyDescent="0.25">
      <c r="A84" s="49" t="s">
        <v>80</v>
      </c>
      <c r="B84" s="56"/>
      <c r="C84" s="56"/>
      <c r="D84" s="56"/>
      <c r="E84" s="35" t="str">
        <f t="shared" si="15"/>
        <v/>
      </c>
    </row>
    <row r="85" spans="1:5" ht="12.75" customHeight="1" x14ac:dyDescent="0.25">
      <c r="A85" s="48" t="s">
        <v>81</v>
      </c>
      <c r="B85" s="57"/>
      <c r="C85" s="57"/>
      <c r="D85" s="57"/>
      <c r="E85" s="42" t="str">
        <f t="shared" si="15"/>
        <v/>
      </c>
    </row>
    <row r="86" spans="1:5" ht="12.75" customHeight="1" x14ac:dyDescent="0.25">
      <c r="A86" s="46" t="s">
        <v>0</v>
      </c>
      <c r="B86" s="47">
        <f>IF(SUM(B74:B85),SUM(B74:B85),"")</f>
        <v>2599.0000000000009</v>
      </c>
      <c r="C86" s="47">
        <f>IF(SUM(C74:C85),SUM(C74:C85),"")</f>
        <v>2542</v>
      </c>
      <c r="D86" s="47">
        <f>IF(SUM(D74:D85),SUM(D74:D85),"")</f>
        <v>2223</v>
      </c>
      <c r="E86" s="47">
        <f>IF(SUM(E74:E85),SUM(E74:E85),"")</f>
        <v>7364</v>
      </c>
    </row>
  </sheetData>
  <mergeCells count="8">
    <mergeCell ref="A72:E72"/>
    <mergeCell ref="K3:K4"/>
    <mergeCell ref="A2:K2"/>
    <mergeCell ref="A3:A4"/>
    <mergeCell ref="B3:D3"/>
    <mergeCell ref="E3:E4"/>
    <mergeCell ref="G3:G4"/>
    <mergeCell ref="H3:J3"/>
  </mergeCells>
  <phoneticPr fontId="0" type="noConversion"/>
  <printOptions horizontalCentered="1"/>
  <pageMargins left="0.27559055118110237" right="0.27559055118110237" top="0.2" bottom="0.31496062992125984" header="0.16" footer="0.51181102362204722"/>
  <pageSetup paperSize="9" scale="6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84997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161925</xdr:rowOff>
              </from>
              <to>
                <xdr:col>0</xdr:col>
                <xdr:colOff>752475</xdr:colOff>
                <xdr:row>0</xdr:row>
                <xdr:rowOff>561975</xdr:rowOff>
              </to>
            </anchor>
          </objectPr>
        </oleObject>
      </mc:Choice>
      <mc:Fallback>
        <oleObject shapeId="8499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B1:R94"/>
  <sheetViews>
    <sheetView showGridLines="0" view="pageBreakPreview" topLeftCell="A13" zoomScale="80" zoomScaleNormal="70" zoomScaleSheetLayoutView="80" workbookViewId="0">
      <selection activeCell="V30" sqref="V30"/>
    </sheetView>
  </sheetViews>
  <sheetFormatPr defaultColWidth="11" defaultRowHeight="12.75" x14ac:dyDescent="0.2"/>
  <cols>
    <col min="1" max="1" width="5.125" style="1" customWidth="1"/>
    <col min="2" max="2" width="10.125" style="1" customWidth="1"/>
    <col min="3" max="8" width="7.5" style="1" customWidth="1"/>
    <col min="9" max="9" width="6.125" style="1" customWidth="1"/>
    <col min="10" max="14" width="7.5" style="1" customWidth="1"/>
    <col min="15" max="15" width="8.5" style="1" customWidth="1"/>
    <col min="16" max="16" width="1.375" style="1" customWidth="1"/>
    <col min="17" max="18" width="11" style="1" customWidth="1"/>
    <col min="19" max="16384" width="11" style="1"/>
  </cols>
  <sheetData>
    <row r="1" spans="2:15" ht="82.5" customHeight="1" x14ac:dyDescent="0.2"/>
    <row r="2" spans="2:15" ht="15" customHeight="1" x14ac:dyDescent="0.2"/>
    <row r="3" spans="2:15" ht="15" customHeight="1" x14ac:dyDescent="0.2"/>
    <row r="4" spans="2:15" ht="15" customHeight="1" x14ac:dyDescent="0.2"/>
    <row r="5" spans="2:15" ht="15" customHeight="1" thickBot="1" x14ac:dyDescent="0.25"/>
    <row r="6" spans="2:15" ht="19.5" customHeight="1" thickBot="1" x14ac:dyDescent="0.25">
      <c r="B6" s="200" t="s">
        <v>227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</row>
    <row r="7" spans="2:15" ht="18" customHeight="1" thickBot="1" x14ac:dyDescent="0.25">
      <c r="B7" s="201" t="s">
        <v>69</v>
      </c>
      <c r="C7" s="203" t="s">
        <v>165</v>
      </c>
      <c r="D7" s="204"/>
      <c r="E7" s="204"/>
      <c r="F7" s="205"/>
      <c r="G7" s="203" t="s">
        <v>166</v>
      </c>
      <c r="H7" s="204"/>
      <c r="I7" s="204"/>
      <c r="J7" s="205"/>
      <c r="K7" s="203" t="s">
        <v>218</v>
      </c>
      <c r="L7" s="204"/>
      <c r="M7" s="204"/>
      <c r="N7" s="205"/>
      <c r="O7" s="206" t="s">
        <v>0</v>
      </c>
    </row>
    <row r="8" spans="2:15" ht="17.25" customHeight="1" thickBot="1" x14ac:dyDescent="0.25">
      <c r="B8" s="202"/>
      <c r="C8" s="43" t="s">
        <v>94</v>
      </c>
      <c r="D8" s="44" t="s">
        <v>95</v>
      </c>
      <c r="E8" s="44" t="s">
        <v>96</v>
      </c>
      <c r="F8" s="44" t="s">
        <v>105</v>
      </c>
      <c r="G8" s="43" t="s">
        <v>102</v>
      </c>
      <c r="H8" s="44" t="s">
        <v>104</v>
      </c>
      <c r="I8" s="44" t="s">
        <v>106</v>
      </c>
      <c r="J8" s="44" t="s">
        <v>103</v>
      </c>
      <c r="K8" s="43" t="s">
        <v>214</v>
      </c>
      <c r="L8" s="44" t="s">
        <v>215</v>
      </c>
      <c r="M8" s="44" t="s">
        <v>219</v>
      </c>
      <c r="N8" s="44" t="s">
        <v>217</v>
      </c>
      <c r="O8" s="207"/>
    </row>
    <row r="9" spans="2:15" x14ac:dyDescent="0.2">
      <c r="B9" s="49" t="s">
        <v>70</v>
      </c>
      <c r="C9" s="56">
        <v>5</v>
      </c>
      <c r="D9" s="56">
        <v>133</v>
      </c>
      <c r="E9" s="56">
        <v>48.000000000000014</v>
      </c>
      <c r="F9" s="56">
        <v>3</v>
      </c>
      <c r="G9" s="56">
        <v>83</v>
      </c>
      <c r="H9" s="56"/>
      <c r="I9" s="56"/>
      <c r="J9" s="56"/>
      <c r="K9" s="183">
        <v>96.999999999999986</v>
      </c>
      <c r="L9" s="183"/>
      <c r="M9" s="183">
        <v>14</v>
      </c>
      <c r="N9" s="183">
        <v>333</v>
      </c>
      <c r="O9" s="185">
        <f>IF(SUM(C9:N9),SUM(C9:N9),"")</f>
        <v>716</v>
      </c>
    </row>
    <row r="10" spans="2:15" x14ac:dyDescent="0.2">
      <c r="B10" s="48" t="s">
        <v>71</v>
      </c>
      <c r="C10" s="57">
        <v>2</v>
      </c>
      <c r="D10" s="57">
        <v>294.00000000000011</v>
      </c>
      <c r="E10" s="57">
        <v>117</v>
      </c>
      <c r="F10" s="57">
        <v>2</v>
      </c>
      <c r="G10" s="57">
        <v>125.99999999999997</v>
      </c>
      <c r="H10" s="57"/>
      <c r="I10" s="57"/>
      <c r="J10" s="57"/>
      <c r="K10" s="184">
        <v>88</v>
      </c>
      <c r="L10" s="184">
        <v>410</v>
      </c>
      <c r="M10" s="184">
        <v>9</v>
      </c>
      <c r="N10" s="184">
        <v>196.00000000000003</v>
      </c>
      <c r="O10" s="186">
        <f>IF(SUM(C10:N10),SUM(C10:N10),"")</f>
        <v>1244</v>
      </c>
    </row>
    <row r="11" spans="2:15" x14ac:dyDescent="0.2">
      <c r="B11" s="49" t="s">
        <v>72</v>
      </c>
      <c r="C11" s="56">
        <v>1</v>
      </c>
      <c r="D11" s="56">
        <v>165.99999999999997</v>
      </c>
      <c r="E11" s="56">
        <v>305.00000000000011</v>
      </c>
      <c r="F11" s="56">
        <v>243</v>
      </c>
      <c r="G11" s="56">
        <v>200</v>
      </c>
      <c r="H11" s="56"/>
      <c r="I11" s="56"/>
      <c r="J11" s="56"/>
      <c r="K11" s="183">
        <v>101.00000000000004</v>
      </c>
      <c r="L11" s="183"/>
      <c r="M11" s="183">
        <v>212</v>
      </c>
      <c r="N11" s="183">
        <v>906</v>
      </c>
      <c r="O11" s="185">
        <f t="shared" ref="O11:O20" si="0">IF(SUM(C11:N11),SUM(C11:N11),"")</f>
        <v>2134</v>
      </c>
    </row>
    <row r="12" spans="2:15" x14ac:dyDescent="0.2">
      <c r="B12" s="48" t="s">
        <v>73</v>
      </c>
      <c r="C12" s="57">
        <v>5</v>
      </c>
      <c r="D12" s="57">
        <v>154</v>
      </c>
      <c r="E12" s="57">
        <v>197.99999999999997</v>
      </c>
      <c r="F12" s="57">
        <v>4</v>
      </c>
      <c r="G12" s="57">
        <v>48</v>
      </c>
      <c r="H12" s="57"/>
      <c r="I12" s="57"/>
      <c r="J12" s="57"/>
      <c r="K12" s="184">
        <v>182</v>
      </c>
      <c r="L12" s="184"/>
      <c r="M12" s="184">
        <v>14</v>
      </c>
      <c r="N12" s="184">
        <v>91</v>
      </c>
      <c r="O12" s="186">
        <f>IF(SUM(C12:N12),SUM(C12:N12),"")</f>
        <v>696</v>
      </c>
    </row>
    <row r="13" spans="2:15" x14ac:dyDescent="0.2">
      <c r="B13" s="49" t="s">
        <v>74</v>
      </c>
      <c r="C13" s="56">
        <v>5</v>
      </c>
      <c r="D13" s="56">
        <v>82.999999999999986</v>
      </c>
      <c r="E13" s="56">
        <v>147.00000000000003</v>
      </c>
      <c r="F13" s="56">
        <v>94</v>
      </c>
      <c r="G13" s="56">
        <v>89</v>
      </c>
      <c r="H13" s="56"/>
      <c r="I13" s="56"/>
      <c r="J13" s="56"/>
      <c r="K13" s="183">
        <v>93.000000000000014</v>
      </c>
      <c r="L13" s="183"/>
      <c r="M13" s="183">
        <v>111.99999999999999</v>
      </c>
      <c r="N13" s="183">
        <v>7</v>
      </c>
      <c r="O13" s="185">
        <f t="shared" si="0"/>
        <v>630</v>
      </c>
    </row>
    <row r="14" spans="2:15" x14ac:dyDescent="0.2">
      <c r="B14" s="48" t="s">
        <v>75</v>
      </c>
      <c r="C14" s="57">
        <v>6</v>
      </c>
      <c r="D14" s="57">
        <v>198.00000000000006</v>
      </c>
      <c r="E14" s="57">
        <v>144</v>
      </c>
      <c r="F14" s="57">
        <v>6</v>
      </c>
      <c r="G14" s="57">
        <v>119</v>
      </c>
      <c r="H14" s="57"/>
      <c r="I14" s="57"/>
      <c r="J14" s="57">
        <v>264</v>
      </c>
      <c r="K14" s="184">
        <v>123.99999999999996</v>
      </c>
      <c r="L14" s="184">
        <v>177</v>
      </c>
      <c r="M14" s="184">
        <v>96</v>
      </c>
      <c r="N14" s="184">
        <v>810.00000000000023</v>
      </c>
      <c r="O14" s="186">
        <f>IF(SUM(C14:N14),SUM(C14:N14),"")</f>
        <v>1944.0000000000002</v>
      </c>
    </row>
    <row r="15" spans="2:15" x14ac:dyDescent="0.2">
      <c r="B15" s="49" t="s">
        <v>76</v>
      </c>
      <c r="C15" s="82"/>
      <c r="D15" s="82"/>
      <c r="E15" s="82"/>
      <c r="F15" s="82"/>
      <c r="G15" s="82"/>
      <c r="H15" s="82"/>
      <c r="I15" s="82"/>
      <c r="J15" s="56"/>
      <c r="K15" s="183"/>
      <c r="L15" s="183"/>
      <c r="M15" s="183"/>
      <c r="N15" s="183"/>
      <c r="O15" s="185" t="str">
        <f t="shared" si="0"/>
        <v/>
      </c>
    </row>
    <row r="16" spans="2:15" x14ac:dyDescent="0.2">
      <c r="B16" s="48" t="s">
        <v>77</v>
      </c>
      <c r="C16" s="57"/>
      <c r="D16" s="57"/>
      <c r="E16" s="57"/>
      <c r="F16" s="57"/>
      <c r="G16" s="57"/>
      <c r="H16" s="57"/>
      <c r="I16" s="57"/>
      <c r="J16" s="57"/>
      <c r="K16" s="184"/>
      <c r="L16" s="184"/>
      <c r="M16" s="184"/>
      <c r="N16" s="184"/>
      <c r="O16" s="186" t="str">
        <f t="shared" si="0"/>
        <v/>
      </c>
    </row>
    <row r="17" spans="2:17" x14ac:dyDescent="0.2">
      <c r="B17" s="49" t="s">
        <v>78</v>
      </c>
      <c r="C17" s="56"/>
      <c r="D17" s="56"/>
      <c r="E17" s="56"/>
      <c r="F17" s="56"/>
      <c r="G17" s="56"/>
      <c r="H17" s="56"/>
      <c r="I17" s="56"/>
      <c r="J17" s="56"/>
      <c r="K17" s="183"/>
      <c r="L17" s="183"/>
      <c r="M17" s="183"/>
      <c r="N17" s="183"/>
      <c r="O17" s="185" t="str">
        <f t="shared" si="0"/>
        <v/>
      </c>
    </row>
    <row r="18" spans="2:17" x14ac:dyDescent="0.2">
      <c r="B18" s="48" t="s">
        <v>79</v>
      </c>
      <c r="C18" s="57"/>
      <c r="D18" s="57"/>
      <c r="E18" s="57"/>
      <c r="F18" s="57"/>
      <c r="G18" s="57"/>
      <c r="H18" s="57"/>
      <c r="I18" s="57"/>
      <c r="J18" s="57"/>
      <c r="K18" s="184"/>
      <c r="L18" s="184"/>
      <c r="M18" s="184"/>
      <c r="N18" s="184"/>
      <c r="O18" s="186" t="str">
        <f t="shared" si="0"/>
        <v/>
      </c>
    </row>
    <row r="19" spans="2:17" x14ac:dyDescent="0.2">
      <c r="B19" s="49" t="s">
        <v>80</v>
      </c>
      <c r="C19" s="63"/>
      <c r="D19" s="63"/>
      <c r="E19" s="63"/>
      <c r="F19" s="63"/>
      <c r="G19" s="56"/>
      <c r="H19" s="63"/>
      <c r="I19" s="63"/>
      <c r="J19" s="56"/>
      <c r="K19" s="183"/>
      <c r="L19" s="183"/>
      <c r="M19" s="183"/>
      <c r="N19" s="183"/>
      <c r="O19" s="185" t="str">
        <f t="shared" si="0"/>
        <v/>
      </c>
    </row>
    <row r="20" spans="2:17" x14ac:dyDescent="0.2">
      <c r="B20" s="48" t="s">
        <v>81</v>
      </c>
      <c r="C20" s="57"/>
      <c r="D20" s="57"/>
      <c r="E20" s="57"/>
      <c r="F20" s="57"/>
      <c r="G20" s="57"/>
      <c r="H20" s="57"/>
      <c r="I20" s="57"/>
      <c r="J20" s="57"/>
      <c r="K20" s="184"/>
      <c r="L20" s="184"/>
      <c r="M20" s="184"/>
      <c r="N20" s="184"/>
      <c r="O20" s="186" t="str">
        <f t="shared" si="0"/>
        <v/>
      </c>
    </row>
    <row r="21" spans="2:17" ht="18" customHeight="1" x14ac:dyDescent="0.2">
      <c r="B21" s="46" t="s">
        <v>0</v>
      </c>
      <c r="C21" s="47">
        <f t="shared" ref="C21:O21" si="1">IF(SUM(C9:C20),SUM(C9:C20),"")</f>
        <v>24</v>
      </c>
      <c r="D21" s="47">
        <f t="shared" si="1"/>
        <v>1028.0000000000002</v>
      </c>
      <c r="E21" s="47">
        <f t="shared" si="1"/>
        <v>959.00000000000011</v>
      </c>
      <c r="F21" s="47">
        <f t="shared" si="1"/>
        <v>352</v>
      </c>
      <c r="G21" s="47">
        <f t="shared" si="1"/>
        <v>665</v>
      </c>
      <c r="H21" s="47" t="str">
        <f t="shared" si="1"/>
        <v/>
      </c>
      <c r="I21" s="47" t="str">
        <f t="shared" si="1"/>
        <v/>
      </c>
      <c r="J21" s="47">
        <f t="shared" si="1"/>
        <v>264</v>
      </c>
      <c r="K21" s="47">
        <f t="shared" si="1"/>
        <v>685.00000000000011</v>
      </c>
      <c r="L21" s="47">
        <f t="shared" si="1"/>
        <v>587</v>
      </c>
      <c r="M21" s="47">
        <f t="shared" si="1"/>
        <v>457</v>
      </c>
      <c r="N21" s="47">
        <f t="shared" si="1"/>
        <v>2343</v>
      </c>
      <c r="O21" s="47">
        <f t="shared" si="1"/>
        <v>7364</v>
      </c>
    </row>
    <row r="22" spans="2:17" ht="6" customHeight="1" thickBot="1" x14ac:dyDescent="0.25"/>
    <row r="23" spans="2:17" ht="19.5" customHeight="1" thickBot="1" x14ac:dyDescent="0.25">
      <c r="B23" s="200" t="s">
        <v>228</v>
      </c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</row>
    <row r="24" spans="2:17" ht="18" customHeight="1" thickBot="1" x14ac:dyDescent="0.25">
      <c r="B24" s="201" t="s">
        <v>69</v>
      </c>
      <c r="C24" s="203" t="s">
        <v>167</v>
      </c>
      <c r="D24" s="204"/>
      <c r="E24" s="204"/>
      <c r="F24" s="205"/>
      <c r="G24" s="203" t="s">
        <v>166</v>
      </c>
      <c r="H24" s="204"/>
      <c r="I24" s="204"/>
      <c r="J24" s="205"/>
      <c r="K24" s="203" t="s">
        <v>218</v>
      </c>
      <c r="L24" s="204"/>
      <c r="M24" s="204"/>
      <c r="N24" s="205"/>
      <c r="O24" s="206" t="s">
        <v>0</v>
      </c>
    </row>
    <row r="25" spans="2:17" ht="18" customHeight="1" thickBot="1" x14ac:dyDescent="0.25">
      <c r="B25" s="202"/>
      <c r="C25" s="43" t="s">
        <v>94</v>
      </c>
      <c r="D25" s="44" t="s">
        <v>95</v>
      </c>
      <c r="E25" s="44" t="s">
        <v>96</v>
      </c>
      <c r="F25" s="45" t="s">
        <v>105</v>
      </c>
      <c r="G25" s="43" t="s">
        <v>102</v>
      </c>
      <c r="H25" s="44" t="s">
        <v>104</v>
      </c>
      <c r="I25" s="58" t="s">
        <v>106</v>
      </c>
      <c r="J25" s="50" t="s">
        <v>103</v>
      </c>
      <c r="K25" s="43" t="s">
        <v>214</v>
      </c>
      <c r="L25" s="44" t="s">
        <v>215</v>
      </c>
      <c r="M25" s="44" t="s">
        <v>219</v>
      </c>
      <c r="N25" s="44" t="s">
        <v>217</v>
      </c>
      <c r="O25" s="207"/>
    </row>
    <row r="26" spans="2:17" x14ac:dyDescent="0.2">
      <c r="B26" s="49" t="s">
        <v>70</v>
      </c>
      <c r="C26" s="56">
        <v>2876.36</v>
      </c>
      <c r="D26" s="56">
        <v>17838.080000000005</v>
      </c>
      <c r="E26" s="56">
        <v>7970.37</v>
      </c>
      <c r="F26" s="56">
        <v>268.78999999999996</v>
      </c>
      <c r="G26" s="56">
        <v>5519.58</v>
      </c>
      <c r="H26" s="56"/>
      <c r="I26" s="56"/>
      <c r="J26" s="56"/>
      <c r="K26" s="183">
        <v>5670.75</v>
      </c>
      <c r="L26" s="183"/>
      <c r="M26" s="183">
        <v>2017.55</v>
      </c>
      <c r="N26" s="183">
        <v>2838.3</v>
      </c>
      <c r="O26" s="35">
        <f>IF(SUM(C26:N26),SUM(C26:N26),"")</f>
        <v>44999.780000000013</v>
      </c>
    </row>
    <row r="27" spans="2:17" x14ac:dyDescent="0.2">
      <c r="B27" s="48" t="s">
        <v>71</v>
      </c>
      <c r="C27" s="57">
        <v>680.85</v>
      </c>
      <c r="D27" s="57">
        <v>22405.050000000003</v>
      </c>
      <c r="E27" s="57">
        <v>9864.23</v>
      </c>
      <c r="F27" s="57">
        <v>1404.21</v>
      </c>
      <c r="G27" s="57">
        <v>13524.9</v>
      </c>
      <c r="H27" s="57"/>
      <c r="I27" s="57"/>
      <c r="J27" s="57"/>
      <c r="K27" s="184">
        <v>5678.3399999999983</v>
      </c>
      <c r="L27" s="184">
        <v>13282.650000000001</v>
      </c>
      <c r="M27" s="184">
        <v>1772.3</v>
      </c>
      <c r="N27" s="184">
        <v>10375.560000000001</v>
      </c>
      <c r="O27" s="42">
        <f t="shared" ref="O27:O36" si="2">IF(SUM(C27:N27),SUM(C27:N27),"")</f>
        <v>78988.090000000011</v>
      </c>
      <c r="Q27" s="70"/>
    </row>
    <row r="28" spans="2:17" x14ac:dyDescent="0.2">
      <c r="B28" s="49" t="s">
        <v>72</v>
      </c>
      <c r="C28" s="56">
        <v>546.22</v>
      </c>
      <c r="D28" s="56">
        <v>19233.629999999997</v>
      </c>
      <c r="E28" s="56">
        <v>44898.47</v>
      </c>
      <c r="F28" s="56">
        <v>12927.320000000003</v>
      </c>
      <c r="G28" s="56">
        <v>26183.059999999998</v>
      </c>
      <c r="H28" s="56"/>
      <c r="I28" s="56"/>
      <c r="J28" s="56"/>
      <c r="K28" s="183">
        <v>5374.13</v>
      </c>
      <c r="L28" s="183"/>
      <c r="M28" s="183">
        <v>22087.59</v>
      </c>
      <c r="N28" s="183">
        <v>65622.520000000019</v>
      </c>
      <c r="O28" s="35">
        <f>IF(SUM(C28:N28),SUM(C28:N28),"")</f>
        <v>196872.94000000003</v>
      </c>
      <c r="P28" s="3"/>
      <c r="Q28" s="70"/>
    </row>
    <row r="29" spans="2:17" x14ac:dyDescent="0.2">
      <c r="B29" s="48" t="s">
        <v>73</v>
      </c>
      <c r="C29" s="57">
        <v>1461.78</v>
      </c>
      <c r="D29" s="57">
        <v>20161.96000000001</v>
      </c>
      <c r="E29" s="57">
        <v>21045.089999999997</v>
      </c>
      <c r="F29" s="57">
        <v>454.09000000000003</v>
      </c>
      <c r="G29" s="57">
        <v>7810.0199999999995</v>
      </c>
      <c r="H29" s="57"/>
      <c r="I29" s="57"/>
      <c r="J29" s="57"/>
      <c r="K29" s="184">
        <v>10996.57</v>
      </c>
      <c r="L29" s="184"/>
      <c r="M29" s="184">
        <v>1815.7799999999997</v>
      </c>
      <c r="N29" s="184">
        <v>10053.35</v>
      </c>
      <c r="O29" s="42">
        <f t="shared" si="2"/>
        <v>73798.64</v>
      </c>
      <c r="Q29" s="70"/>
    </row>
    <row r="30" spans="2:17" x14ac:dyDescent="0.2">
      <c r="B30" s="49" t="s">
        <v>74</v>
      </c>
      <c r="C30" s="56">
        <v>1769.2399999999998</v>
      </c>
      <c r="D30" s="56">
        <v>10267.819999999998</v>
      </c>
      <c r="E30" s="56">
        <v>34730.099999999984</v>
      </c>
      <c r="F30" s="56">
        <v>2467.37</v>
      </c>
      <c r="G30" s="56">
        <v>11421.07</v>
      </c>
      <c r="H30" s="56"/>
      <c r="I30" s="56"/>
      <c r="J30" s="56"/>
      <c r="K30" s="183">
        <v>7007.0100000000011</v>
      </c>
      <c r="L30" s="183"/>
      <c r="M30" s="183">
        <v>2332.5699999999997</v>
      </c>
      <c r="N30" s="183">
        <v>1772.1899999999998</v>
      </c>
      <c r="O30" s="35">
        <f t="shared" si="2"/>
        <v>71767.37</v>
      </c>
      <c r="P30" s="3"/>
      <c r="Q30" s="70"/>
    </row>
    <row r="31" spans="2:17" x14ac:dyDescent="0.2">
      <c r="B31" s="48" t="s">
        <v>75</v>
      </c>
      <c r="C31" s="57">
        <v>2332.67</v>
      </c>
      <c r="D31" s="57">
        <v>19647.440000000002</v>
      </c>
      <c r="E31" s="57">
        <v>13127.769999999997</v>
      </c>
      <c r="F31" s="57">
        <v>719.90999999999985</v>
      </c>
      <c r="G31" s="57">
        <v>9472.1400000000012</v>
      </c>
      <c r="H31" s="57"/>
      <c r="I31" s="57"/>
      <c r="J31" s="57">
        <v>13732.61</v>
      </c>
      <c r="K31" s="184">
        <v>7958.73</v>
      </c>
      <c r="L31" s="184">
        <v>11108.14</v>
      </c>
      <c r="M31" s="184">
        <v>8106.5099999999993</v>
      </c>
      <c r="N31" s="184">
        <v>65083.260000000009</v>
      </c>
      <c r="O31" s="42">
        <f t="shared" si="2"/>
        <v>151289.18</v>
      </c>
      <c r="Q31" s="70"/>
    </row>
    <row r="32" spans="2:17" x14ac:dyDescent="0.2">
      <c r="B32" s="49" t="s">
        <v>76</v>
      </c>
      <c r="C32" s="56"/>
      <c r="D32" s="56"/>
      <c r="E32" s="56"/>
      <c r="F32" s="56"/>
      <c r="G32" s="56"/>
      <c r="H32" s="56"/>
      <c r="I32" s="56"/>
      <c r="J32" s="56"/>
      <c r="K32" s="183"/>
      <c r="L32" s="183"/>
      <c r="M32" s="183"/>
      <c r="N32" s="183"/>
      <c r="O32" s="35" t="str">
        <f t="shared" si="2"/>
        <v/>
      </c>
      <c r="Q32" s="70"/>
    </row>
    <row r="33" spans="2:18" x14ac:dyDescent="0.2">
      <c r="B33" s="48" t="s">
        <v>77</v>
      </c>
      <c r="C33" s="57"/>
      <c r="D33" s="57"/>
      <c r="E33" s="57"/>
      <c r="F33" s="57"/>
      <c r="G33" s="57"/>
      <c r="H33" s="57"/>
      <c r="I33" s="57"/>
      <c r="J33" s="57"/>
      <c r="K33" s="184"/>
      <c r="L33" s="184"/>
      <c r="M33" s="184"/>
      <c r="N33" s="184"/>
      <c r="O33" s="42" t="str">
        <f t="shared" si="2"/>
        <v/>
      </c>
      <c r="Q33" s="62"/>
      <c r="R33" s="62"/>
    </row>
    <row r="34" spans="2:18" x14ac:dyDescent="0.2">
      <c r="B34" s="49" t="s">
        <v>78</v>
      </c>
      <c r="C34" s="56"/>
      <c r="D34" s="56"/>
      <c r="E34" s="56"/>
      <c r="F34" s="56"/>
      <c r="G34" s="56"/>
      <c r="H34" s="56"/>
      <c r="I34" s="56"/>
      <c r="J34" s="56"/>
      <c r="K34" s="183"/>
      <c r="L34" s="183"/>
      <c r="M34" s="183"/>
      <c r="N34" s="183"/>
      <c r="O34" s="35" t="str">
        <f t="shared" si="2"/>
        <v/>
      </c>
      <c r="Q34" s="62"/>
      <c r="R34" s="62"/>
    </row>
    <row r="35" spans="2:18" x14ac:dyDescent="0.2">
      <c r="B35" s="48" t="s">
        <v>79</v>
      </c>
      <c r="C35" s="57"/>
      <c r="D35" s="57"/>
      <c r="E35" s="57"/>
      <c r="F35" s="57"/>
      <c r="G35" s="57"/>
      <c r="H35" s="57"/>
      <c r="I35" s="57"/>
      <c r="J35" s="57"/>
      <c r="K35" s="184"/>
      <c r="L35" s="184"/>
      <c r="M35" s="184"/>
      <c r="N35" s="184"/>
      <c r="O35" s="42" t="str">
        <f t="shared" si="2"/>
        <v/>
      </c>
    </row>
    <row r="36" spans="2:18" x14ac:dyDescent="0.2">
      <c r="B36" s="49" t="s">
        <v>80</v>
      </c>
      <c r="C36" s="63"/>
      <c r="D36" s="63"/>
      <c r="E36" s="63"/>
      <c r="F36" s="63"/>
      <c r="G36" s="56"/>
      <c r="H36" s="63"/>
      <c r="I36" s="63"/>
      <c r="J36" s="56"/>
      <c r="K36" s="183"/>
      <c r="L36" s="183"/>
      <c r="M36" s="183"/>
      <c r="N36" s="183"/>
      <c r="O36" s="35" t="str">
        <f t="shared" si="2"/>
        <v/>
      </c>
      <c r="Q36" s="83"/>
      <c r="R36" s="62"/>
    </row>
    <row r="37" spans="2:18" x14ac:dyDescent="0.2">
      <c r="B37" s="48" t="s">
        <v>81</v>
      </c>
      <c r="C37" s="57"/>
      <c r="D37" s="57"/>
      <c r="E37" s="57"/>
      <c r="F37" s="57"/>
      <c r="G37" s="57"/>
      <c r="H37" s="57"/>
      <c r="I37" s="57"/>
      <c r="J37" s="57"/>
      <c r="K37" s="184"/>
      <c r="L37" s="184"/>
      <c r="M37" s="184"/>
      <c r="N37" s="184"/>
      <c r="O37" s="42" t="str">
        <f>IF(SUM(C37:N37),SUM(C37:N37),"")</f>
        <v/>
      </c>
      <c r="Q37" s="62"/>
      <c r="R37" s="62"/>
    </row>
    <row r="38" spans="2:18" ht="18" customHeight="1" x14ac:dyDescent="0.2">
      <c r="B38" s="46" t="s">
        <v>0</v>
      </c>
      <c r="C38" s="47">
        <f t="shared" ref="C38:H38" si="3">IF(SUM(C26:C37),SUM(C26:C37),"")</f>
        <v>9667.119999999999</v>
      </c>
      <c r="D38" s="47">
        <f t="shared" si="3"/>
        <v>109553.98000000001</v>
      </c>
      <c r="E38" s="47">
        <f t="shared" si="3"/>
        <v>131636.02999999997</v>
      </c>
      <c r="F38" s="47">
        <f t="shared" si="3"/>
        <v>18241.690000000002</v>
      </c>
      <c r="G38" s="47">
        <f t="shared" si="3"/>
        <v>73930.76999999999</v>
      </c>
      <c r="H38" s="47" t="str">
        <f t="shared" si="3"/>
        <v/>
      </c>
      <c r="I38" s="47" t="str">
        <f>IF(SUM(I26:I37),SUM(I26:I37),"")</f>
        <v/>
      </c>
      <c r="J38" s="47">
        <f t="shared" ref="J38:N38" si="4">IF(SUM(J26:J37),SUM(J26:J37),"")</f>
        <v>13732.61</v>
      </c>
      <c r="K38" s="47">
        <f t="shared" si="4"/>
        <v>42685.53</v>
      </c>
      <c r="L38" s="47">
        <f t="shared" si="4"/>
        <v>24390.79</v>
      </c>
      <c r="M38" s="47">
        <f t="shared" si="4"/>
        <v>38132.299999999996</v>
      </c>
      <c r="N38" s="47">
        <f t="shared" si="4"/>
        <v>155745.18000000005</v>
      </c>
      <c r="O38" s="47">
        <f>IF(SUM(O26:O37),SUM(O26:O37),"")</f>
        <v>617716</v>
      </c>
      <c r="P38" s="69" t="str">
        <f>IF(SUM(P26:P37),SUM(P26:P37),"")</f>
        <v/>
      </c>
      <c r="Q38" s="62"/>
      <c r="R38" s="62"/>
    </row>
    <row r="39" spans="2:18" x14ac:dyDescent="0.2"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8" x14ac:dyDescent="0.2"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8" x14ac:dyDescent="0.2"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8" x14ac:dyDescent="0.2"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8" x14ac:dyDescent="0.2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8" x14ac:dyDescent="0.2"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8" x14ac:dyDescent="0.2"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spans="2:18" x14ac:dyDescent="0.2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8" x14ac:dyDescent="0.2"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>
        <v>13</v>
      </c>
      <c r="N47" s="16"/>
      <c r="O47" s="16"/>
    </row>
    <row r="48" spans="2:18" x14ac:dyDescent="0.2"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x14ac:dyDescent="0.2"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x14ac:dyDescent="0.2"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x14ac:dyDescent="0.2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x14ac:dyDescent="0.2"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x14ac:dyDescent="0.2"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x14ac:dyDescent="0.2"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.25" customHeight="1" x14ac:dyDescent="0.2"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x14ac:dyDescent="0.2"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x14ac:dyDescent="0.2"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x14ac:dyDescent="0.2"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x14ac:dyDescent="0.2"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2:15" x14ac:dyDescent="0.2"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x14ac:dyDescent="0.2">
      <c r="B62" s="1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x14ac:dyDescent="0.2">
      <c r="B63" s="1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2:15" x14ac:dyDescent="0.2"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2:15" x14ac:dyDescent="0.2">
      <c r="B65" s="1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x14ac:dyDescent="0.2">
      <c r="B66" s="1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3.5" x14ac:dyDescent="0.2">
      <c r="B67" s="59"/>
    </row>
    <row r="68" spans="2:15" ht="13.5" x14ac:dyDescent="0.2">
      <c r="B68" s="59"/>
    </row>
    <row r="73" spans="2:15" x14ac:dyDescent="0.2">
      <c r="C73" s="23"/>
      <c r="D73" s="23"/>
      <c r="E73" s="23"/>
    </row>
    <row r="82" spans="2:8" s="62" customFormat="1" x14ac:dyDescent="0.2">
      <c r="B82" s="65" t="s">
        <v>94</v>
      </c>
      <c r="C82" s="84">
        <f>C21</f>
        <v>24</v>
      </c>
      <c r="D82" s="85">
        <f t="shared" ref="D82:D93" si="5">C82/$C$94</f>
        <v>3.2590983161325366E-3</v>
      </c>
      <c r="E82" s="65" t="s">
        <v>94</v>
      </c>
      <c r="F82" s="84">
        <f>C38</f>
        <v>9667.119999999999</v>
      </c>
      <c r="G82" s="85">
        <f t="shared" ref="G82:G93" si="6">F82/$F$94</f>
        <v>1.5649780805418671E-2</v>
      </c>
    </row>
    <row r="83" spans="2:8" s="62" customFormat="1" x14ac:dyDescent="0.2">
      <c r="B83" s="65" t="s">
        <v>95</v>
      </c>
      <c r="C83" s="84">
        <f>D21</f>
        <v>1028.0000000000002</v>
      </c>
      <c r="D83" s="85">
        <f t="shared" si="5"/>
        <v>0.13959804454101035</v>
      </c>
      <c r="E83" s="65" t="s">
        <v>95</v>
      </c>
      <c r="F83" s="84">
        <f>D38</f>
        <v>109553.98000000001</v>
      </c>
      <c r="G83" s="85">
        <f t="shared" si="6"/>
        <v>0.17735331446813749</v>
      </c>
    </row>
    <row r="84" spans="2:8" s="62" customFormat="1" x14ac:dyDescent="0.2">
      <c r="B84" s="65" t="s">
        <v>96</v>
      </c>
      <c r="C84" s="84">
        <f>E21</f>
        <v>959.00000000000011</v>
      </c>
      <c r="D84" s="85">
        <f t="shared" si="5"/>
        <v>0.13022813688212928</v>
      </c>
      <c r="E84" s="65" t="s">
        <v>96</v>
      </c>
      <c r="F84" s="84">
        <f>E38</f>
        <v>131636.02999999997</v>
      </c>
      <c r="G84" s="85">
        <f t="shared" si="6"/>
        <v>0.21310121479773872</v>
      </c>
    </row>
    <row r="85" spans="2:8" s="62" customFormat="1" x14ac:dyDescent="0.2">
      <c r="B85" s="65" t="s">
        <v>152</v>
      </c>
      <c r="C85" s="84">
        <f>F21</f>
        <v>352</v>
      </c>
      <c r="D85" s="85">
        <f t="shared" si="5"/>
        <v>4.7800108636610536E-2</v>
      </c>
      <c r="E85" s="65" t="s">
        <v>152</v>
      </c>
      <c r="F85" s="84">
        <f>F38</f>
        <v>18241.690000000002</v>
      </c>
      <c r="G85" s="85">
        <f t="shared" si="6"/>
        <v>2.9530868554481352E-2</v>
      </c>
    </row>
    <row r="86" spans="2:8" s="62" customFormat="1" x14ac:dyDescent="0.2">
      <c r="B86" s="65" t="s">
        <v>104</v>
      </c>
      <c r="C86" s="84">
        <f>G21</f>
        <v>665</v>
      </c>
      <c r="D86" s="85">
        <f t="shared" si="5"/>
        <v>9.0304182509505698E-2</v>
      </c>
      <c r="E86" s="65" t="s">
        <v>104</v>
      </c>
      <c r="F86" s="84">
        <f>G38</f>
        <v>73930.76999999999</v>
      </c>
      <c r="G86" s="85">
        <f t="shared" si="6"/>
        <v>0.1196840781200422</v>
      </c>
    </row>
    <row r="87" spans="2:8" s="62" customFormat="1" x14ac:dyDescent="0.2">
      <c r="B87" s="65" t="s">
        <v>102</v>
      </c>
      <c r="C87" s="84" t="str">
        <f>H21</f>
        <v/>
      </c>
      <c r="D87" s="85" t="e">
        <f t="shared" si="5"/>
        <v>#VALUE!</v>
      </c>
      <c r="E87" s="65" t="s">
        <v>102</v>
      </c>
      <c r="F87" s="84" t="str">
        <f>H38</f>
        <v/>
      </c>
      <c r="G87" s="85" t="e">
        <f t="shared" si="6"/>
        <v>#VALUE!</v>
      </c>
    </row>
    <row r="88" spans="2:8" s="62" customFormat="1" x14ac:dyDescent="0.2">
      <c r="B88" s="65" t="s">
        <v>151</v>
      </c>
      <c r="C88" s="84" t="str">
        <f>I21</f>
        <v/>
      </c>
      <c r="D88" s="85" t="e">
        <f t="shared" si="5"/>
        <v>#VALUE!</v>
      </c>
      <c r="E88" s="65" t="s">
        <v>151</v>
      </c>
      <c r="F88" s="84" t="str">
        <f>I38</f>
        <v/>
      </c>
      <c r="G88" s="85" t="e">
        <f t="shared" si="6"/>
        <v>#VALUE!</v>
      </c>
    </row>
    <row r="89" spans="2:8" s="62" customFormat="1" x14ac:dyDescent="0.2">
      <c r="B89" s="65" t="s">
        <v>103</v>
      </c>
      <c r="C89" s="84">
        <f>J21</f>
        <v>264</v>
      </c>
      <c r="D89" s="85">
        <f t="shared" si="5"/>
        <v>3.5850081477457905E-2</v>
      </c>
      <c r="E89" s="65" t="s">
        <v>103</v>
      </c>
      <c r="F89" s="84">
        <f>J38</f>
        <v>13732.61</v>
      </c>
      <c r="G89" s="85">
        <f t="shared" si="6"/>
        <v>2.223126809083786E-2</v>
      </c>
    </row>
    <row r="90" spans="2:8" s="62" customFormat="1" x14ac:dyDescent="0.2">
      <c r="B90" s="65" t="s">
        <v>214</v>
      </c>
      <c r="C90" s="84">
        <f>K21</f>
        <v>685.00000000000011</v>
      </c>
      <c r="D90" s="85">
        <f t="shared" si="5"/>
        <v>9.3020097772949506E-2</v>
      </c>
      <c r="E90" s="65" t="s">
        <v>214</v>
      </c>
      <c r="F90" s="84">
        <f>K38</f>
        <v>42685.53</v>
      </c>
      <c r="G90" s="85">
        <f t="shared" si="6"/>
        <v>6.9102192593360048E-2</v>
      </c>
    </row>
    <row r="91" spans="2:8" s="62" customFormat="1" x14ac:dyDescent="0.2">
      <c r="B91" s="65" t="s">
        <v>215</v>
      </c>
      <c r="C91" s="84">
        <f>L21</f>
        <v>587</v>
      </c>
      <c r="D91" s="85">
        <f t="shared" si="5"/>
        <v>7.9712112982074965E-2</v>
      </c>
      <c r="E91" s="65" t="s">
        <v>215</v>
      </c>
      <c r="F91" s="84">
        <f>L38</f>
        <v>24390.79</v>
      </c>
      <c r="G91" s="85">
        <f t="shared" si="6"/>
        <v>3.9485443148631415E-2</v>
      </c>
    </row>
    <row r="92" spans="2:8" s="62" customFormat="1" x14ac:dyDescent="0.2">
      <c r="B92" s="65" t="s">
        <v>219</v>
      </c>
      <c r="C92" s="84">
        <f>M21</f>
        <v>457</v>
      </c>
      <c r="D92" s="85">
        <f t="shared" si="5"/>
        <v>6.2058663769690388E-2</v>
      </c>
      <c r="E92" s="65" t="s">
        <v>219</v>
      </c>
      <c r="F92" s="84">
        <f>M38</f>
        <v>38132.299999999996</v>
      </c>
      <c r="G92" s="85">
        <f t="shared" si="6"/>
        <v>6.173111915508097E-2</v>
      </c>
    </row>
    <row r="93" spans="2:8" s="62" customFormat="1" x14ac:dyDescent="0.2">
      <c r="B93" s="65" t="s">
        <v>217</v>
      </c>
      <c r="C93" s="84">
        <f>N21</f>
        <v>2343</v>
      </c>
      <c r="D93" s="85">
        <f t="shared" si="5"/>
        <v>0.31816947311243887</v>
      </c>
      <c r="E93" s="65" t="s">
        <v>217</v>
      </c>
      <c r="F93" s="84">
        <f>N38</f>
        <v>155745.18000000005</v>
      </c>
      <c r="G93" s="85">
        <f t="shared" si="6"/>
        <v>0.25213072026627131</v>
      </c>
      <c r="H93" s="1"/>
    </row>
    <row r="94" spans="2:8" x14ac:dyDescent="0.2">
      <c r="C94" s="84">
        <f>SUM(C82:C93)</f>
        <v>7364</v>
      </c>
      <c r="F94" s="84">
        <f>SUM(F82:F93)</f>
        <v>617716</v>
      </c>
    </row>
  </sheetData>
  <mergeCells count="12">
    <mergeCell ref="B24:B25"/>
    <mergeCell ref="C24:F24"/>
    <mergeCell ref="O24:O25"/>
    <mergeCell ref="G24:J24"/>
    <mergeCell ref="B6:O6"/>
    <mergeCell ref="B7:B8"/>
    <mergeCell ref="C7:F7"/>
    <mergeCell ref="B23:O23"/>
    <mergeCell ref="O7:O8"/>
    <mergeCell ref="G7:J7"/>
    <mergeCell ref="K7:N7"/>
    <mergeCell ref="K24:N24"/>
  </mergeCells>
  <phoneticPr fontId="0" type="noConversion"/>
  <printOptions gridLinesSet="0"/>
  <pageMargins left="0.51181102362204722" right="0.15748031496062992" top="0.26" bottom="0" header="0" footer="0"/>
  <pageSetup paperSize="9" scale="72" orientation="portrait" r:id="rId1"/>
  <headerFooter alignWithMargins="0"/>
  <rowBreaks count="1" manualBreakCount="1">
    <brk id="68" min="1" max="10" man="1"/>
  </rowBreaks>
  <ignoredErrors>
    <ignoredError sqref="C21" emptyCellReference="1"/>
  </ignoredErrors>
  <drawing r:id="rId2"/>
  <legacyDrawing r:id="rId3"/>
  <oleObjects>
    <mc:AlternateContent xmlns:mc="http://schemas.openxmlformats.org/markup-compatibility/2006">
      <mc:Choice Requires="x14">
        <oleObject shapeId="52231" r:id="rId4">
          <objectPr defaultSize="0" autoPict="0" r:id="rId5">
            <anchor moveWithCells="1" sizeWithCells="1">
              <from>
                <xdr:col>0</xdr:col>
                <xdr:colOff>314325</xdr:colOff>
                <xdr:row>0</xdr:row>
                <xdr:rowOff>228600</xdr:rowOff>
              </from>
              <to>
                <xdr:col>1</xdr:col>
                <xdr:colOff>723900</xdr:colOff>
                <xdr:row>0</xdr:row>
                <xdr:rowOff>647700</xdr:rowOff>
              </to>
            </anchor>
          </objectPr>
        </oleObject>
      </mc:Choice>
      <mc:Fallback>
        <oleObject shapeId="5223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A1:AL114"/>
  <sheetViews>
    <sheetView showGridLines="0" zoomScale="85" zoomScaleNormal="85" workbookViewId="0">
      <pane ySplit="4" topLeftCell="A59" activePane="bottomLeft" state="frozen"/>
      <selection activeCell="E68" sqref="E68"/>
      <selection pane="bottomLeft" activeCell="W2" sqref="W2"/>
    </sheetView>
  </sheetViews>
  <sheetFormatPr defaultRowHeight="15.75" x14ac:dyDescent="0.25"/>
  <cols>
    <col min="1" max="1" width="16.375" style="1" bestFit="1" customWidth="1"/>
    <col min="2" max="9" width="5.375" style="1" customWidth="1"/>
    <col min="10" max="10" width="7.25" style="10" bestFit="1" customWidth="1"/>
    <col min="11" max="11" width="0.875" style="2" customWidth="1"/>
    <col min="12" max="12" width="17.125" style="1" customWidth="1"/>
    <col min="13" max="20" width="5.375" style="1" customWidth="1"/>
    <col min="21" max="21" width="7.25" style="10" customWidth="1"/>
    <col min="22" max="22" width="9.375" bestFit="1" customWidth="1"/>
    <col min="29" max="36" width="6.625" style="20" hidden="1" customWidth="1"/>
    <col min="37" max="37" width="9" style="20"/>
    <col min="38" max="38" width="9" style="18"/>
  </cols>
  <sheetData>
    <row r="1" spans="1:30" ht="69" customHeight="1" thickBot="1" x14ac:dyDescent="0.3"/>
    <row r="2" spans="1:30" ht="16.5" thickBot="1" x14ac:dyDescent="0.3">
      <c r="A2" s="192" t="s">
        <v>235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</row>
    <row r="3" spans="1:30" ht="17.25" customHeight="1" thickBot="1" x14ac:dyDescent="0.3">
      <c r="A3" s="193" t="s">
        <v>87</v>
      </c>
      <c r="B3" s="195" t="s">
        <v>143</v>
      </c>
      <c r="C3" s="196"/>
      <c r="D3" s="196"/>
      <c r="E3" s="196"/>
      <c r="F3" s="196"/>
      <c r="G3" s="196"/>
      <c r="H3" s="196"/>
      <c r="I3" s="197"/>
      <c r="J3" s="198" t="s">
        <v>0</v>
      </c>
      <c r="K3" s="7"/>
      <c r="L3" s="193" t="s">
        <v>87</v>
      </c>
      <c r="M3" s="195" t="s">
        <v>143</v>
      </c>
      <c r="N3" s="196"/>
      <c r="O3" s="196"/>
      <c r="P3" s="196"/>
      <c r="Q3" s="196"/>
      <c r="R3" s="196"/>
      <c r="S3" s="196"/>
      <c r="T3" s="197"/>
      <c r="U3" s="198" t="s">
        <v>0</v>
      </c>
    </row>
    <row r="4" spans="1:30" ht="25.5" customHeight="1" thickBot="1" x14ac:dyDescent="0.3">
      <c r="A4" s="194"/>
      <c r="B4" s="38" t="s">
        <v>135</v>
      </c>
      <c r="C4" s="38" t="s">
        <v>136</v>
      </c>
      <c r="D4" s="38" t="s">
        <v>137</v>
      </c>
      <c r="E4" s="38" t="s">
        <v>138</v>
      </c>
      <c r="F4" s="38" t="s">
        <v>139</v>
      </c>
      <c r="G4" s="38" t="s">
        <v>140</v>
      </c>
      <c r="H4" s="38" t="s">
        <v>141</v>
      </c>
      <c r="I4" s="39" t="s">
        <v>142</v>
      </c>
      <c r="J4" s="199"/>
      <c r="K4" s="7"/>
      <c r="L4" s="194"/>
      <c r="M4" s="37" t="s">
        <v>135</v>
      </c>
      <c r="N4" s="38" t="s">
        <v>136</v>
      </c>
      <c r="O4" s="38" t="s">
        <v>137</v>
      </c>
      <c r="P4" s="38" t="s">
        <v>138</v>
      </c>
      <c r="Q4" s="38" t="s">
        <v>139</v>
      </c>
      <c r="R4" s="38" t="s">
        <v>140</v>
      </c>
      <c r="S4" s="38" t="s">
        <v>141</v>
      </c>
      <c r="T4" s="38" t="s">
        <v>142</v>
      </c>
      <c r="U4" s="199"/>
    </row>
    <row r="5" spans="1:30" ht="12.75" customHeight="1" x14ac:dyDescent="0.25">
      <c r="A5" s="189" t="s">
        <v>82</v>
      </c>
      <c r="B5" s="190"/>
      <c r="C5" s="190"/>
      <c r="D5" s="190"/>
      <c r="E5" s="190"/>
      <c r="F5" s="190"/>
      <c r="G5" s="190"/>
      <c r="H5" s="190"/>
      <c r="I5" s="190"/>
      <c r="J5" s="191"/>
      <c r="K5" s="7"/>
      <c r="L5" s="189" t="s">
        <v>116</v>
      </c>
      <c r="M5" s="190"/>
      <c r="N5" s="190"/>
      <c r="O5" s="190"/>
      <c r="P5" s="190"/>
      <c r="Q5" s="190"/>
      <c r="R5" s="190"/>
      <c r="S5" s="190"/>
      <c r="T5" s="190"/>
      <c r="U5" s="191"/>
    </row>
    <row r="6" spans="1:30" ht="12.75" customHeight="1" x14ac:dyDescent="0.25">
      <c r="A6" s="30" t="s">
        <v>24</v>
      </c>
      <c r="B6" s="78">
        <v>6</v>
      </c>
      <c r="C6" s="78"/>
      <c r="D6" s="78"/>
      <c r="E6" s="78">
        <v>182</v>
      </c>
      <c r="F6" s="79"/>
      <c r="G6" s="78"/>
      <c r="H6" s="78"/>
      <c r="I6" s="78"/>
      <c r="J6" s="147">
        <f t="shared" ref="J6:J9" si="0">IF(SUM(B6:I6),SUM(B6:I6),"")</f>
        <v>188</v>
      </c>
      <c r="K6" s="7"/>
      <c r="L6" s="30" t="s">
        <v>6</v>
      </c>
      <c r="M6" s="31"/>
      <c r="N6" s="31"/>
      <c r="O6" s="31"/>
      <c r="P6" s="31"/>
      <c r="Q6" s="31">
        <v>1</v>
      </c>
      <c r="R6" s="31"/>
      <c r="S6" s="31"/>
      <c r="T6" s="31"/>
      <c r="U6" s="35">
        <f t="shared" ref="U6:U8" si="1">IF(SUM(M6:T6),SUM(M6:T6),"")</f>
        <v>1</v>
      </c>
      <c r="AC6" s="21">
        <f>J6/$U$36</f>
        <v>31.333333333333332</v>
      </c>
      <c r="AD6" s="21" t="e">
        <f>#REF!/$U$36</f>
        <v>#REF!</v>
      </c>
    </row>
    <row r="7" spans="1:30" ht="12.75" customHeight="1" x14ac:dyDescent="0.25">
      <c r="A7" s="40" t="s">
        <v>25</v>
      </c>
      <c r="B7" s="80"/>
      <c r="C7" s="80"/>
      <c r="D7" s="80"/>
      <c r="E7" s="80"/>
      <c r="F7" s="80"/>
      <c r="G7" s="80"/>
      <c r="H7" s="80"/>
      <c r="I7" s="80"/>
      <c r="J7" s="104" t="str">
        <f t="shared" si="0"/>
        <v/>
      </c>
      <c r="K7" s="7"/>
      <c r="L7" s="40" t="s">
        <v>49</v>
      </c>
      <c r="M7" s="41"/>
      <c r="N7" s="41"/>
      <c r="O7" s="41"/>
      <c r="P7" s="41"/>
      <c r="Q7" s="41"/>
      <c r="R7" s="41">
        <v>1</v>
      </c>
      <c r="S7" s="41"/>
      <c r="T7" s="41"/>
      <c r="U7" s="42">
        <f t="shared" si="1"/>
        <v>1</v>
      </c>
      <c r="AC7" s="21"/>
      <c r="AD7" s="21" t="e">
        <f>#REF!/$U$36</f>
        <v>#REF!</v>
      </c>
    </row>
    <row r="8" spans="1:30" ht="12.75" customHeight="1" x14ac:dyDescent="0.25">
      <c r="A8" s="87" t="s">
        <v>47</v>
      </c>
      <c r="B8" s="78"/>
      <c r="C8" s="78"/>
      <c r="D8" s="78"/>
      <c r="E8" s="78"/>
      <c r="F8" s="79"/>
      <c r="G8" s="78">
        <v>2</v>
      </c>
      <c r="H8" s="78"/>
      <c r="I8" s="78"/>
      <c r="J8" s="147">
        <f t="shared" si="0"/>
        <v>2</v>
      </c>
      <c r="K8" s="7"/>
      <c r="L8" s="30" t="s">
        <v>63</v>
      </c>
      <c r="M8" s="31"/>
      <c r="N8" s="31"/>
      <c r="O8" s="31"/>
      <c r="P8" s="31"/>
      <c r="Q8" s="31"/>
      <c r="R8" s="31"/>
      <c r="S8" s="31"/>
      <c r="T8" s="31"/>
      <c r="U8" s="35" t="str">
        <f t="shared" si="1"/>
        <v/>
      </c>
      <c r="X8" s="143"/>
      <c r="Y8" s="143"/>
      <c r="Z8" s="144"/>
      <c r="AA8" s="144"/>
      <c r="AC8" s="21"/>
      <c r="AD8" s="21"/>
    </row>
    <row r="9" spans="1:30" ht="12.75" customHeight="1" x14ac:dyDescent="0.25">
      <c r="A9" s="40" t="s">
        <v>54</v>
      </c>
      <c r="B9" s="80"/>
      <c r="C9" s="80"/>
      <c r="D9" s="80"/>
      <c r="E9" s="80"/>
      <c r="F9" s="80"/>
      <c r="G9" s="80"/>
      <c r="H9" s="80"/>
      <c r="I9" s="80"/>
      <c r="J9" s="104" t="str">
        <f t="shared" si="0"/>
        <v/>
      </c>
      <c r="K9" s="7"/>
      <c r="L9" s="32" t="s">
        <v>117</v>
      </c>
      <c r="M9" s="34" t="str">
        <f>IF(SUM(M6:M8),SUM(M6:M8),"")</f>
        <v/>
      </c>
      <c r="N9" s="34" t="str">
        <f t="shared" ref="N9:U9" si="2">IF(SUM(N6:N8),SUM(N6:N8),"")</f>
        <v/>
      </c>
      <c r="O9" s="34" t="str">
        <f t="shared" si="2"/>
        <v/>
      </c>
      <c r="P9" s="34" t="str">
        <f t="shared" si="2"/>
        <v/>
      </c>
      <c r="Q9" s="34">
        <f t="shared" si="2"/>
        <v>1</v>
      </c>
      <c r="R9" s="34">
        <f t="shared" si="2"/>
        <v>1</v>
      </c>
      <c r="S9" s="34" t="str">
        <f t="shared" si="2"/>
        <v/>
      </c>
      <c r="T9" s="34" t="str">
        <f t="shared" si="2"/>
        <v/>
      </c>
      <c r="U9" s="34">
        <f t="shared" si="2"/>
        <v>2</v>
      </c>
      <c r="X9" s="143"/>
      <c r="Y9" s="143"/>
      <c r="Z9" s="144"/>
      <c r="AA9" s="144"/>
      <c r="AC9" s="21"/>
      <c r="AD9" s="21"/>
    </row>
    <row r="10" spans="1:30" ht="12.75" customHeight="1" x14ac:dyDescent="0.25">
      <c r="A10" s="32" t="s">
        <v>107</v>
      </c>
      <c r="B10" s="33">
        <f>IF(SUM(B6:B9),SUM(B6:B9),"")</f>
        <v>6</v>
      </c>
      <c r="C10" s="33" t="str">
        <f t="shared" ref="C10:J10" si="3">IF(SUM(C6:C9),SUM(C6:C9),"")</f>
        <v/>
      </c>
      <c r="D10" s="33" t="str">
        <f t="shared" si="3"/>
        <v/>
      </c>
      <c r="E10" s="33">
        <f>IF(SUM(E6:E9),SUM(E6:E9),"")</f>
        <v>182</v>
      </c>
      <c r="F10" s="33" t="str">
        <f t="shared" si="3"/>
        <v/>
      </c>
      <c r="G10" s="33">
        <f t="shared" si="3"/>
        <v>2</v>
      </c>
      <c r="H10" s="33" t="str">
        <f t="shared" si="3"/>
        <v/>
      </c>
      <c r="I10" s="33" t="str">
        <f t="shared" si="3"/>
        <v/>
      </c>
      <c r="J10" s="33">
        <f t="shared" si="3"/>
        <v>190</v>
      </c>
      <c r="K10" s="7"/>
      <c r="L10" s="8"/>
      <c r="M10" s="8"/>
      <c r="N10" s="8"/>
      <c r="O10" s="8"/>
      <c r="P10" s="8"/>
      <c r="Q10" s="8"/>
      <c r="R10" s="8"/>
      <c r="S10" s="8"/>
      <c r="T10" s="8"/>
      <c r="U10" s="12"/>
      <c r="X10" s="143"/>
      <c r="Y10" s="143"/>
      <c r="Z10" s="144"/>
      <c r="AA10" s="144"/>
      <c r="AC10" s="22">
        <f>J10/$U$36</f>
        <v>31.666666666666668</v>
      </c>
      <c r="AD10" s="21" t="e">
        <f>#REF!/$U$36</f>
        <v>#REF!</v>
      </c>
    </row>
    <row r="11" spans="1:30" ht="12.7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K11" s="7"/>
      <c r="L11" s="189" t="s">
        <v>118</v>
      </c>
      <c r="M11" s="190"/>
      <c r="N11" s="190"/>
      <c r="O11" s="190"/>
      <c r="P11" s="190"/>
      <c r="Q11" s="190"/>
      <c r="R11" s="190"/>
      <c r="S11" s="190"/>
      <c r="T11" s="190"/>
      <c r="U11" s="191"/>
      <c r="X11" s="143"/>
      <c r="Y11" s="143"/>
      <c r="Z11" s="144"/>
      <c r="AA11" s="144"/>
      <c r="AC11" s="21"/>
      <c r="AD11" s="21" t="e">
        <f>#REF!/$U$36</f>
        <v>#REF!</v>
      </c>
    </row>
    <row r="12" spans="1:30" ht="12.75" customHeight="1" x14ac:dyDescent="0.25">
      <c r="A12" s="189" t="s">
        <v>83</v>
      </c>
      <c r="B12" s="190"/>
      <c r="C12" s="190"/>
      <c r="D12" s="190"/>
      <c r="E12" s="190"/>
      <c r="F12" s="190"/>
      <c r="G12" s="190"/>
      <c r="H12" s="190"/>
      <c r="I12" s="190"/>
      <c r="J12" s="191"/>
      <c r="K12" s="7"/>
      <c r="L12" s="87" t="s">
        <v>9</v>
      </c>
      <c r="M12" s="31"/>
      <c r="N12" s="31"/>
      <c r="O12" s="31"/>
      <c r="P12" s="31"/>
      <c r="Q12" s="31">
        <v>2</v>
      </c>
      <c r="R12" s="31"/>
      <c r="S12" s="31"/>
      <c r="T12" s="31">
        <v>2</v>
      </c>
      <c r="U12" s="147">
        <f t="shared" ref="U12:U15" si="4">IF(SUM(M12:T12),SUM(M12:T12),"")</f>
        <v>4</v>
      </c>
      <c r="X12" s="143"/>
      <c r="Y12" s="143"/>
      <c r="Z12" s="144"/>
      <c r="AA12" s="144"/>
      <c r="AC12" s="21"/>
      <c r="AD12" s="21" t="e">
        <f>#REF!/$U$36</f>
        <v>#REF!</v>
      </c>
    </row>
    <row r="13" spans="1:30" ht="12.75" customHeight="1" x14ac:dyDescent="0.25">
      <c r="A13" s="30" t="s">
        <v>2</v>
      </c>
      <c r="B13" s="78">
        <v>1</v>
      </c>
      <c r="C13" s="78"/>
      <c r="D13" s="78"/>
      <c r="E13" s="78">
        <v>2</v>
      </c>
      <c r="F13" s="78">
        <v>1</v>
      </c>
      <c r="G13" s="78"/>
      <c r="H13" s="78"/>
      <c r="I13" s="78">
        <v>3</v>
      </c>
      <c r="J13" s="147">
        <f>IF(SUM(B13:I13),SUM(B13:I13),"")</f>
        <v>7</v>
      </c>
      <c r="K13" s="7"/>
      <c r="L13" s="40" t="s">
        <v>18</v>
      </c>
      <c r="M13" s="80"/>
      <c r="N13" s="80"/>
      <c r="O13" s="80"/>
      <c r="P13" s="80"/>
      <c r="Q13" s="80">
        <v>1</v>
      </c>
      <c r="R13" s="80"/>
      <c r="S13" s="80"/>
      <c r="T13" s="80">
        <v>1</v>
      </c>
      <c r="U13" s="42">
        <f t="shared" si="4"/>
        <v>2</v>
      </c>
      <c r="X13" s="143"/>
      <c r="Y13" s="143"/>
      <c r="Z13" s="144"/>
      <c r="AA13" s="144"/>
      <c r="AC13" s="21">
        <f>J13/$U$36</f>
        <v>1.1666666666666667</v>
      </c>
      <c r="AD13" s="21" t="e">
        <f>#REF!/$U$36</f>
        <v>#REF!</v>
      </c>
    </row>
    <row r="14" spans="1:30" ht="12.75" customHeight="1" x14ac:dyDescent="0.25">
      <c r="A14" s="40" t="s">
        <v>10</v>
      </c>
      <c r="B14" s="80">
        <v>1</v>
      </c>
      <c r="C14" s="80">
        <v>1</v>
      </c>
      <c r="D14" s="80"/>
      <c r="E14" s="80"/>
      <c r="F14" s="80">
        <v>60</v>
      </c>
      <c r="G14" s="80"/>
      <c r="H14" s="80"/>
      <c r="I14" s="80"/>
      <c r="J14" s="148">
        <f t="shared" ref="J14:J15" si="5">IF(SUM(B14:I14),SUM(B14:I14),"")</f>
        <v>62</v>
      </c>
      <c r="K14" s="7"/>
      <c r="L14" s="87" t="s">
        <v>20</v>
      </c>
      <c r="M14" s="31">
        <v>12</v>
      </c>
      <c r="N14" s="31"/>
      <c r="O14" s="31"/>
      <c r="P14" s="31"/>
      <c r="Q14" s="31"/>
      <c r="R14" s="31"/>
      <c r="S14" s="31">
        <v>4</v>
      </c>
      <c r="T14" s="31"/>
      <c r="U14" s="147">
        <f t="shared" si="4"/>
        <v>16</v>
      </c>
      <c r="V14" s="61"/>
      <c r="X14" s="143"/>
      <c r="Y14" s="143"/>
      <c r="Z14" s="144"/>
      <c r="AA14" s="144"/>
      <c r="AC14" s="21">
        <f>J14/$U$36</f>
        <v>10.333333333333334</v>
      </c>
      <c r="AD14" s="21" t="e">
        <f>#REF!/$U$36</f>
        <v>#REF!</v>
      </c>
    </row>
    <row r="15" spans="1:30" ht="12.75" customHeight="1" x14ac:dyDescent="0.25">
      <c r="A15" s="30" t="s">
        <v>58</v>
      </c>
      <c r="B15" s="78"/>
      <c r="C15" s="78"/>
      <c r="D15" s="78"/>
      <c r="E15" s="78">
        <v>1</v>
      </c>
      <c r="F15" s="78"/>
      <c r="G15" s="78"/>
      <c r="H15" s="78"/>
      <c r="I15" s="78"/>
      <c r="J15" s="147">
        <f t="shared" si="5"/>
        <v>1</v>
      </c>
      <c r="K15" s="7"/>
      <c r="L15" s="40" t="s">
        <v>61</v>
      </c>
      <c r="M15" s="80"/>
      <c r="N15" s="80"/>
      <c r="O15" s="80"/>
      <c r="P15" s="80"/>
      <c r="Q15" s="80"/>
      <c r="R15" s="80"/>
      <c r="S15" s="80"/>
      <c r="T15" s="80"/>
      <c r="U15" s="42" t="str">
        <f t="shared" si="4"/>
        <v/>
      </c>
      <c r="X15" s="143"/>
      <c r="Y15" s="143"/>
      <c r="Z15" s="144"/>
      <c r="AA15" s="144"/>
      <c r="AC15" s="21">
        <f>J15/$U$36</f>
        <v>0.16666666666666666</v>
      </c>
      <c r="AD15" s="21" t="e">
        <f>#REF!/$U$36</f>
        <v>#REF!</v>
      </c>
    </row>
    <row r="16" spans="1:30" ht="12.75" customHeight="1" x14ac:dyDescent="0.25">
      <c r="A16" s="40" t="s">
        <v>66</v>
      </c>
      <c r="B16" s="80"/>
      <c r="C16" s="80"/>
      <c r="D16" s="80"/>
      <c r="E16" s="80"/>
      <c r="F16" s="80"/>
      <c r="G16" s="80"/>
      <c r="H16" s="80"/>
      <c r="I16" s="80"/>
      <c r="J16" s="148" t="str">
        <f>IF(SUM(B16:I16),SUM(B16:I16),"")</f>
        <v/>
      </c>
      <c r="K16" s="7"/>
      <c r="L16" s="32" t="s">
        <v>119</v>
      </c>
      <c r="M16" s="34">
        <f>IF(SUM(M12:M15),SUM(M12:M15),"")</f>
        <v>12</v>
      </c>
      <c r="N16" s="34" t="str">
        <f t="shared" ref="N16:U16" si="6">IF(SUM(N12:N15),SUM(N12:N15),"")</f>
        <v/>
      </c>
      <c r="O16" s="34" t="str">
        <f t="shared" si="6"/>
        <v/>
      </c>
      <c r="P16" s="34" t="str">
        <f t="shared" si="6"/>
        <v/>
      </c>
      <c r="Q16" s="34">
        <f t="shared" si="6"/>
        <v>3</v>
      </c>
      <c r="R16" s="34" t="str">
        <f t="shared" si="6"/>
        <v/>
      </c>
      <c r="S16" s="34">
        <f t="shared" si="6"/>
        <v>4</v>
      </c>
      <c r="T16" s="34">
        <f t="shared" si="6"/>
        <v>3</v>
      </c>
      <c r="U16" s="34">
        <f t="shared" si="6"/>
        <v>22</v>
      </c>
      <c r="X16" s="143"/>
      <c r="Y16" s="143"/>
      <c r="Z16" s="144"/>
      <c r="AA16" s="144"/>
      <c r="AC16" s="21" t="e">
        <f>J16/$U$36</f>
        <v>#VALUE!</v>
      </c>
      <c r="AD16" s="22" t="e">
        <f>#REF!/$U$36</f>
        <v>#REF!</v>
      </c>
    </row>
    <row r="17" spans="1:30" ht="12.75" customHeight="1" x14ac:dyDescent="0.25">
      <c r="A17" s="32" t="s">
        <v>88</v>
      </c>
      <c r="B17" s="34">
        <f>IF(SUM(B13:B16),SUM(B13:B16),"")</f>
        <v>2</v>
      </c>
      <c r="C17" s="34">
        <f t="shared" ref="C17:J17" si="7">IF(SUM(C13:C16),SUM(C13:C16),"")</f>
        <v>1</v>
      </c>
      <c r="D17" s="34" t="str">
        <f t="shared" si="7"/>
        <v/>
      </c>
      <c r="E17" s="34">
        <f t="shared" si="7"/>
        <v>3</v>
      </c>
      <c r="F17" s="34">
        <f t="shared" si="7"/>
        <v>61</v>
      </c>
      <c r="G17" s="34" t="str">
        <f t="shared" si="7"/>
        <v/>
      </c>
      <c r="H17" s="34" t="str">
        <f t="shared" si="7"/>
        <v/>
      </c>
      <c r="I17" s="34">
        <f t="shared" si="7"/>
        <v>3</v>
      </c>
      <c r="J17" s="34">
        <f t="shared" si="7"/>
        <v>70</v>
      </c>
      <c r="K17" s="7"/>
      <c r="L17" s="8"/>
      <c r="M17" s="8"/>
      <c r="N17" s="8"/>
      <c r="O17" s="8"/>
      <c r="P17" s="8"/>
      <c r="Q17" s="8"/>
      <c r="R17" s="8"/>
      <c r="S17" s="8"/>
      <c r="T17" s="8"/>
      <c r="U17" s="12"/>
      <c r="X17" s="143"/>
      <c r="Y17" s="143"/>
      <c r="Z17" s="144"/>
      <c r="AA17" s="144"/>
      <c r="AC17" s="22">
        <f>J17/$U$36</f>
        <v>11.666666666666666</v>
      </c>
      <c r="AD17" s="21"/>
    </row>
    <row r="18" spans="1:30" ht="12.75" customHeight="1" x14ac:dyDescent="0.25">
      <c r="A18" s="8"/>
      <c r="B18" s="117"/>
      <c r="C18" s="117"/>
      <c r="D18" s="117"/>
      <c r="E18" s="117"/>
      <c r="F18" s="117"/>
      <c r="G18" s="117"/>
      <c r="H18" s="117"/>
      <c r="I18" s="117"/>
      <c r="J18" s="179"/>
      <c r="K18" s="7"/>
      <c r="L18" s="189" t="s">
        <v>120</v>
      </c>
      <c r="M18" s="190"/>
      <c r="N18" s="190"/>
      <c r="O18" s="190"/>
      <c r="P18" s="190"/>
      <c r="Q18" s="190"/>
      <c r="R18" s="190"/>
      <c r="S18" s="190"/>
      <c r="T18" s="190"/>
      <c r="U18" s="191"/>
      <c r="X18" s="143"/>
      <c r="Y18" s="143"/>
      <c r="Z18" s="144"/>
      <c r="AA18" s="144"/>
      <c r="AC18" s="21"/>
      <c r="AD18" s="21"/>
    </row>
    <row r="19" spans="1:30" ht="12.75" customHeight="1" x14ac:dyDescent="0.25">
      <c r="A19" s="189" t="s">
        <v>84</v>
      </c>
      <c r="B19" s="190"/>
      <c r="C19" s="190"/>
      <c r="D19" s="190"/>
      <c r="E19" s="190"/>
      <c r="F19" s="190"/>
      <c r="G19" s="190"/>
      <c r="H19" s="190"/>
      <c r="I19" s="190"/>
      <c r="J19" s="191"/>
      <c r="K19" s="7"/>
      <c r="L19" s="30" t="s">
        <v>30</v>
      </c>
      <c r="M19" s="31"/>
      <c r="N19" s="31"/>
      <c r="O19" s="31"/>
      <c r="P19" s="31"/>
      <c r="Q19" s="31"/>
      <c r="R19" s="31"/>
      <c r="S19" s="31">
        <v>1</v>
      </c>
      <c r="T19" s="31"/>
      <c r="U19" s="35">
        <f t="shared" ref="U19:U21" si="8">IF(SUM(M19:T19),SUM(M19:T19),"")</f>
        <v>1</v>
      </c>
      <c r="X19" s="143"/>
      <c r="Y19" s="143"/>
      <c r="Z19" s="144"/>
      <c r="AA19" s="144"/>
      <c r="AC19" s="21"/>
      <c r="AD19" s="21">
        <f>U6/$U$36</f>
        <v>0.16666666666666666</v>
      </c>
    </row>
    <row r="20" spans="1:30" ht="12.75" customHeight="1" x14ac:dyDescent="0.25">
      <c r="A20" s="30" t="s">
        <v>3</v>
      </c>
      <c r="B20" s="78"/>
      <c r="C20" s="78"/>
      <c r="D20" s="78"/>
      <c r="E20" s="78"/>
      <c r="F20" s="78">
        <v>1</v>
      </c>
      <c r="G20" s="78"/>
      <c r="H20" s="78"/>
      <c r="I20" s="78"/>
      <c r="J20" s="147">
        <f>IF(SUM(B20:I20),SUM(B20:I20),"")</f>
        <v>1</v>
      </c>
      <c r="K20" s="7"/>
      <c r="L20" s="40" t="s">
        <v>100</v>
      </c>
      <c r="M20" s="41"/>
      <c r="N20" s="41"/>
      <c r="O20" s="41"/>
      <c r="P20" s="41"/>
      <c r="Q20" s="41"/>
      <c r="R20" s="41"/>
      <c r="S20" s="41"/>
      <c r="T20" s="41">
        <v>1</v>
      </c>
      <c r="U20" s="42">
        <f t="shared" si="8"/>
        <v>1</v>
      </c>
      <c r="X20" s="143"/>
      <c r="Y20" s="143"/>
      <c r="Z20" s="144"/>
      <c r="AA20" s="144"/>
      <c r="AC20" s="21">
        <f>J20/$U$36</f>
        <v>0.16666666666666666</v>
      </c>
      <c r="AD20" s="21">
        <f>U7/$U$36</f>
        <v>0.16666666666666666</v>
      </c>
    </row>
    <row r="21" spans="1:30" ht="12.75" customHeight="1" x14ac:dyDescent="0.25">
      <c r="A21" s="40" t="s">
        <v>5</v>
      </c>
      <c r="B21" s="80"/>
      <c r="C21" s="80"/>
      <c r="D21" s="80"/>
      <c r="E21" s="80"/>
      <c r="F21" s="80">
        <v>300</v>
      </c>
      <c r="G21" s="80"/>
      <c r="H21" s="80"/>
      <c r="I21" s="80"/>
      <c r="J21" s="148">
        <f t="shared" ref="J21:J23" si="9">IF(SUM(B21:I21),SUM(B21:I21),"")</f>
        <v>300</v>
      </c>
      <c r="K21" s="7"/>
      <c r="L21" s="30" t="s">
        <v>64</v>
      </c>
      <c r="M21" s="31">
        <v>5</v>
      </c>
      <c r="N21" s="31"/>
      <c r="O21" s="31"/>
      <c r="P21" s="31">
        <v>2</v>
      </c>
      <c r="Q21" s="31"/>
      <c r="R21" s="31"/>
      <c r="S21" s="31"/>
      <c r="T21" s="31"/>
      <c r="U21" s="35">
        <f t="shared" si="8"/>
        <v>7</v>
      </c>
      <c r="X21" s="143"/>
      <c r="Y21" s="143"/>
      <c r="Z21" s="144"/>
      <c r="AA21" s="144"/>
      <c r="AC21" s="21">
        <f>J21/$U$36</f>
        <v>50</v>
      </c>
      <c r="AD21" s="21" t="e">
        <f>U8/$U$36</f>
        <v>#VALUE!</v>
      </c>
    </row>
    <row r="22" spans="1:30" ht="12.75" customHeight="1" x14ac:dyDescent="0.25">
      <c r="A22" s="30" t="s">
        <v>16</v>
      </c>
      <c r="B22" s="78"/>
      <c r="C22" s="78"/>
      <c r="D22" s="78"/>
      <c r="E22" s="78"/>
      <c r="F22" s="78"/>
      <c r="G22" s="78"/>
      <c r="H22" s="78"/>
      <c r="I22" s="78"/>
      <c r="J22" s="147" t="str">
        <f t="shared" si="9"/>
        <v/>
      </c>
      <c r="K22" s="7"/>
      <c r="L22" s="32" t="s">
        <v>172</v>
      </c>
      <c r="M22" s="34">
        <f>IF(SUM(M19:M21),SUM(M19:M21),"")</f>
        <v>5</v>
      </c>
      <c r="N22" s="34" t="str">
        <f t="shared" ref="N22:U22" si="10">IF(SUM(N19:N21),SUM(N19:N21),"")</f>
        <v/>
      </c>
      <c r="O22" s="34" t="str">
        <f t="shared" si="10"/>
        <v/>
      </c>
      <c r="P22" s="34">
        <f t="shared" si="10"/>
        <v>2</v>
      </c>
      <c r="Q22" s="34" t="str">
        <f t="shared" si="10"/>
        <v/>
      </c>
      <c r="R22" s="34" t="str">
        <f t="shared" si="10"/>
        <v/>
      </c>
      <c r="S22" s="34">
        <f t="shared" si="10"/>
        <v>1</v>
      </c>
      <c r="T22" s="34">
        <f t="shared" si="10"/>
        <v>1</v>
      </c>
      <c r="U22" s="34">
        <f t="shared" si="10"/>
        <v>9</v>
      </c>
      <c r="X22" s="143"/>
      <c r="Y22" s="143"/>
      <c r="Z22" s="144"/>
      <c r="AA22" s="144"/>
      <c r="AC22" s="21" t="e">
        <f>J22/$U$36</f>
        <v>#VALUE!</v>
      </c>
      <c r="AD22" s="21" t="e">
        <f>#REF!/$U$36</f>
        <v>#REF!</v>
      </c>
    </row>
    <row r="23" spans="1:30" ht="12.75" customHeight="1" x14ac:dyDescent="0.25">
      <c r="A23" s="40" t="s">
        <v>33</v>
      </c>
      <c r="B23" s="80"/>
      <c r="C23" s="80"/>
      <c r="D23" s="80"/>
      <c r="E23" s="80"/>
      <c r="F23" s="80"/>
      <c r="G23" s="80"/>
      <c r="H23" s="80">
        <v>1</v>
      </c>
      <c r="I23" s="80">
        <v>3</v>
      </c>
      <c r="J23" s="148">
        <f t="shared" si="9"/>
        <v>4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12"/>
      <c r="W23" s="61"/>
      <c r="X23" s="143"/>
      <c r="Y23" s="143"/>
      <c r="Z23" s="144"/>
      <c r="AA23" s="144"/>
      <c r="AB23" s="61"/>
      <c r="AC23" s="21">
        <f>J23/$U$36</f>
        <v>0.66666666666666663</v>
      </c>
      <c r="AD23" s="21" t="e">
        <f>#REF!/$U$36</f>
        <v>#REF!</v>
      </c>
    </row>
    <row r="24" spans="1:30" ht="12.75" customHeight="1" x14ac:dyDescent="0.25">
      <c r="A24" s="30" t="s">
        <v>36</v>
      </c>
      <c r="B24" s="78">
        <v>1</v>
      </c>
      <c r="C24" s="78"/>
      <c r="D24" s="78"/>
      <c r="E24" s="78"/>
      <c r="F24" s="78"/>
      <c r="G24" s="78">
        <v>2</v>
      </c>
      <c r="H24" s="78"/>
      <c r="I24" s="78"/>
      <c r="J24" s="147">
        <f>IF(SUM(B24:I24),SUM(B24:I24),"")</f>
        <v>3</v>
      </c>
      <c r="K24" s="7"/>
      <c r="L24" s="189" t="s">
        <v>173</v>
      </c>
      <c r="M24" s="190"/>
      <c r="N24" s="190"/>
      <c r="O24" s="190"/>
      <c r="P24" s="190"/>
      <c r="Q24" s="190"/>
      <c r="R24" s="190"/>
      <c r="S24" s="190"/>
      <c r="T24" s="190"/>
      <c r="U24" s="191"/>
      <c r="X24" s="143"/>
      <c r="Y24" s="143"/>
      <c r="Z24" s="144"/>
      <c r="AA24" s="144"/>
      <c r="AC24" s="21">
        <f>J24/$U$36</f>
        <v>0.5</v>
      </c>
      <c r="AD24" s="21" t="e">
        <f>#REF!/$U$36</f>
        <v>#REF!</v>
      </c>
    </row>
    <row r="25" spans="1:30" ht="12.75" customHeight="1" x14ac:dyDescent="0.25">
      <c r="A25" s="32" t="s">
        <v>89</v>
      </c>
      <c r="B25" s="34">
        <f>IF(SUM(B20:B24),SUM(B20:B24),"")</f>
        <v>1</v>
      </c>
      <c r="C25" s="34" t="str">
        <f t="shared" ref="C25:J25" si="11">IF(SUM(C20:C24),SUM(C20:C24),"")</f>
        <v/>
      </c>
      <c r="D25" s="34" t="str">
        <f t="shared" si="11"/>
        <v/>
      </c>
      <c r="E25" s="34" t="str">
        <f t="shared" si="11"/>
        <v/>
      </c>
      <c r="F25" s="34">
        <f t="shared" si="11"/>
        <v>301</v>
      </c>
      <c r="G25" s="34">
        <f t="shared" si="11"/>
        <v>2</v>
      </c>
      <c r="H25" s="34">
        <f t="shared" si="11"/>
        <v>1</v>
      </c>
      <c r="I25" s="34">
        <f t="shared" si="11"/>
        <v>3</v>
      </c>
      <c r="J25" s="34">
        <f t="shared" si="11"/>
        <v>308</v>
      </c>
      <c r="K25" s="7"/>
      <c r="L25" s="87" t="s">
        <v>31</v>
      </c>
      <c r="M25" s="31"/>
      <c r="N25" s="31"/>
      <c r="O25" s="31"/>
      <c r="P25" s="31"/>
      <c r="Q25" s="31"/>
      <c r="R25" s="31">
        <v>2</v>
      </c>
      <c r="S25" s="31"/>
      <c r="T25" s="31"/>
      <c r="U25" s="147">
        <f t="shared" ref="U25:U28" si="12">IF(SUM(M25:T25),SUM(M25:T25),"")</f>
        <v>2</v>
      </c>
      <c r="X25" s="143"/>
      <c r="Y25" s="143"/>
      <c r="Z25" s="144"/>
      <c r="AA25" s="144"/>
      <c r="AC25" s="21" t="e">
        <f>#REF!/$U$36</f>
        <v>#REF!</v>
      </c>
      <c r="AD25" s="21" t="e">
        <f>#REF!/$U$36</f>
        <v>#REF!</v>
      </c>
    </row>
    <row r="26" spans="1:30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K26" s="7"/>
      <c r="L26" s="40" t="s">
        <v>37</v>
      </c>
      <c r="M26" s="41"/>
      <c r="N26" s="41"/>
      <c r="O26" s="41"/>
      <c r="P26" s="41"/>
      <c r="Q26" s="41"/>
      <c r="R26" s="41"/>
      <c r="S26" s="41"/>
      <c r="T26" s="41"/>
      <c r="U26" s="42" t="str">
        <f t="shared" si="12"/>
        <v/>
      </c>
      <c r="X26" s="143"/>
      <c r="Y26" s="143"/>
      <c r="Z26" s="144"/>
      <c r="AA26" s="144"/>
      <c r="AC26" s="21" t="e">
        <f>#REF!/$U$36</f>
        <v>#REF!</v>
      </c>
      <c r="AD26" s="22">
        <f>U9/$U$36</f>
        <v>0.33333333333333331</v>
      </c>
    </row>
    <row r="27" spans="1:30" ht="12.75" customHeight="1" x14ac:dyDescent="0.25">
      <c r="A27" s="189" t="s">
        <v>85</v>
      </c>
      <c r="B27" s="189"/>
      <c r="C27" s="189"/>
      <c r="D27" s="189"/>
      <c r="E27" s="189"/>
      <c r="F27" s="189"/>
      <c r="G27" s="189"/>
      <c r="H27" s="189"/>
      <c r="I27" s="189"/>
      <c r="J27" s="189"/>
      <c r="K27" s="7"/>
      <c r="L27" s="87" t="s">
        <v>42</v>
      </c>
      <c r="M27" s="31"/>
      <c r="N27" s="31"/>
      <c r="O27" s="31"/>
      <c r="P27" s="31">
        <v>1</v>
      </c>
      <c r="Q27" s="31"/>
      <c r="R27" s="31"/>
      <c r="S27" s="31"/>
      <c r="T27" s="31">
        <v>2</v>
      </c>
      <c r="U27" s="147">
        <f>IF(SUM(M27:T27),SUM(M27:T27),"")</f>
        <v>3</v>
      </c>
      <c r="X27" s="143"/>
      <c r="Y27" s="143"/>
      <c r="Z27" s="144"/>
      <c r="AA27" s="144"/>
      <c r="AC27" s="21" t="e">
        <f>#REF!/$U$36</f>
        <v>#REF!</v>
      </c>
      <c r="AD27" s="21"/>
    </row>
    <row r="28" spans="1:30" ht="12.75" customHeight="1" x14ac:dyDescent="0.25">
      <c r="A28" s="30" t="s">
        <v>11</v>
      </c>
      <c r="B28" s="78"/>
      <c r="C28" s="78"/>
      <c r="D28" s="78"/>
      <c r="E28" s="78"/>
      <c r="F28" s="78">
        <v>4</v>
      </c>
      <c r="G28" s="78"/>
      <c r="H28" s="78"/>
      <c r="I28" s="78"/>
      <c r="J28" s="35">
        <f t="shared" ref="J28:J32" si="13">IF(SUM(B28:I28),SUM(B28:I28),"")</f>
        <v>4</v>
      </c>
      <c r="K28" s="7"/>
      <c r="L28" s="40" t="s">
        <v>46</v>
      </c>
      <c r="M28" s="41"/>
      <c r="N28" s="41"/>
      <c r="O28" s="41"/>
      <c r="P28" s="41"/>
      <c r="Q28" s="41"/>
      <c r="R28" s="41"/>
      <c r="S28" s="41"/>
      <c r="T28" s="41"/>
      <c r="U28" s="42" t="str">
        <f t="shared" si="12"/>
        <v/>
      </c>
      <c r="X28" s="143"/>
      <c r="Y28" s="143"/>
      <c r="Z28" s="144"/>
      <c r="AA28" s="144"/>
      <c r="AC28" s="22">
        <f>J25/$U$36</f>
        <v>51.333333333333336</v>
      </c>
      <c r="AD28" s="21"/>
    </row>
    <row r="29" spans="1:30" ht="12.75" customHeight="1" x14ac:dyDescent="0.25">
      <c r="A29" s="40" t="s">
        <v>99</v>
      </c>
      <c r="B29" s="81">
        <v>1</v>
      </c>
      <c r="C29" s="80"/>
      <c r="D29" s="80"/>
      <c r="E29" s="80"/>
      <c r="F29" s="80"/>
      <c r="G29" s="80"/>
      <c r="H29" s="80"/>
      <c r="I29" s="80"/>
      <c r="J29" s="42">
        <f t="shared" si="13"/>
        <v>1</v>
      </c>
      <c r="K29" s="7"/>
      <c r="L29" s="32" t="s">
        <v>174</v>
      </c>
      <c r="M29" s="34" t="str">
        <f>IF(SUM(M25:M28),SUM(M25:M28),"")</f>
        <v/>
      </c>
      <c r="N29" s="34" t="str">
        <f t="shared" ref="N29:U29" si="14">IF(SUM(N25:N28),SUM(N25:N28),"")</f>
        <v/>
      </c>
      <c r="O29" s="34" t="str">
        <f t="shared" si="14"/>
        <v/>
      </c>
      <c r="P29" s="34">
        <f t="shared" si="14"/>
        <v>1</v>
      </c>
      <c r="Q29" s="34" t="str">
        <f t="shared" si="14"/>
        <v/>
      </c>
      <c r="R29" s="34">
        <f t="shared" si="14"/>
        <v>2</v>
      </c>
      <c r="S29" s="34" t="str">
        <f t="shared" si="14"/>
        <v/>
      </c>
      <c r="T29" s="34">
        <f t="shared" si="14"/>
        <v>2</v>
      </c>
      <c r="U29" s="34">
        <f t="shared" si="14"/>
        <v>5</v>
      </c>
      <c r="X29" s="143"/>
      <c r="Y29" s="143"/>
      <c r="Z29" s="144"/>
      <c r="AA29" s="144"/>
      <c r="AC29" s="21"/>
      <c r="AD29" s="21" t="e">
        <f>#REF!/$U$36</f>
        <v>#REF!</v>
      </c>
    </row>
    <row r="30" spans="1:30" ht="12.75" customHeight="1" x14ac:dyDescent="0.25">
      <c r="A30" s="30" t="s">
        <v>19</v>
      </c>
      <c r="B30" s="78">
        <v>18</v>
      </c>
      <c r="C30" s="78"/>
      <c r="D30" s="78"/>
      <c r="E30" s="78"/>
      <c r="F30" s="78">
        <v>1</v>
      </c>
      <c r="G30" s="78"/>
      <c r="H30" s="78"/>
      <c r="I30" s="78">
        <v>1</v>
      </c>
      <c r="J30" s="35">
        <f t="shared" si="13"/>
        <v>20</v>
      </c>
      <c r="K30" s="7"/>
      <c r="L30" s="8"/>
      <c r="M30" s="8"/>
      <c r="N30" s="8"/>
      <c r="O30" s="8"/>
      <c r="P30" s="8"/>
      <c r="Q30" s="8"/>
      <c r="R30" s="8"/>
      <c r="S30" s="8"/>
      <c r="T30" s="8"/>
      <c r="U30" s="12"/>
      <c r="X30" s="143"/>
      <c r="Y30" s="143"/>
      <c r="Z30" s="144"/>
      <c r="AA30" s="144"/>
      <c r="AC30" s="21"/>
      <c r="AD30" s="21">
        <f>U12/$U$36</f>
        <v>0.66666666666666663</v>
      </c>
    </row>
    <row r="31" spans="1:30" ht="12.75" customHeight="1" x14ac:dyDescent="0.25">
      <c r="A31" s="40" t="s">
        <v>38</v>
      </c>
      <c r="B31" s="80"/>
      <c r="C31" s="80"/>
      <c r="D31" s="80"/>
      <c r="E31" s="80"/>
      <c r="F31" s="80">
        <v>2</v>
      </c>
      <c r="G31" s="80"/>
      <c r="H31" s="80"/>
      <c r="I31" s="80"/>
      <c r="J31" s="42">
        <f t="shared" si="13"/>
        <v>2</v>
      </c>
      <c r="K31" s="7"/>
      <c r="L31" s="189" t="s">
        <v>175</v>
      </c>
      <c r="M31" s="190"/>
      <c r="N31" s="190"/>
      <c r="O31" s="190"/>
      <c r="P31" s="190"/>
      <c r="Q31" s="190"/>
      <c r="R31" s="190"/>
      <c r="S31" s="190"/>
      <c r="T31" s="190"/>
      <c r="U31" s="191"/>
      <c r="X31" s="143"/>
      <c r="Y31" s="143"/>
      <c r="Z31" s="144"/>
      <c r="AA31" s="144"/>
      <c r="AC31" s="21">
        <f>J28/$U$36</f>
        <v>0.66666666666666663</v>
      </c>
      <c r="AD31" s="21">
        <f>U13/$U$36</f>
        <v>0.33333333333333331</v>
      </c>
    </row>
    <row r="32" spans="1:30" ht="12.75" customHeight="1" x14ac:dyDescent="0.25">
      <c r="A32" s="30" t="s">
        <v>39</v>
      </c>
      <c r="B32" s="78"/>
      <c r="C32" s="78"/>
      <c r="D32" s="78"/>
      <c r="E32" s="78"/>
      <c r="F32" s="78"/>
      <c r="G32" s="78"/>
      <c r="H32" s="78"/>
      <c r="I32" s="78"/>
      <c r="J32" s="35" t="str">
        <f t="shared" si="13"/>
        <v/>
      </c>
      <c r="K32" s="7"/>
      <c r="L32" s="30" t="s">
        <v>27</v>
      </c>
      <c r="M32" s="78"/>
      <c r="N32" s="78"/>
      <c r="O32" s="78"/>
      <c r="P32" s="78"/>
      <c r="Q32" s="78"/>
      <c r="R32" s="78"/>
      <c r="S32" s="78"/>
      <c r="T32" s="78"/>
      <c r="U32" s="90" t="str">
        <f t="shared" ref="U32:U35" si="15">IF(SUM(M32:T32),SUM(M32:T32),"")</f>
        <v/>
      </c>
      <c r="X32" s="143"/>
      <c r="Y32" s="143"/>
      <c r="Z32" s="144"/>
      <c r="AA32" s="144"/>
      <c r="AC32" s="21"/>
      <c r="AD32" s="21">
        <f>U14/$U$36</f>
        <v>2.6666666666666665</v>
      </c>
    </row>
    <row r="33" spans="1:30" ht="12.75" customHeight="1" x14ac:dyDescent="0.25">
      <c r="A33" s="32" t="s">
        <v>90</v>
      </c>
      <c r="B33" s="34">
        <f>IF(SUM(B28:B32),SUM(B28:B32),"")</f>
        <v>19</v>
      </c>
      <c r="C33" s="34" t="str">
        <f t="shared" ref="C33:J33" si="16">IF(SUM(C28:C32),SUM(C28:C32),"")</f>
        <v/>
      </c>
      <c r="D33" s="34" t="str">
        <f t="shared" si="16"/>
        <v/>
      </c>
      <c r="E33" s="34" t="str">
        <f t="shared" si="16"/>
        <v/>
      </c>
      <c r="F33" s="34">
        <f t="shared" si="16"/>
        <v>7</v>
      </c>
      <c r="G33" s="34" t="str">
        <f t="shared" si="16"/>
        <v/>
      </c>
      <c r="H33" s="34" t="str">
        <f t="shared" si="16"/>
        <v/>
      </c>
      <c r="I33" s="34">
        <f t="shared" si="16"/>
        <v>1</v>
      </c>
      <c r="J33" s="34">
        <f t="shared" si="16"/>
        <v>27</v>
      </c>
      <c r="K33" s="7"/>
      <c r="L33" s="40" t="s">
        <v>32</v>
      </c>
      <c r="M33" s="41"/>
      <c r="N33" s="41"/>
      <c r="O33" s="41"/>
      <c r="P33" s="41">
        <v>1</v>
      </c>
      <c r="Q33" s="41"/>
      <c r="R33" s="41"/>
      <c r="S33" s="41"/>
      <c r="T33" s="41"/>
      <c r="U33" s="42">
        <f t="shared" si="15"/>
        <v>1</v>
      </c>
      <c r="X33" s="143"/>
      <c r="Y33" s="143"/>
      <c r="Z33" s="144"/>
      <c r="AA33" s="144"/>
      <c r="AC33" s="21">
        <f>J30/$U$36</f>
        <v>3.3333333333333335</v>
      </c>
      <c r="AD33" s="21" t="e">
        <f>#REF!/$U$36</f>
        <v>#REF!</v>
      </c>
    </row>
    <row r="34" spans="1:30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K34" s="7"/>
      <c r="L34" s="30" t="s">
        <v>44</v>
      </c>
      <c r="M34" s="78"/>
      <c r="N34" s="78"/>
      <c r="O34" s="78"/>
      <c r="P34" s="78"/>
      <c r="Q34" s="78">
        <v>1</v>
      </c>
      <c r="R34" s="78"/>
      <c r="S34" s="78"/>
      <c r="T34" s="78">
        <v>1</v>
      </c>
      <c r="U34" s="90">
        <f t="shared" si="15"/>
        <v>2</v>
      </c>
      <c r="X34" s="143"/>
      <c r="Y34" s="143"/>
      <c r="Z34" s="144"/>
      <c r="AA34" s="144"/>
      <c r="AC34" s="21">
        <f>J31/$U$36</f>
        <v>0.33333333333333331</v>
      </c>
      <c r="AD34" s="21" t="e">
        <f>U15/$U$36</f>
        <v>#VALUE!</v>
      </c>
    </row>
    <row r="35" spans="1:30" ht="12.75" customHeight="1" x14ac:dyDescent="0.25">
      <c r="A35" s="189" t="s">
        <v>86</v>
      </c>
      <c r="B35" s="190"/>
      <c r="C35" s="190"/>
      <c r="D35" s="190"/>
      <c r="E35" s="190"/>
      <c r="F35" s="190"/>
      <c r="G35" s="190"/>
      <c r="H35" s="190"/>
      <c r="I35" s="190"/>
      <c r="J35" s="191"/>
      <c r="K35" s="7"/>
      <c r="L35" s="40" t="s">
        <v>68</v>
      </c>
      <c r="M35" s="41"/>
      <c r="N35" s="41"/>
      <c r="O35" s="41">
        <v>1</v>
      </c>
      <c r="P35" s="41"/>
      <c r="Q35" s="41">
        <v>1</v>
      </c>
      <c r="R35" s="41">
        <v>1</v>
      </c>
      <c r="S35" s="41"/>
      <c r="T35" s="41"/>
      <c r="U35" s="42">
        <f t="shared" si="15"/>
        <v>3</v>
      </c>
      <c r="X35" s="143"/>
      <c r="Y35" s="143"/>
      <c r="Z35" s="144"/>
      <c r="AA35" s="144"/>
      <c r="AC35" s="21" t="e">
        <f>J32/$U$36</f>
        <v>#VALUE!</v>
      </c>
      <c r="AD35" s="22">
        <f>U16/$U$36</f>
        <v>3.6666666666666665</v>
      </c>
    </row>
    <row r="36" spans="1:30" ht="12.75" customHeight="1" x14ac:dyDescent="0.25">
      <c r="A36" s="30" t="s">
        <v>208</v>
      </c>
      <c r="B36" s="78">
        <v>1</v>
      </c>
      <c r="C36" s="78"/>
      <c r="D36" s="78"/>
      <c r="E36" s="78"/>
      <c r="F36" s="78"/>
      <c r="G36" s="78"/>
      <c r="H36" s="78"/>
      <c r="I36" s="78">
        <v>1</v>
      </c>
      <c r="J36" s="35">
        <f>IF(SUM(B36:I36),SUM(B36:I36),"")</f>
        <v>2</v>
      </c>
      <c r="K36" s="7"/>
      <c r="L36" s="32" t="s">
        <v>177</v>
      </c>
      <c r="M36" s="34" t="str">
        <f>IF(SUM(M32:M35),SUM(M32:M35),"")</f>
        <v/>
      </c>
      <c r="N36" s="34" t="str">
        <f t="shared" ref="N36:U36" si="17">IF(SUM(N32:N35),SUM(N32:N35),"")</f>
        <v/>
      </c>
      <c r="O36" s="34">
        <f t="shared" si="17"/>
        <v>1</v>
      </c>
      <c r="P36" s="34">
        <f t="shared" si="17"/>
        <v>1</v>
      </c>
      <c r="Q36" s="34">
        <f t="shared" si="17"/>
        <v>2</v>
      </c>
      <c r="R36" s="34">
        <f t="shared" si="17"/>
        <v>1</v>
      </c>
      <c r="S36" s="34" t="str">
        <f t="shared" si="17"/>
        <v/>
      </c>
      <c r="T36" s="34">
        <f t="shared" si="17"/>
        <v>1</v>
      </c>
      <c r="U36" s="34">
        <f t="shared" si="17"/>
        <v>6</v>
      </c>
      <c r="X36" s="143"/>
      <c r="Y36" s="143"/>
      <c r="Z36" s="144"/>
      <c r="AA36" s="144"/>
      <c r="AC36" s="21" t="e">
        <f>#REF!/$U$36</f>
        <v>#REF!</v>
      </c>
      <c r="AD36" s="21"/>
    </row>
    <row r="37" spans="1:30" ht="12.75" customHeight="1" x14ac:dyDescent="0.25">
      <c r="A37" s="40" t="s">
        <v>26</v>
      </c>
      <c r="B37" s="80"/>
      <c r="C37" s="80"/>
      <c r="D37" s="80"/>
      <c r="E37" s="80">
        <v>2</v>
      </c>
      <c r="F37" s="80"/>
      <c r="G37" s="80"/>
      <c r="H37" s="80"/>
      <c r="I37" s="80"/>
      <c r="J37" s="42">
        <f t="shared" ref="J37" si="18">IF(SUM(B37:I37),SUM(B37:I37),"")</f>
        <v>2</v>
      </c>
      <c r="K37" s="7"/>
      <c r="M37" s="70"/>
      <c r="X37" s="143"/>
      <c r="Y37" s="143"/>
      <c r="Z37" s="144"/>
      <c r="AA37" s="144"/>
      <c r="AC37" s="21"/>
      <c r="AD37" s="21"/>
    </row>
    <row r="38" spans="1:30" ht="12.75" customHeight="1" x14ac:dyDescent="0.25">
      <c r="A38" s="36" t="s">
        <v>34</v>
      </c>
      <c r="B38" s="78"/>
      <c r="C38" s="78"/>
      <c r="D38" s="78"/>
      <c r="E38" s="78"/>
      <c r="F38" s="78"/>
      <c r="G38" s="78"/>
      <c r="H38" s="78"/>
      <c r="I38" s="78"/>
      <c r="J38" s="35" t="str">
        <f>IF(SUM(B38:I38),SUM(B38:I38),"")</f>
        <v/>
      </c>
      <c r="K38" s="7"/>
      <c r="L38" s="189" t="s">
        <v>176</v>
      </c>
      <c r="M38" s="190"/>
      <c r="N38" s="190"/>
      <c r="O38" s="190"/>
      <c r="P38" s="190"/>
      <c r="Q38" s="190"/>
      <c r="R38" s="190"/>
      <c r="S38" s="190"/>
      <c r="T38" s="190"/>
      <c r="U38" s="191"/>
      <c r="X38" s="143"/>
      <c r="Y38" s="143"/>
      <c r="Z38" s="144"/>
      <c r="AA38" s="144"/>
      <c r="AC38" s="22">
        <f>J33/$U$36</f>
        <v>4.5</v>
      </c>
      <c r="AD38" s="21">
        <f>U19/$U$36</f>
        <v>0.16666666666666666</v>
      </c>
    </row>
    <row r="39" spans="1:30" ht="12.75" customHeight="1" x14ac:dyDescent="0.25">
      <c r="A39" s="32" t="s">
        <v>91</v>
      </c>
      <c r="B39" s="34">
        <f>IF(SUM(B36:B38),SUM(B36:B38),"")</f>
        <v>1</v>
      </c>
      <c r="C39" s="34" t="str">
        <f t="shared" ref="C39:J39" si="19">IF(SUM(C36:C38),SUM(C36:C38),"")</f>
        <v/>
      </c>
      <c r="D39" s="34" t="str">
        <f t="shared" si="19"/>
        <v/>
      </c>
      <c r="E39" s="34">
        <f t="shared" si="19"/>
        <v>2</v>
      </c>
      <c r="F39" s="34" t="str">
        <f t="shared" si="19"/>
        <v/>
      </c>
      <c r="G39" s="34" t="str">
        <f t="shared" si="19"/>
        <v/>
      </c>
      <c r="H39" s="34" t="str">
        <f t="shared" si="19"/>
        <v/>
      </c>
      <c r="I39" s="34">
        <f t="shared" si="19"/>
        <v>1</v>
      </c>
      <c r="J39" s="151">
        <f t="shared" si="19"/>
        <v>4</v>
      </c>
      <c r="K39" s="7"/>
      <c r="L39" s="30" t="s">
        <v>21</v>
      </c>
      <c r="M39" s="78"/>
      <c r="N39" s="78"/>
      <c r="O39" s="78"/>
      <c r="P39" s="78"/>
      <c r="Q39" s="78"/>
      <c r="R39" s="78"/>
      <c r="S39" s="78"/>
      <c r="T39" s="78"/>
      <c r="U39" s="90" t="str">
        <f>IF(SUM(M39:T39),SUM(M39:T39),"")</f>
        <v/>
      </c>
      <c r="X39" s="143"/>
      <c r="Y39" s="143"/>
      <c r="Z39" s="144"/>
      <c r="AA39" s="144"/>
      <c r="AC39" s="21"/>
      <c r="AD39" s="21">
        <f>U20/$U$36</f>
        <v>0.16666666666666666</v>
      </c>
    </row>
    <row r="40" spans="1:30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11"/>
      <c r="K40" s="7"/>
      <c r="L40" s="40" t="s">
        <v>28</v>
      </c>
      <c r="M40" s="41"/>
      <c r="N40" s="41"/>
      <c r="O40" s="41"/>
      <c r="P40" s="41"/>
      <c r="Q40" s="41"/>
      <c r="R40" s="41">
        <v>11</v>
      </c>
      <c r="S40" s="41"/>
      <c r="T40" s="41"/>
      <c r="U40" s="42">
        <f t="shared" ref="U40" si="20">IF(SUM(M40:T40),SUM(M40:T40),"")</f>
        <v>11</v>
      </c>
      <c r="X40" s="143"/>
      <c r="Y40" s="143"/>
      <c r="Z40" s="144"/>
      <c r="AA40" s="144"/>
      <c r="AC40" s="21"/>
      <c r="AD40" s="21">
        <f>U21/$U$36</f>
        <v>1.1666666666666667</v>
      </c>
    </row>
    <row r="41" spans="1:30" ht="12.75" customHeight="1" x14ac:dyDescent="0.25">
      <c r="A41" s="189" t="s">
        <v>108</v>
      </c>
      <c r="B41" s="190"/>
      <c r="C41" s="190"/>
      <c r="D41" s="190"/>
      <c r="E41" s="190"/>
      <c r="F41" s="190"/>
      <c r="G41" s="190"/>
      <c r="H41" s="190"/>
      <c r="I41" s="190"/>
      <c r="J41" s="191"/>
      <c r="K41" s="7"/>
      <c r="L41" s="30" t="s">
        <v>40</v>
      </c>
      <c r="M41" s="78"/>
      <c r="N41" s="78"/>
      <c r="O41" s="78"/>
      <c r="P41" s="78">
        <v>1</v>
      </c>
      <c r="Q41" s="78"/>
      <c r="R41" s="78"/>
      <c r="S41" s="78"/>
      <c r="T41" s="78">
        <v>1</v>
      </c>
      <c r="U41" s="90">
        <f>IF(SUM(M41:T41),SUM(M41:T41),"")</f>
        <v>2</v>
      </c>
      <c r="X41" s="143"/>
      <c r="Y41" s="143"/>
      <c r="Z41" s="144"/>
      <c r="AA41" s="144"/>
      <c r="AC41" s="21">
        <f>J36/$U$36</f>
        <v>0.33333333333333331</v>
      </c>
      <c r="AD41" s="21" t="e">
        <f>#REF!/$U$36</f>
        <v>#REF!</v>
      </c>
    </row>
    <row r="42" spans="1:30" ht="12.75" customHeight="1" x14ac:dyDescent="0.25">
      <c r="A42" s="87" t="s">
        <v>15</v>
      </c>
      <c r="B42" s="78"/>
      <c r="C42" s="78"/>
      <c r="D42" s="78"/>
      <c r="E42" s="78"/>
      <c r="F42" s="78"/>
      <c r="G42" s="78"/>
      <c r="H42" s="78"/>
      <c r="I42" s="78">
        <v>1</v>
      </c>
      <c r="J42" s="147">
        <f>IF(SUM(B42:I42),SUM(B42:I42),"")</f>
        <v>1</v>
      </c>
      <c r="K42" s="7"/>
      <c r="L42" s="40" t="s">
        <v>45</v>
      </c>
      <c r="M42" s="41"/>
      <c r="N42" s="41"/>
      <c r="O42" s="41"/>
      <c r="P42" s="41">
        <v>1</v>
      </c>
      <c r="Q42" s="41">
        <v>2</v>
      </c>
      <c r="R42" s="41"/>
      <c r="S42" s="41"/>
      <c r="T42" s="41"/>
      <c r="U42" s="42">
        <f>IF(SUM(M42:T42),SUM(M42:T42),"")</f>
        <v>3</v>
      </c>
      <c r="X42" s="143"/>
      <c r="Y42" s="143"/>
      <c r="Z42" s="144"/>
      <c r="AA42" s="144"/>
      <c r="AC42" s="21">
        <f>J37/$U$36</f>
        <v>0.33333333333333331</v>
      </c>
      <c r="AD42" s="21" t="e">
        <f>#REF!/$U$36</f>
        <v>#REF!</v>
      </c>
    </row>
    <row r="43" spans="1:30" ht="12.75" customHeight="1" x14ac:dyDescent="0.25">
      <c r="A43" s="40" t="s">
        <v>22</v>
      </c>
      <c r="B43" s="80"/>
      <c r="C43" s="80"/>
      <c r="D43" s="80"/>
      <c r="E43" s="80"/>
      <c r="F43" s="80"/>
      <c r="G43" s="80"/>
      <c r="H43" s="80"/>
      <c r="I43" s="80"/>
      <c r="J43" s="148" t="str">
        <f t="shared" ref="J43:J49" si="21">IF(SUM(B43:I43),SUM(B43:I43),"")</f>
        <v/>
      </c>
      <c r="K43" s="7"/>
      <c r="L43" s="87" t="s">
        <v>51</v>
      </c>
      <c r="M43" s="61"/>
      <c r="N43" s="61"/>
      <c r="O43" s="61"/>
      <c r="P43" s="61"/>
      <c r="Q43" s="61"/>
      <c r="R43" s="61"/>
      <c r="S43" s="61"/>
      <c r="T43" s="61"/>
      <c r="U43" s="147" t="str">
        <f>IF(SUM(M43:T43),SUM(M43:T43),"")</f>
        <v/>
      </c>
      <c r="AC43" s="21" t="e">
        <f>J38/$U$36</f>
        <v>#VALUE!</v>
      </c>
      <c r="AD43" s="21" t="e">
        <f>#REF!/$U$36</f>
        <v>#REF!</v>
      </c>
    </row>
    <row r="44" spans="1:30" ht="12.75" customHeight="1" x14ac:dyDescent="0.25">
      <c r="A44" s="89" t="s">
        <v>101</v>
      </c>
      <c r="B44" s="78"/>
      <c r="C44" s="78"/>
      <c r="D44" s="78"/>
      <c r="E44" s="78"/>
      <c r="F44" s="78"/>
      <c r="G44" s="78"/>
      <c r="H44" s="78"/>
      <c r="I44" s="78"/>
      <c r="J44" s="147" t="str">
        <f t="shared" si="21"/>
        <v/>
      </c>
      <c r="K44" s="7"/>
      <c r="L44" s="32" t="s">
        <v>178</v>
      </c>
      <c r="M44" s="34" t="str">
        <f>IF(SUM(M39:M43),SUM(M39:M43),"")</f>
        <v/>
      </c>
      <c r="N44" s="34" t="str">
        <f t="shared" ref="N44:U44" si="22">IF(SUM(N39:N43),SUM(N39:N43),"")</f>
        <v/>
      </c>
      <c r="O44" s="34" t="str">
        <f t="shared" si="22"/>
        <v/>
      </c>
      <c r="P44" s="34">
        <f t="shared" si="22"/>
        <v>2</v>
      </c>
      <c r="Q44" s="34">
        <f t="shared" si="22"/>
        <v>2</v>
      </c>
      <c r="R44" s="34">
        <f t="shared" si="22"/>
        <v>11</v>
      </c>
      <c r="S44" s="34" t="str">
        <f t="shared" si="22"/>
        <v/>
      </c>
      <c r="T44" s="34">
        <f t="shared" si="22"/>
        <v>1</v>
      </c>
      <c r="U44" s="34">
        <f t="shared" si="22"/>
        <v>16</v>
      </c>
      <c r="AC44" s="21"/>
      <c r="AD44" s="22">
        <f>U22/$U$36</f>
        <v>1.5</v>
      </c>
    </row>
    <row r="45" spans="1:30" ht="12.75" customHeight="1" x14ac:dyDescent="0.25">
      <c r="A45" s="40" t="s">
        <v>41</v>
      </c>
      <c r="B45" s="80"/>
      <c r="C45" s="80"/>
      <c r="D45" s="80"/>
      <c r="E45" s="80"/>
      <c r="F45" s="80"/>
      <c r="G45" s="80"/>
      <c r="H45" s="80"/>
      <c r="I45" s="80">
        <v>2</v>
      </c>
      <c r="J45" s="148">
        <f t="shared" si="21"/>
        <v>2</v>
      </c>
      <c r="K45" s="7"/>
      <c r="AC45" s="21" t="e">
        <f>#REF!/$U$36</f>
        <v>#REF!</v>
      </c>
      <c r="AD45" s="21"/>
    </row>
    <row r="46" spans="1:30" ht="12.75" customHeight="1" x14ac:dyDescent="0.25">
      <c r="A46" s="87" t="s">
        <v>50</v>
      </c>
      <c r="B46" s="78"/>
      <c r="C46" s="78"/>
      <c r="D46" s="78"/>
      <c r="E46" s="78"/>
      <c r="F46" s="78"/>
      <c r="G46" s="78">
        <v>1</v>
      </c>
      <c r="H46" s="78"/>
      <c r="I46" s="78">
        <v>2</v>
      </c>
      <c r="J46" s="103">
        <f t="shared" si="21"/>
        <v>3</v>
      </c>
      <c r="K46" s="7"/>
      <c r="L46" s="189" t="s">
        <v>179</v>
      </c>
      <c r="M46" s="190"/>
      <c r="N46" s="190"/>
      <c r="O46" s="190"/>
      <c r="P46" s="190"/>
      <c r="Q46" s="190"/>
      <c r="R46" s="190"/>
      <c r="S46" s="190"/>
      <c r="T46" s="190"/>
      <c r="U46" s="191"/>
      <c r="AC46" s="21" t="e">
        <f>#REF!/$U$36</f>
        <v>#REF!</v>
      </c>
      <c r="AD46" s="21"/>
    </row>
    <row r="47" spans="1:30" ht="12.75" customHeight="1" x14ac:dyDescent="0.25">
      <c r="A47" s="40" t="s">
        <v>52</v>
      </c>
      <c r="B47" s="80"/>
      <c r="C47" s="80"/>
      <c r="D47" s="80"/>
      <c r="E47" s="80"/>
      <c r="F47" s="80"/>
      <c r="G47" s="80"/>
      <c r="H47" s="80"/>
      <c r="I47" s="80"/>
      <c r="J47" s="148" t="str">
        <f t="shared" si="21"/>
        <v/>
      </c>
      <c r="K47" s="7"/>
      <c r="L47" s="30" t="s">
        <v>4</v>
      </c>
      <c r="M47" s="31"/>
      <c r="N47" s="31"/>
      <c r="O47" s="31"/>
      <c r="P47" s="31"/>
      <c r="Q47" s="31">
        <v>1</v>
      </c>
      <c r="R47" s="31"/>
      <c r="S47" s="31"/>
      <c r="T47" s="31"/>
      <c r="U47" s="90">
        <f>IF(SUM(M47:T47),SUM(M47:T47),"")</f>
        <v>1</v>
      </c>
      <c r="AC47" s="21"/>
      <c r="AD47" s="21" t="e">
        <f>#REF!/$U$36</f>
        <v>#REF!</v>
      </c>
    </row>
    <row r="48" spans="1:30" ht="12.75" customHeight="1" x14ac:dyDescent="0.25">
      <c r="A48" s="87" t="s">
        <v>53</v>
      </c>
      <c r="B48" s="78"/>
      <c r="C48" s="78"/>
      <c r="D48" s="78"/>
      <c r="E48" s="78"/>
      <c r="F48" s="78"/>
      <c r="G48" s="78"/>
      <c r="H48" s="78"/>
      <c r="I48" s="78">
        <v>1</v>
      </c>
      <c r="J48" s="147">
        <f t="shared" si="21"/>
        <v>1</v>
      </c>
      <c r="K48" s="7"/>
      <c r="L48" s="40" t="s">
        <v>14</v>
      </c>
      <c r="M48" s="41">
        <v>2</v>
      </c>
      <c r="N48" s="41"/>
      <c r="O48" s="41"/>
      <c r="P48" s="41"/>
      <c r="Q48" s="41"/>
      <c r="R48" s="41">
        <v>1</v>
      </c>
      <c r="S48" s="41">
        <v>5</v>
      </c>
      <c r="T48" s="41">
        <v>12</v>
      </c>
      <c r="U48" s="42">
        <f t="shared" ref="U48:U49" si="23">IF(SUM(M48:T48),SUM(M48:T48),"")</f>
        <v>20</v>
      </c>
      <c r="AC48" s="21" t="e">
        <f>#REF!/$U$36</f>
        <v>#REF!</v>
      </c>
      <c r="AD48" s="21"/>
    </row>
    <row r="49" spans="1:37" ht="12.75" customHeight="1" x14ac:dyDescent="0.25">
      <c r="A49" s="40" t="s">
        <v>55</v>
      </c>
      <c r="B49" s="80"/>
      <c r="C49" s="80"/>
      <c r="D49" s="80"/>
      <c r="E49" s="80"/>
      <c r="F49" s="80"/>
      <c r="G49" s="80"/>
      <c r="H49" s="80"/>
      <c r="I49" s="80"/>
      <c r="J49" s="148" t="str">
        <f t="shared" si="21"/>
        <v/>
      </c>
      <c r="K49" s="7"/>
      <c r="L49" s="30" t="s">
        <v>59</v>
      </c>
      <c r="M49" s="31"/>
      <c r="N49" s="31"/>
      <c r="O49" s="31"/>
      <c r="P49" s="31">
        <v>3</v>
      </c>
      <c r="Q49" s="31">
        <v>1</v>
      </c>
      <c r="R49" s="31">
        <v>2</v>
      </c>
      <c r="S49" s="31"/>
      <c r="T49" s="31">
        <v>4</v>
      </c>
      <c r="U49" s="90">
        <f t="shared" si="23"/>
        <v>10</v>
      </c>
      <c r="AC49" s="21" t="e">
        <f>#REF!/$U$36</f>
        <v>#REF!</v>
      </c>
      <c r="AD49" s="21" t="e">
        <f>U26/$U$36</f>
        <v>#VALUE!</v>
      </c>
    </row>
    <row r="50" spans="1:37" ht="12.75" customHeight="1" x14ac:dyDescent="0.25">
      <c r="A50" s="32" t="s">
        <v>109</v>
      </c>
      <c r="B50" s="34" t="str">
        <f t="shared" ref="B50:H50" si="24">IF(SUM(B42:B49),SUM(B42:B49),"")</f>
        <v/>
      </c>
      <c r="C50" s="34" t="str">
        <f t="shared" si="24"/>
        <v/>
      </c>
      <c r="D50" s="34" t="str">
        <f t="shared" si="24"/>
        <v/>
      </c>
      <c r="E50" s="34" t="str">
        <f t="shared" si="24"/>
        <v/>
      </c>
      <c r="F50" s="34" t="str">
        <f>IF(SUM(F42:F49),SUM(F42:F49),"")</f>
        <v/>
      </c>
      <c r="G50" s="34">
        <f t="shared" si="24"/>
        <v>1</v>
      </c>
      <c r="H50" s="34" t="str">
        <f t="shared" si="24"/>
        <v/>
      </c>
      <c r="I50" s="34">
        <f>IF(SUM(I42:I49),SUM(I42:I49),"")</f>
        <v>6</v>
      </c>
      <c r="J50" s="34">
        <f t="shared" ref="J50" si="25">IF(SUM(J42:J49),SUM(J42:J49),"")</f>
        <v>7</v>
      </c>
      <c r="K50" s="7"/>
      <c r="L50" s="32" t="s">
        <v>180</v>
      </c>
      <c r="M50" s="34">
        <f t="shared" ref="M50:S50" si="26">IF(SUM(M47:M49),SUM(M47:M49),"")</f>
        <v>2</v>
      </c>
      <c r="N50" s="34" t="str">
        <f t="shared" si="26"/>
        <v/>
      </c>
      <c r="O50" s="34" t="str">
        <f t="shared" si="26"/>
        <v/>
      </c>
      <c r="P50" s="34">
        <f t="shared" si="26"/>
        <v>3</v>
      </c>
      <c r="Q50" s="34">
        <f t="shared" si="26"/>
        <v>2</v>
      </c>
      <c r="R50" s="34">
        <f t="shared" si="26"/>
        <v>3</v>
      </c>
      <c r="S50" s="34">
        <f t="shared" si="26"/>
        <v>5</v>
      </c>
      <c r="T50" s="34">
        <f>IF(SUM(T47:T49),SUM(T47:T49),"")</f>
        <v>16</v>
      </c>
      <c r="U50" s="34">
        <f t="shared" ref="U50" si="27">IF(SUM(U47:U49),SUM(U47:U49),"")</f>
        <v>31</v>
      </c>
      <c r="AC50" s="21" t="e">
        <f>#REF!/$U$36</f>
        <v>#REF!</v>
      </c>
      <c r="AD50" s="21"/>
    </row>
    <row r="51" spans="1:37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K51" s="9"/>
      <c r="AC51" s="21" t="e">
        <f>#REF!/$U$36</f>
        <v>#REF!</v>
      </c>
      <c r="AD51" s="21"/>
    </row>
    <row r="52" spans="1:37" ht="12.75" customHeight="1" x14ac:dyDescent="0.25">
      <c r="A52" s="189" t="s">
        <v>110</v>
      </c>
      <c r="B52" s="190"/>
      <c r="C52" s="190"/>
      <c r="D52" s="190"/>
      <c r="E52" s="190"/>
      <c r="F52" s="190"/>
      <c r="G52" s="190"/>
      <c r="H52" s="190"/>
      <c r="I52" s="190"/>
      <c r="J52" s="191"/>
      <c r="K52" s="7"/>
      <c r="L52" s="189" t="s">
        <v>181</v>
      </c>
      <c r="M52" s="190"/>
      <c r="N52" s="190"/>
      <c r="O52" s="190"/>
      <c r="P52" s="190"/>
      <c r="Q52" s="190"/>
      <c r="R52" s="190"/>
      <c r="S52" s="190"/>
      <c r="T52" s="190"/>
      <c r="U52" s="191"/>
      <c r="AC52" s="21" t="e">
        <f>#REF!/$U$36</f>
        <v>#REF!</v>
      </c>
      <c r="AD52" s="21"/>
    </row>
    <row r="53" spans="1:37" ht="12.75" customHeight="1" x14ac:dyDescent="0.25">
      <c r="A53" s="87" t="s">
        <v>8</v>
      </c>
      <c r="B53" s="78">
        <v>8</v>
      </c>
      <c r="C53" s="78"/>
      <c r="D53" s="78"/>
      <c r="E53" s="78"/>
      <c r="F53" s="78">
        <v>5</v>
      </c>
      <c r="G53" s="78">
        <v>1</v>
      </c>
      <c r="H53" s="78">
        <v>1</v>
      </c>
      <c r="I53" s="78">
        <v>4</v>
      </c>
      <c r="J53" s="147">
        <f>IF(SUM(B53:I53),SUM(B53:I53),"")</f>
        <v>19</v>
      </c>
      <c r="K53" s="7"/>
      <c r="L53" s="30" t="s">
        <v>98</v>
      </c>
      <c r="M53" s="78"/>
      <c r="N53" s="78"/>
      <c r="O53" s="78"/>
      <c r="P53" s="78">
        <v>1</v>
      </c>
      <c r="Q53" s="78">
        <v>1</v>
      </c>
      <c r="R53" s="78"/>
      <c r="S53" s="78">
        <v>1</v>
      </c>
      <c r="T53" s="78">
        <v>6</v>
      </c>
      <c r="U53" s="90">
        <f>IF(SUM(M53:T53),SUM(M53:T53),"")</f>
        <v>9</v>
      </c>
      <c r="AC53" s="22">
        <f>J39/$U$36</f>
        <v>0.66666666666666663</v>
      </c>
      <c r="AD53" s="21"/>
    </row>
    <row r="54" spans="1:37" ht="12.75" customHeight="1" x14ac:dyDescent="0.25">
      <c r="A54" s="40" t="s">
        <v>12</v>
      </c>
      <c r="B54" s="80"/>
      <c r="C54" s="80"/>
      <c r="D54" s="80">
        <v>5</v>
      </c>
      <c r="E54" s="80">
        <v>1</v>
      </c>
      <c r="F54" s="80">
        <v>1</v>
      </c>
      <c r="G54" s="80"/>
      <c r="H54" s="80"/>
      <c r="I54" s="80"/>
      <c r="J54" s="148">
        <f t="shared" ref="J54" si="28">IF(SUM(B54:I54),SUM(B54:I54),"")</f>
        <v>7</v>
      </c>
      <c r="K54" s="7"/>
      <c r="L54" s="40" t="s">
        <v>23</v>
      </c>
      <c r="M54" s="41"/>
      <c r="N54" s="41"/>
      <c r="O54" s="41"/>
      <c r="P54" s="41"/>
      <c r="Q54" s="41"/>
      <c r="R54" s="41"/>
      <c r="S54" s="41"/>
      <c r="T54" s="41"/>
      <c r="U54" s="42" t="str">
        <f t="shared" ref="U54:U55" si="29">IF(SUM(M54:T54),SUM(M54:T54),"")</f>
        <v/>
      </c>
      <c r="AC54" s="21"/>
      <c r="AD54" s="21"/>
    </row>
    <row r="55" spans="1:37" ht="12.75" customHeight="1" x14ac:dyDescent="0.25">
      <c r="A55" s="89" t="s">
        <v>35</v>
      </c>
      <c r="B55" s="78"/>
      <c r="C55" s="78"/>
      <c r="D55" s="78"/>
      <c r="E55" s="78"/>
      <c r="F55" s="78"/>
      <c r="G55" s="78"/>
      <c r="H55" s="78">
        <v>1</v>
      </c>
      <c r="I55" s="78"/>
      <c r="J55" s="147">
        <f>IF(SUM(B55:I55),SUM(B55:I55),"")</f>
        <v>1</v>
      </c>
      <c r="K55" s="7"/>
      <c r="L55" s="30" t="s">
        <v>29</v>
      </c>
      <c r="M55" s="78"/>
      <c r="N55" s="78"/>
      <c r="O55" s="78"/>
      <c r="P55" s="78"/>
      <c r="Q55" s="78">
        <v>7</v>
      </c>
      <c r="R55" s="78"/>
      <c r="S55" s="78"/>
      <c r="T55" s="78">
        <v>16</v>
      </c>
      <c r="U55" s="90">
        <f t="shared" si="29"/>
        <v>23</v>
      </c>
      <c r="AC55" s="21"/>
      <c r="AD55" s="21" t="e">
        <f>#REF!/$U$36</f>
        <v>#REF!</v>
      </c>
    </row>
    <row r="56" spans="1:37" ht="12.75" customHeight="1" x14ac:dyDescent="0.25">
      <c r="A56" s="32" t="s">
        <v>111</v>
      </c>
      <c r="B56" s="34">
        <f t="shared" ref="B56:H56" si="30">IF(SUM(B53:B55),SUM(B53:B55),"")</f>
        <v>8</v>
      </c>
      <c r="C56" s="34" t="str">
        <f t="shared" si="30"/>
        <v/>
      </c>
      <c r="D56" s="34">
        <f t="shared" si="30"/>
        <v>5</v>
      </c>
      <c r="E56" s="34">
        <f t="shared" si="30"/>
        <v>1</v>
      </c>
      <c r="F56" s="34">
        <f t="shared" si="30"/>
        <v>6</v>
      </c>
      <c r="G56" s="34">
        <f t="shared" si="30"/>
        <v>1</v>
      </c>
      <c r="H56" s="34">
        <f t="shared" si="30"/>
        <v>2</v>
      </c>
      <c r="I56" s="34">
        <f>IF(SUM(I53:I55),SUM(I53:I55),"")</f>
        <v>4</v>
      </c>
      <c r="J56" s="34">
        <f t="shared" ref="J56" si="31">IF(SUM(J53:J55),SUM(J53:J55),"")</f>
        <v>27</v>
      </c>
      <c r="K56" s="7"/>
      <c r="L56" s="40" t="s">
        <v>62</v>
      </c>
      <c r="M56" s="41"/>
      <c r="N56" s="41"/>
      <c r="O56" s="41"/>
      <c r="P56" s="41">
        <v>1</v>
      </c>
      <c r="Q56" s="41">
        <v>1</v>
      </c>
      <c r="R56" s="41">
        <v>1</v>
      </c>
      <c r="S56" s="41"/>
      <c r="T56" s="41">
        <v>2</v>
      </c>
      <c r="U56" s="42">
        <f>IF(SUM(M56:T56),SUM(M56:T56),"")</f>
        <v>5</v>
      </c>
      <c r="AC56" s="21" t="e">
        <f>#REF!/$U$36</f>
        <v>#REF!</v>
      </c>
      <c r="AD56" s="21" t="e">
        <f>#REF!/$U$36</f>
        <v>#REF!</v>
      </c>
    </row>
    <row r="57" spans="1:37" ht="12.75" customHeight="1" x14ac:dyDescent="0.25">
      <c r="K57" s="7"/>
      <c r="L57" s="87" t="s">
        <v>65</v>
      </c>
      <c r="M57" s="61"/>
      <c r="N57" s="61"/>
      <c r="O57" s="61"/>
      <c r="P57" s="61"/>
      <c r="Q57" s="61"/>
      <c r="R57" s="61"/>
      <c r="S57" s="61"/>
      <c r="T57" s="61">
        <v>3</v>
      </c>
      <c r="U57" s="147">
        <f>IF(SUM(M57:T57),SUM(M57:T57),"")</f>
        <v>3</v>
      </c>
      <c r="V57" s="6"/>
      <c r="W57" s="6"/>
      <c r="X57" s="6"/>
      <c r="Y57" s="6"/>
      <c r="Z57" s="6"/>
      <c r="AA57" s="6"/>
      <c r="AB57" s="6"/>
      <c r="AC57" s="21" t="e">
        <f>#REF!/$U$36</f>
        <v>#REF!</v>
      </c>
      <c r="AD57" s="21" t="e">
        <f>#REF!/$U$36</f>
        <v>#REF!</v>
      </c>
    </row>
    <row r="58" spans="1:37" ht="12.75" customHeight="1" x14ac:dyDescent="0.25">
      <c r="A58" s="189" t="s">
        <v>112</v>
      </c>
      <c r="B58" s="190"/>
      <c r="C58" s="190"/>
      <c r="D58" s="190"/>
      <c r="E58" s="190"/>
      <c r="F58" s="190"/>
      <c r="G58" s="190"/>
      <c r="H58" s="190"/>
      <c r="I58" s="190"/>
      <c r="J58" s="191"/>
      <c r="K58" s="7"/>
      <c r="L58" s="32" t="s">
        <v>182</v>
      </c>
      <c r="M58" s="34" t="str">
        <f>IF(SUM(M53:M57),SUM(M53:M57),"")</f>
        <v/>
      </c>
      <c r="N58" s="34" t="str">
        <f t="shared" ref="N58:U58" si="32">IF(SUM(N53:N57),SUM(N53:N57),"")</f>
        <v/>
      </c>
      <c r="O58" s="34" t="str">
        <f t="shared" si="32"/>
        <v/>
      </c>
      <c r="P58" s="34">
        <f t="shared" si="32"/>
        <v>2</v>
      </c>
      <c r="Q58" s="34">
        <f t="shared" si="32"/>
        <v>9</v>
      </c>
      <c r="R58" s="34">
        <f t="shared" si="32"/>
        <v>1</v>
      </c>
      <c r="S58" s="34">
        <f t="shared" si="32"/>
        <v>1</v>
      </c>
      <c r="T58" s="34">
        <f t="shared" si="32"/>
        <v>27</v>
      </c>
      <c r="U58" s="34">
        <f t="shared" si="32"/>
        <v>40</v>
      </c>
      <c r="AC58" s="21" t="e">
        <f>#REF!/$U$36</f>
        <v>#REF!</v>
      </c>
      <c r="AD58" s="22">
        <f>U29/$U$36</f>
        <v>0.83333333333333337</v>
      </c>
    </row>
    <row r="59" spans="1:37" ht="12.75" customHeight="1" x14ac:dyDescent="0.25">
      <c r="A59" s="87" t="s">
        <v>13</v>
      </c>
      <c r="B59" s="78"/>
      <c r="C59" s="78"/>
      <c r="D59" s="78"/>
      <c r="E59" s="78"/>
      <c r="F59" s="78"/>
      <c r="G59" s="78"/>
      <c r="H59" s="78"/>
      <c r="I59" s="78"/>
      <c r="J59" s="147" t="str">
        <f>IF(SUM(B59:I59),SUM(B59:I59),"")</f>
        <v/>
      </c>
      <c r="K59" s="7"/>
      <c r="AC59" s="22">
        <f>J50/$U$36</f>
        <v>1.1666666666666667</v>
      </c>
      <c r="AD59" s="21"/>
    </row>
    <row r="60" spans="1:37" ht="12.75" customHeight="1" x14ac:dyDescent="0.25">
      <c r="A60" s="40" t="s">
        <v>43</v>
      </c>
      <c r="B60" s="80"/>
      <c r="C60" s="80"/>
      <c r="D60" s="80"/>
      <c r="E60" s="80"/>
      <c r="F60" s="80"/>
      <c r="G60" s="80">
        <v>1</v>
      </c>
      <c r="H60" s="80"/>
      <c r="I60" s="80"/>
      <c r="J60" s="148">
        <f t="shared" ref="J60" si="33">IF(SUM(B60:I60),SUM(B60:I60),"")</f>
        <v>1</v>
      </c>
      <c r="K60" s="7"/>
      <c r="L60" s="189" t="s">
        <v>183</v>
      </c>
      <c r="M60" s="190"/>
      <c r="N60" s="190"/>
      <c r="O60" s="190"/>
      <c r="P60" s="190"/>
      <c r="Q60" s="190"/>
      <c r="R60" s="190"/>
      <c r="S60" s="190"/>
      <c r="T60" s="190"/>
      <c r="U60" s="191"/>
      <c r="AD60" s="21"/>
    </row>
    <row r="61" spans="1:37" ht="12.75" customHeight="1" x14ac:dyDescent="0.25">
      <c r="A61" s="89" t="s">
        <v>56</v>
      </c>
      <c r="B61" s="78">
        <v>8</v>
      </c>
      <c r="C61" s="78"/>
      <c r="D61" s="78"/>
      <c r="E61" s="78"/>
      <c r="F61" s="78"/>
      <c r="G61" s="78"/>
      <c r="H61" s="78"/>
      <c r="I61" s="78"/>
      <c r="J61" s="147">
        <f>IF(SUM(B61:I61),SUM(B61:I61),"")</f>
        <v>8</v>
      </c>
      <c r="K61" s="7"/>
      <c r="L61" s="30" t="s">
        <v>7</v>
      </c>
      <c r="M61" s="31"/>
      <c r="N61" s="31"/>
      <c r="O61" s="31"/>
      <c r="P61" s="31"/>
      <c r="Q61" s="31">
        <v>1</v>
      </c>
      <c r="R61" s="31"/>
      <c r="S61" s="31"/>
      <c r="T61" s="31"/>
      <c r="U61" s="90">
        <f>IF(SUM(M61:T61),SUM(M61:T61),"")</f>
        <v>1</v>
      </c>
      <c r="AD61" s="21">
        <f>U35/$U$36</f>
        <v>0.5</v>
      </c>
    </row>
    <row r="62" spans="1:37" ht="12.75" customHeight="1" x14ac:dyDescent="0.25">
      <c r="A62" s="40" t="s">
        <v>67</v>
      </c>
      <c r="B62" s="80"/>
      <c r="C62" s="80"/>
      <c r="D62" s="80"/>
      <c r="E62" s="80"/>
      <c r="F62" s="80"/>
      <c r="G62" s="80"/>
      <c r="H62" s="80"/>
      <c r="I62" s="80"/>
      <c r="J62" s="148" t="str">
        <f>IF(SUM(B62:I62),SUM(B62:I62),"")</f>
        <v/>
      </c>
      <c r="K62" s="7"/>
      <c r="L62" s="40" t="s">
        <v>48</v>
      </c>
      <c r="M62" s="41"/>
      <c r="N62" s="41"/>
      <c r="O62" s="41"/>
      <c r="P62" s="41"/>
      <c r="Q62" s="41"/>
      <c r="R62" s="41"/>
      <c r="S62" s="41"/>
      <c r="T62" s="41"/>
      <c r="U62" s="42" t="str">
        <f t="shared" ref="U62" si="34">IF(SUM(M62:T62),SUM(M62:T62),"")</f>
        <v/>
      </c>
      <c r="W62" s="6"/>
      <c r="X62" s="6"/>
      <c r="Y62" s="6"/>
      <c r="Z62" s="6"/>
      <c r="AA62" s="6"/>
      <c r="AB62" s="6"/>
      <c r="AD62" s="21"/>
    </row>
    <row r="63" spans="1:37" ht="12.75" customHeight="1" x14ac:dyDescent="0.25">
      <c r="A63" s="32" t="s">
        <v>113</v>
      </c>
      <c r="B63" s="34">
        <f t="shared" ref="B63:H63" si="35">IF(SUM(B59:B62),SUM(B59:B62),"")</f>
        <v>8</v>
      </c>
      <c r="C63" s="34" t="str">
        <f t="shared" si="35"/>
        <v/>
      </c>
      <c r="D63" s="34" t="str">
        <f t="shared" si="35"/>
        <v/>
      </c>
      <c r="E63" s="34" t="str">
        <f t="shared" si="35"/>
        <v/>
      </c>
      <c r="F63" s="34" t="str">
        <f t="shared" si="35"/>
        <v/>
      </c>
      <c r="G63" s="34">
        <f t="shared" si="35"/>
        <v>1</v>
      </c>
      <c r="H63" s="34" t="str">
        <f t="shared" si="35"/>
        <v/>
      </c>
      <c r="I63" s="34" t="str">
        <f>IF(SUM(I59:I62),SUM(I59:I62),"")</f>
        <v/>
      </c>
      <c r="J63" s="34">
        <f t="shared" ref="J63" si="36">IF(SUM(J59:J62),SUM(J59:J62),"")</f>
        <v>9</v>
      </c>
      <c r="L63" s="30" t="s">
        <v>57</v>
      </c>
      <c r="M63" s="92"/>
      <c r="N63" s="92"/>
      <c r="O63" s="92"/>
      <c r="P63" s="92"/>
      <c r="Q63" s="92"/>
      <c r="R63" s="92"/>
      <c r="S63" s="92"/>
      <c r="T63" s="92"/>
      <c r="U63" s="90" t="str">
        <f>IF(SUM(M63:T63),SUM(M63:T63),"")</f>
        <v/>
      </c>
      <c r="V63" s="6"/>
      <c r="W63" s="6"/>
      <c r="X63" s="6"/>
      <c r="Y63" s="6"/>
      <c r="Z63" s="6"/>
      <c r="AA63" s="6"/>
      <c r="AB63" s="6"/>
      <c r="AK63" s="21"/>
    </row>
    <row r="64" spans="1:37" ht="12.75" customHeight="1" x14ac:dyDescent="0.25">
      <c r="L64" s="32" t="s">
        <v>184</v>
      </c>
      <c r="M64" s="34" t="str">
        <f t="shared" ref="M64:T64" si="37">IF(SUM(M61:M63),SUM(M61:M63),"")</f>
        <v/>
      </c>
      <c r="N64" s="34" t="str">
        <f t="shared" si="37"/>
        <v/>
      </c>
      <c r="O64" s="34" t="str">
        <f t="shared" si="37"/>
        <v/>
      </c>
      <c r="P64" s="34" t="str">
        <f t="shared" si="37"/>
        <v/>
      </c>
      <c r="Q64" s="34">
        <f t="shared" si="37"/>
        <v>1</v>
      </c>
      <c r="R64" s="34" t="str">
        <f t="shared" si="37"/>
        <v/>
      </c>
      <c r="S64" s="34" t="str">
        <f t="shared" si="37"/>
        <v/>
      </c>
      <c r="T64" s="34" t="str">
        <f t="shared" si="37"/>
        <v/>
      </c>
      <c r="U64" s="151">
        <f>IF(SUM(U61:U63),SUM(U61:U63),"")</f>
        <v>1</v>
      </c>
      <c r="V64" s="6"/>
      <c r="AC64" s="19" t="s">
        <v>135</v>
      </c>
      <c r="AD64" s="19" t="s">
        <v>145</v>
      </c>
      <c r="AE64" s="19" t="s">
        <v>146</v>
      </c>
      <c r="AF64" s="19" t="s">
        <v>147</v>
      </c>
      <c r="AG64" s="19" t="s">
        <v>148</v>
      </c>
      <c r="AH64" s="19" t="s">
        <v>149</v>
      </c>
      <c r="AI64" s="19" t="s">
        <v>150</v>
      </c>
      <c r="AJ64" s="19">
        <v>300</v>
      </c>
    </row>
    <row r="65" spans="1:36" ht="12.75" customHeight="1" x14ac:dyDescent="0.25">
      <c r="A65" s="189" t="s">
        <v>114</v>
      </c>
      <c r="B65" s="190"/>
      <c r="C65" s="190"/>
      <c r="D65" s="190"/>
      <c r="E65" s="190"/>
      <c r="F65" s="190"/>
      <c r="G65" s="190"/>
      <c r="H65" s="190"/>
      <c r="I65" s="190"/>
      <c r="J65" s="191"/>
      <c r="L65" s="5"/>
      <c r="P65" s="4"/>
      <c r="Q65" s="4"/>
      <c r="R65" s="4"/>
      <c r="S65" s="4"/>
      <c r="T65" s="4"/>
      <c r="U65" s="25"/>
      <c r="AC65" s="21" t="e">
        <f t="shared" ref="AC65:AJ65" si="38">M36/$U$36</f>
        <v>#VALUE!</v>
      </c>
      <c r="AD65" s="21" t="e">
        <f t="shared" si="38"/>
        <v>#VALUE!</v>
      </c>
      <c r="AE65" s="21">
        <f t="shared" si="38"/>
        <v>0.16666666666666666</v>
      </c>
      <c r="AF65" s="21">
        <f t="shared" si="38"/>
        <v>0.16666666666666666</v>
      </c>
      <c r="AG65" s="21">
        <f t="shared" si="38"/>
        <v>0.33333333333333331</v>
      </c>
      <c r="AH65" s="21">
        <f t="shared" si="38"/>
        <v>0.16666666666666666</v>
      </c>
      <c r="AI65" s="21" t="e">
        <f t="shared" si="38"/>
        <v>#VALUE!</v>
      </c>
      <c r="AJ65" s="21">
        <f t="shared" si="38"/>
        <v>0.16666666666666666</v>
      </c>
    </row>
    <row r="66" spans="1:36" ht="12.75" customHeight="1" x14ac:dyDescent="0.25">
      <c r="A66" s="30" t="s">
        <v>1</v>
      </c>
      <c r="B66" s="78"/>
      <c r="C66" s="78"/>
      <c r="D66" s="78"/>
      <c r="E66" s="78"/>
      <c r="F66" s="78"/>
      <c r="G66" s="78"/>
      <c r="H66" s="78"/>
      <c r="I66" s="78"/>
      <c r="J66" s="147" t="str">
        <f>IF(SUM(B66:I66),SUM(B66:I66),"")</f>
        <v/>
      </c>
      <c r="L66" s="189" t="s">
        <v>185</v>
      </c>
      <c r="M66" s="190"/>
      <c r="N66" s="190"/>
      <c r="O66" s="190"/>
      <c r="P66" s="190"/>
      <c r="Q66" s="190"/>
      <c r="R66" s="190"/>
      <c r="S66" s="190"/>
      <c r="T66" s="190"/>
      <c r="U66" s="191"/>
    </row>
    <row r="67" spans="1:36" ht="12.75" customHeight="1" x14ac:dyDescent="0.25">
      <c r="A67" s="40" t="s">
        <v>209</v>
      </c>
      <c r="B67" s="80"/>
      <c r="C67" s="80"/>
      <c r="D67" s="80">
        <v>5</v>
      </c>
      <c r="E67" s="80"/>
      <c r="F67" s="80"/>
      <c r="G67" s="80"/>
      <c r="H67" s="80"/>
      <c r="I67" s="80"/>
      <c r="J67" s="148">
        <f t="shared" ref="J67:J68" si="39">IF(SUM(B67:I67),SUM(B67:I67),"")</f>
        <v>5</v>
      </c>
      <c r="L67" s="30" t="s">
        <v>97</v>
      </c>
      <c r="M67" s="78">
        <v>2</v>
      </c>
      <c r="N67" s="78"/>
      <c r="O67" s="78">
        <v>1</v>
      </c>
      <c r="P67" s="78">
        <v>7</v>
      </c>
      <c r="Q67" s="78">
        <v>2</v>
      </c>
      <c r="R67" s="78">
        <v>1</v>
      </c>
      <c r="S67" s="78">
        <v>1</v>
      </c>
      <c r="T67" s="91">
        <v>12.000000000000002</v>
      </c>
      <c r="U67" s="90">
        <f>IF(SUM(M67:T67),SUM(M67:T67),"")</f>
        <v>26</v>
      </c>
    </row>
    <row r="68" spans="1:36" ht="12.75" customHeight="1" x14ac:dyDescent="0.25">
      <c r="A68" s="87" t="s">
        <v>17</v>
      </c>
      <c r="B68" s="78"/>
      <c r="C68" s="78"/>
      <c r="D68" s="78"/>
      <c r="E68" s="78"/>
      <c r="F68" s="78"/>
      <c r="G68" s="78"/>
      <c r="H68" s="78"/>
      <c r="I68" s="78"/>
      <c r="J68" s="147" t="str">
        <f t="shared" si="39"/>
        <v/>
      </c>
      <c r="L68" s="32" t="s">
        <v>186</v>
      </c>
      <c r="M68" s="34">
        <f t="shared" ref="M68:U68" si="40">IF(SUM(M67:M67),SUM(M67:M67),"")</f>
        <v>2</v>
      </c>
      <c r="N68" s="34" t="str">
        <f t="shared" si="40"/>
        <v/>
      </c>
      <c r="O68" s="34">
        <f t="shared" si="40"/>
        <v>1</v>
      </c>
      <c r="P68" s="34">
        <f t="shared" si="40"/>
        <v>7</v>
      </c>
      <c r="Q68" s="34">
        <f t="shared" si="40"/>
        <v>2</v>
      </c>
      <c r="R68" s="34">
        <f t="shared" si="40"/>
        <v>1</v>
      </c>
      <c r="S68" s="34">
        <f t="shared" si="40"/>
        <v>1</v>
      </c>
      <c r="T68" s="34">
        <f t="shared" si="40"/>
        <v>12.000000000000002</v>
      </c>
      <c r="U68" s="34">
        <f t="shared" si="40"/>
        <v>26</v>
      </c>
    </row>
    <row r="69" spans="1:36" ht="12.75" customHeight="1" x14ac:dyDescent="0.25">
      <c r="A69" s="40" t="s">
        <v>60</v>
      </c>
      <c r="B69" s="80"/>
      <c r="C69" s="80"/>
      <c r="D69" s="80"/>
      <c r="E69" s="80"/>
      <c r="F69" s="80"/>
      <c r="G69" s="80"/>
      <c r="H69" s="80"/>
      <c r="I69" s="80"/>
      <c r="J69" s="148" t="str">
        <f>IF(SUM(B69:I69),SUM(B69:I69),"")</f>
        <v/>
      </c>
      <c r="L69" s="5"/>
      <c r="P69" s="5"/>
      <c r="Q69" s="5"/>
      <c r="R69" s="5"/>
      <c r="S69" s="5"/>
      <c r="T69" s="5"/>
      <c r="U69" s="25"/>
    </row>
    <row r="70" spans="1:36" ht="12.75" customHeight="1" x14ac:dyDescent="0.25">
      <c r="A70" s="32" t="s">
        <v>115</v>
      </c>
      <c r="B70" s="34" t="str">
        <f>IF(SUM(B66:B69),SUM(B66:B69),"")</f>
        <v/>
      </c>
      <c r="C70" s="34" t="str">
        <f t="shared" ref="C70:J70" si="41">IF(SUM(C66:C69),SUM(C66:C69),"")</f>
        <v/>
      </c>
      <c r="D70" s="34">
        <f t="shared" si="41"/>
        <v>5</v>
      </c>
      <c r="E70" s="34" t="str">
        <f t="shared" si="41"/>
        <v/>
      </c>
      <c r="F70" s="34" t="str">
        <f t="shared" si="41"/>
        <v/>
      </c>
      <c r="G70" s="34" t="str">
        <f t="shared" si="41"/>
        <v/>
      </c>
      <c r="H70" s="34" t="str">
        <f t="shared" si="41"/>
        <v/>
      </c>
      <c r="I70" s="34" t="str">
        <f t="shared" si="41"/>
        <v/>
      </c>
      <c r="J70" s="34">
        <f t="shared" si="41"/>
        <v>5</v>
      </c>
      <c r="L70" s="32" t="s">
        <v>121</v>
      </c>
      <c r="M70" s="34">
        <f t="shared" ref="M70:U70" si="42">IF(SUM(B10,B17,B25,B33,B39,B50,B56,B63,B70,M9,M16,M22,M29,M36,M44,M50,M58,M64,M68),SUM(B10,B17,B25,B33,B39,B50,B56,B63,B70,M9,M16,M22,M29,M36,M44,M50,M58,M64,M68),"")</f>
        <v>66</v>
      </c>
      <c r="N70" s="34">
        <f t="shared" si="42"/>
        <v>1</v>
      </c>
      <c r="O70" s="34">
        <f t="shared" si="42"/>
        <v>12</v>
      </c>
      <c r="P70" s="34">
        <f t="shared" si="42"/>
        <v>206</v>
      </c>
      <c r="Q70" s="34">
        <f t="shared" si="42"/>
        <v>397</v>
      </c>
      <c r="R70" s="34">
        <f t="shared" si="42"/>
        <v>27</v>
      </c>
      <c r="S70" s="34">
        <f t="shared" si="42"/>
        <v>15</v>
      </c>
      <c r="T70" s="34">
        <f t="shared" si="42"/>
        <v>81</v>
      </c>
      <c r="U70" s="34">
        <f t="shared" si="42"/>
        <v>805</v>
      </c>
    </row>
    <row r="71" spans="1:36" x14ac:dyDescent="0.25">
      <c r="L71" s="5"/>
      <c r="P71" s="5"/>
      <c r="Q71" s="5"/>
      <c r="R71" s="5"/>
      <c r="S71" s="5"/>
      <c r="T71" s="5"/>
      <c r="U71" s="25"/>
    </row>
    <row r="72" spans="1:36" x14ac:dyDescent="0.25">
      <c r="L72" s="5"/>
      <c r="M72" s="5"/>
      <c r="N72" s="5"/>
      <c r="O72" s="5"/>
      <c r="P72" s="5"/>
      <c r="Q72" s="5"/>
      <c r="R72" s="5"/>
      <c r="S72" s="5"/>
      <c r="T72" s="5"/>
      <c r="U72" s="25"/>
    </row>
    <row r="73" spans="1:36" x14ac:dyDescent="0.25">
      <c r="L73" s="5"/>
      <c r="M73" s="5"/>
      <c r="N73" s="5"/>
      <c r="O73" s="5"/>
      <c r="P73" s="5"/>
      <c r="Q73" s="5"/>
      <c r="R73" s="5"/>
      <c r="S73" s="5"/>
      <c r="T73" s="5"/>
      <c r="U73" s="25"/>
    </row>
    <row r="74" spans="1:36" x14ac:dyDescent="0.25">
      <c r="L74" s="5"/>
      <c r="M74" s="5"/>
      <c r="N74" s="5"/>
      <c r="O74" s="5"/>
      <c r="P74" s="5"/>
      <c r="Q74" s="5"/>
      <c r="R74" s="5"/>
      <c r="S74" s="5"/>
      <c r="T74" s="5"/>
      <c r="U74" s="25"/>
    </row>
    <row r="75" spans="1:36" x14ac:dyDescent="0.25">
      <c r="L75" s="5"/>
      <c r="Q75" s="5"/>
      <c r="R75" s="5"/>
      <c r="S75" s="5"/>
      <c r="T75" s="5"/>
      <c r="U75" s="25"/>
    </row>
    <row r="76" spans="1:36" x14ac:dyDescent="0.25">
      <c r="L76" s="5"/>
      <c r="Q76" s="5"/>
      <c r="R76" s="5"/>
      <c r="S76" s="5"/>
      <c r="T76" s="5"/>
      <c r="U76" s="25"/>
    </row>
    <row r="81" spans="1:38" x14ac:dyDescent="0.25">
      <c r="E81" s="5"/>
      <c r="F81" s="5"/>
      <c r="G81" s="5"/>
      <c r="H81" s="5"/>
      <c r="I81" s="5"/>
      <c r="J81" s="25"/>
    </row>
    <row r="82" spans="1:38" x14ac:dyDescent="0.25">
      <c r="E82" s="5"/>
      <c r="F82" s="5"/>
      <c r="G82" s="5"/>
      <c r="H82" s="5"/>
      <c r="I82" s="5"/>
      <c r="J82" s="25"/>
    </row>
    <row r="83" spans="1:38" x14ac:dyDescent="0.25">
      <c r="E83" s="5"/>
      <c r="F83" s="5"/>
      <c r="G83" s="5"/>
      <c r="H83" s="5"/>
      <c r="I83" s="5"/>
      <c r="J83" s="25"/>
    </row>
    <row r="84" spans="1:38" x14ac:dyDescent="0.25">
      <c r="E84" s="5"/>
      <c r="F84" s="5"/>
      <c r="G84" s="5"/>
      <c r="H84" s="5"/>
      <c r="I84" s="5"/>
      <c r="J84" s="25"/>
    </row>
    <row r="85" spans="1:38" x14ac:dyDescent="0.25">
      <c r="E85" s="5"/>
      <c r="F85" s="5"/>
      <c r="G85" s="5"/>
      <c r="H85" s="5"/>
      <c r="I85" s="5"/>
      <c r="J85" s="25"/>
    </row>
    <row r="86" spans="1:38" x14ac:dyDescent="0.25">
      <c r="E86" s="5"/>
      <c r="F86" s="5"/>
      <c r="G86" s="5"/>
      <c r="H86" s="5"/>
      <c r="I86" s="5"/>
      <c r="J86" s="25"/>
      <c r="M86" s="5"/>
      <c r="N86" s="5"/>
      <c r="O86" s="5"/>
      <c r="P86" s="5"/>
    </row>
    <row r="87" spans="1:38" x14ac:dyDescent="0.25">
      <c r="E87" s="5"/>
      <c r="F87" s="5"/>
      <c r="G87" s="5"/>
      <c r="H87" s="5"/>
      <c r="I87" s="5"/>
      <c r="J87" s="25"/>
      <c r="P87" s="5"/>
    </row>
    <row r="88" spans="1:38" x14ac:dyDescent="0.25">
      <c r="E88" s="5"/>
      <c r="F88" s="5"/>
      <c r="G88" s="5"/>
      <c r="H88" s="5"/>
      <c r="I88" s="5"/>
      <c r="J88" s="25"/>
    </row>
    <row r="89" spans="1:38" x14ac:dyDescent="0.25">
      <c r="E89" s="5"/>
      <c r="F89" s="5"/>
      <c r="G89" s="5"/>
      <c r="H89" s="5"/>
      <c r="I89" s="5"/>
      <c r="J89" s="25"/>
    </row>
    <row r="90" spans="1:38" x14ac:dyDescent="0.25">
      <c r="E90" s="5"/>
      <c r="F90" s="5"/>
      <c r="G90" s="5"/>
      <c r="H90" s="5"/>
      <c r="I90" s="5"/>
      <c r="J90" s="25"/>
    </row>
    <row r="91" spans="1:38" x14ac:dyDescent="0.25">
      <c r="E91" s="5"/>
      <c r="F91" s="5"/>
      <c r="G91" s="5"/>
      <c r="H91" s="5"/>
      <c r="I91" s="5"/>
      <c r="J91" s="25"/>
    </row>
    <row r="92" spans="1:38" x14ac:dyDescent="0.25">
      <c r="E92" s="5"/>
      <c r="F92" s="5"/>
      <c r="G92" s="5"/>
      <c r="H92" s="5"/>
      <c r="I92" s="5"/>
      <c r="J92" s="25"/>
    </row>
    <row r="93" spans="1:38" ht="15.75" customHeight="1" x14ac:dyDescent="0.25">
      <c r="E93" s="5"/>
      <c r="F93" s="5"/>
      <c r="G93" s="5"/>
      <c r="H93" s="5"/>
      <c r="I93" s="5"/>
      <c r="J93" s="25"/>
    </row>
    <row r="94" spans="1:38" s="27" customFormat="1" ht="15.95" customHeight="1" x14ac:dyDescent="0.25">
      <c r="A94" s="96"/>
      <c r="B94" s="96" t="s">
        <v>134</v>
      </c>
      <c r="C94" s="96"/>
      <c r="D94" s="93"/>
      <c r="E94" s="5"/>
      <c r="F94" s="5"/>
      <c r="G94" s="5"/>
      <c r="H94" s="5"/>
      <c r="I94" s="5"/>
      <c r="J94" s="25"/>
      <c r="K94" s="26"/>
      <c r="L94" s="1"/>
      <c r="P94" s="1"/>
      <c r="Q94" s="1"/>
      <c r="R94" s="1"/>
      <c r="S94" s="1"/>
      <c r="T94" s="1"/>
      <c r="U94" s="10"/>
      <c r="AC94" s="28"/>
      <c r="AD94" s="28"/>
      <c r="AE94" s="28"/>
      <c r="AF94" s="28"/>
      <c r="AG94" s="28"/>
      <c r="AH94" s="28"/>
      <c r="AI94" s="28"/>
      <c r="AJ94" s="28"/>
      <c r="AK94" s="28"/>
      <c r="AL94" s="29"/>
    </row>
    <row r="95" spans="1:38" s="27" customFormat="1" ht="15.95" customHeight="1" x14ac:dyDescent="0.25">
      <c r="A95" s="97" t="s">
        <v>122</v>
      </c>
      <c r="B95" s="94">
        <f>J10</f>
        <v>190</v>
      </c>
      <c r="C95" s="98">
        <f>B95/$B$114</f>
        <v>0.2360248447204969</v>
      </c>
      <c r="D95" s="93"/>
      <c r="E95" s="1"/>
      <c r="F95" s="1"/>
      <c r="G95" s="1"/>
      <c r="H95" s="1"/>
      <c r="I95" s="1"/>
      <c r="J95" s="10"/>
      <c r="K95" s="26"/>
      <c r="L95" s="1"/>
      <c r="M95" s="105" t="s">
        <v>135</v>
      </c>
      <c r="N95" s="106">
        <f>M70</f>
        <v>66</v>
      </c>
      <c r="O95" s="98">
        <f t="shared" ref="O95:O102" si="43">N95/$N$103</f>
        <v>8.1987577639751549E-2</v>
      </c>
      <c r="P95" s="1"/>
      <c r="Q95" s="1"/>
      <c r="R95" s="1"/>
      <c r="S95" s="1"/>
      <c r="T95" s="1"/>
      <c r="U95" s="10"/>
      <c r="AC95" s="28"/>
      <c r="AD95" s="28"/>
      <c r="AE95" s="28"/>
      <c r="AF95" s="28"/>
      <c r="AG95" s="28"/>
      <c r="AH95" s="28"/>
      <c r="AI95" s="28"/>
      <c r="AJ95" s="28"/>
      <c r="AK95" s="28"/>
      <c r="AL95" s="29"/>
    </row>
    <row r="96" spans="1:38" s="27" customFormat="1" ht="15.95" customHeight="1" x14ac:dyDescent="0.25">
      <c r="A96" s="97" t="s">
        <v>124</v>
      </c>
      <c r="B96" s="94">
        <f>J17</f>
        <v>70</v>
      </c>
      <c r="C96" s="98">
        <f t="shared" ref="C96:C113" si="44">B96/$B$114</f>
        <v>8.6956521739130432E-2</v>
      </c>
      <c r="D96" s="93"/>
      <c r="E96" s="1"/>
      <c r="F96" s="1"/>
      <c r="G96" s="1"/>
      <c r="H96" s="1"/>
      <c r="I96" s="1"/>
      <c r="J96" s="10"/>
      <c r="K96" s="26"/>
      <c r="L96" s="1"/>
      <c r="M96" s="105" t="s">
        <v>136</v>
      </c>
      <c r="N96" s="106">
        <f>N70</f>
        <v>1</v>
      </c>
      <c r="O96" s="98">
        <f t="shared" si="43"/>
        <v>1.2422360248447205E-3</v>
      </c>
      <c r="P96" s="1"/>
      <c r="Q96" s="1"/>
      <c r="R96" s="1"/>
      <c r="S96" s="1"/>
      <c r="T96" s="1"/>
      <c r="U96" s="10"/>
      <c r="AC96" s="28"/>
      <c r="AD96" s="28"/>
      <c r="AE96" s="28"/>
      <c r="AF96" s="28"/>
      <c r="AG96" s="28"/>
      <c r="AH96" s="28"/>
      <c r="AI96" s="28"/>
      <c r="AJ96" s="28"/>
      <c r="AK96" s="28"/>
      <c r="AL96" s="29"/>
    </row>
    <row r="97" spans="1:38" s="27" customFormat="1" ht="15.95" customHeight="1" x14ac:dyDescent="0.25">
      <c r="A97" s="97" t="s">
        <v>123</v>
      </c>
      <c r="B97" s="94">
        <f>J25</f>
        <v>308</v>
      </c>
      <c r="C97" s="98">
        <f t="shared" si="44"/>
        <v>0.38260869565217392</v>
      </c>
      <c r="D97" s="93"/>
      <c r="E97" s="1"/>
      <c r="F97" s="1"/>
      <c r="G97" s="1"/>
      <c r="H97" s="1"/>
      <c r="I97" s="1"/>
      <c r="J97" s="10"/>
      <c r="K97" s="26"/>
      <c r="L97" s="1"/>
      <c r="M97" s="105" t="s">
        <v>137</v>
      </c>
      <c r="N97" s="106">
        <f>O70</f>
        <v>12</v>
      </c>
      <c r="O97" s="98">
        <f t="shared" si="43"/>
        <v>1.4906832298136646E-2</v>
      </c>
      <c r="P97" s="1"/>
      <c r="Q97" s="1"/>
      <c r="R97" s="1"/>
      <c r="S97" s="1"/>
      <c r="T97" s="1"/>
      <c r="U97" s="10"/>
      <c r="AC97" s="28"/>
      <c r="AD97" s="28"/>
      <c r="AE97" s="28"/>
      <c r="AF97" s="28"/>
      <c r="AG97" s="28"/>
      <c r="AH97" s="28"/>
      <c r="AI97" s="28"/>
      <c r="AJ97" s="28"/>
      <c r="AK97" s="28"/>
      <c r="AL97" s="29"/>
    </row>
    <row r="98" spans="1:38" s="27" customFormat="1" ht="15.95" customHeight="1" x14ac:dyDescent="0.25">
      <c r="A98" s="97" t="s">
        <v>125</v>
      </c>
      <c r="B98" s="94">
        <f>J33</f>
        <v>27</v>
      </c>
      <c r="C98" s="98">
        <f t="shared" si="44"/>
        <v>3.354037267080745E-2</v>
      </c>
      <c r="D98" s="93"/>
      <c r="E98" s="1"/>
      <c r="F98" s="1"/>
      <c r="G98" s="1"/>
      <c r="H98" s="1"/>
      <c r="I98" s="1"/>
      <c r="J98" s="10"/>
      <c r="K98" s="26"/>
      <c r="L98" s="1"/>
      <c r="M98" s="105" t="s">
        <v>138</v>
      </c>
      <c r="N98" s="106">
        <f>P70</f>
        <v>206</v>
      </c>
      <c r="O98" s="98">
        <f t="shared" si="43"/>
        <v>0.25590062111801243</v>
      </c>
      <c r="P98" s="1"/>
      <c r="Q98" s="1"/>
      <c r="R98" s="1"/>
      <c r="S98" s="1"/>
      <c r="T98" s="1"/>
      <c r="U98" s="10"/>
      <c r="AC98" s="28"/>
      <c r="AD98" s="28"/>
      <c r="AE98" s="28"/>
      <c r="AF98" s="28"/>
      <c r="AG98" s="28"/>
      <c r="AH98" s="28"/>
      <c r="AI98" s="28"/>
      <c r="AJ98" s="28"/>
      <c r="AK98" s="28"/>
      <c r="AL98" s="29"/>
    </row>
    <row r="99" spans="1:38" s="27" customFormat="1" ht="15.95" customHeight="1" x14ac:dyDescent="0.25">
      <c r="A99" s="97" t="s">
        <v>126</v>
      </c>
      <c r="B99" s="94">
        <f>J39</f>
        <v>4</v>
      </c>
      <c r="C99" s="98">
        <f t="shared" si="44"/>
        <v>4.9689440993788822E-3</v>
      </c>
      <c r="D99" s="93"/>
      <c r="E99" s="1"/>
      <c r="F99" s="1"/>
      <c r="G99" s="1"/>
      <c r="H99" s="1"/>
      <c r="I99" s="1"/>
      <c r="J99" s="10"/>
      <c r="K99" s="26"/>
      <c r="L99" s="1"/>
      <c r="M99" s="105" t="s">
        <v>139</v>
      </c>
      <c r="N99" s="106">
        <f>Q70</f>
        <v>397</v>
      </c>
      <c r="O99" s="98">
        <f t="shared" si="43"/>
        <v>0.49316770186335401</v>
      </c>
      <c r="P99" s="1"/>
      <c r="Q99" s="1"/>
      <c r="R99" s="1"/>
      <c r="S99" s="1"/>
      <c r="T99" s="1"/>
      <c r="U99" s="10"/>
      <c r="AC99" s="28"/>
      <c r="AD99" s="28"/>
      <c r="AE99" s="28"/>
      <c r="AF99" s="28"/>
      <c r="AG99" s="28"/>
      <c r="AH99" s="28"/>
      <c r="AI99" s="28"/>
      <c r="AJ99" s="28"/>
      <c r="AK99" s="28"/>
      <c r="AL99" s="29"/>
    </row>
    <row r="100" spans="1:38" s="27" customFormat="1" ht="15.95" customHeight="1" x14ac:dyDescent="0.25">
      <c r="A100" s="97" t="s">
        <v>127</v>
      </c>
      <c r="B100" s="94">
        <f>J50</f>
        <v>7</v>
      </c>
      <c r="C100" s="98">
        <f>B100/$B$114</f>
        <v>8.6956521739130436E-3</v>
      </c>
      <c r="D100" s="98"/>
      <c r="E100" s="1"/>
      <c r="F100" s="1"/>
      <c r="G100" s="1"/>
      <c r="H100" s="1"/>
      <c r="I100" s="1"/>
      <c r="J100" s="10"/>
      <c r="K100" s="26"/>
      <c r="L100" s="1"/>
      <c r="M100" s="105" t="s">
        <v>140</v>
      </c>
      <c r="N100" s="106">
        <f>R70</f>
        <v>27</v>
      </c>
      <c r="O100" s="98">
        <f t="shared" si="43"/>
        <v>3.354037267080745E-2</v>
      </c>
      <c r="P100" s="1"/>
      <c r="Q100" s="1"/>
      <c r="R100" s="1"/>
      <c r="S100" s="1"/>
      <c r="T100" s="1"/>
      <c r="U100" s="10"/>
      <c r="AC100" s="28"/>
      <c r="AD100" s="28"/>
      <c r="AE100" s="28"/>
      <c r="AF100" s="28"/>
      <c r="AG100" s="28"/>
      <c r="AH100" s="28"/>
      <c r="AI100" s="28"/>
      <c r="AJ100" s="28"/>
      <c r="AK100" s="28"/>
      <c r="AL100" s="29"/>
    </row>
    <row r="101" spans="1:38" s="27" customFormat="1" ht="15.95" customHeight="1" x14ac:dyDescent="0.25">
      <c r="A101" s="97" t="s">
        <v>128</v>
      </c>
      <c r="B101" s="94">
        <f>J56</f>
        <v>27</v>
      </c>
      <c r="C101" s="98">
        <f t="shared" si="44"/>
        <v>3.354037267080745E-2</v>
      </c>
      <c r="D101" s="98"/>
      <c r="E101" s="1"/>
      <c r="F101" s="1"/>
      <c r="G101" s="1"/>
      <c r="H101" s="1"/>
      <c r="I101" s="1"/>
      <c r="J101" s="10"/>
      <c r="K101" s="26"/>
      <c r="L101" s="1"/>
      <c r="M101" s="105" t="s">
        <v>141</v>
      </c>
      <c r="N101" s="106">
        <f>S70</f>
        <v>15</v>
      </c>
      <c r="O101" s="98">
        <f t="shared" si="43"/>
        <v>1.8633540372670808E-2</v>
      </c>
      <c r="P101" s="1"/>
      <c r="Q101" s="1"/>
      <c r="R101" s="1"/>
      <c r="S101" s="1"/>
      <c r="T101" s="1"/>
      <c r="U101" s="10"/>
      <c r="AC101" s="28"/>
      <c r="AD101" s="28"/>
      <c r="AE101" s="28"/>
      <c r="AF101" s="28"/>
      <c r="AG101" s="28"/>
      <c r="AH101" s="28"/>
      <c r="AI101" s="28"/>
      <c r="AJ101" s="28"/>
      <c r="AK101" s="28"/>
      <c r="AL101" s="29"/>
    </row>
    <row r="102" spans="1:38" s="27" customFormat="1" ht="15.95" customHeight="1" x14ac:dyDescent="0.25">
      <c r="A102" s="97" t="s">
        <v>129</v>
      </c>
      <c r="B102" s="94">
        <f>J63</f>
        <v>9</v>
      </c>
      <c r="C102" s="98">
        <f t="shared" si="44"/>
        <v>1.1180124223602485E-2</v>
      </c>
      <c r="D102" s="98"/>
      <c r="E102" s="1"/>
      <c r="F102" s="1"/>
      <c r="G102" s="1"/>
      <c r="H102" s="1"/>
      <c r="I102" s="1"/>
      <c r="J102" s="10"/>
      <c r="K102" s="26"/>
      <c r="L102" s="1"/>
      <c r="M102" s="105" t="s">
        <v>142</v>
      </c>
      <c r="N102" s="106">
        <f>T70</f>
        <v>81</v>
      </c>
      <c r="O102" s="98">
        <f t="shared" si="43"/>
        <v>0.10062111801242236</v>
      </c>
      <c r="P102" s="1"/>
      <c r="Q102" s="1"/>
      <c r="R102" s="1"/>
      <c r="S102" s="1"/>
      <c r="T102" s="1"/>
      <c r="U102" s="10"/>
      <c r="AC102" s="28"/>
      <c r="AD102" s="28"/>
      <c r="AE102" s="28"/>
      <c r="AF102" s="28"/>
      <c r="AG102" s="28"/>
      <c r="AH102" s="28"/>
      <c r="AI102" s="28"/>
      <c r="AJ102" s="28"/>
      <c r="AK102" s="28"/>
      <c r="AL102" s="29"/>
    </row>
    <row r="103" spans="1:38" s="27" customFormat="1" ht="15.95" customHeight="1" x14ac:dyDescent="0.25">
      <c r="A103" s="97" t="s">
        <v>130</v>
      </c>
      <c r="B103" s="94">
        <f>J70</f>
        <v>5</v>
      </c>
      <c r="C103" s="98">
        <f t="shared" si="44"/>
        <v>6.2111801242236021E-3</v>
      </c>
      <c r="D103" s="98"/>
      <c r="E103" s="1"/>
      <c r="F103" s="1"/>
      <c r="G103" s="1"/>
      <c r="H103" s="1"/>
      <c r="I103" s="1"/>
      <c r="J103" s="10"/>
      <c r="K103" s="26"/>
      <c r="L103" s="1"/>
      <c r="M103" s="96"/>
      <c r="N103" s="106">
        <f>SUM(N95:N102)</f>
        <v>805</v>
      </c>
      <c r="O103" s="96"/>
      <c r="P103" s="1"/>
      <c r="Q103" s="1"/>
      <c r="R103" s="1"/>
      <c r="S103" s="1"/>
      <c r="T103" s="1"/>
      <c r="U103" s="10"/>
      <c r="AC103" s="28"/>
      <c r="AD103" s="28"/>
      <c r="AE103" s="28"/>
      <c r="AF103" s="28"/>
      <c r="AG103" s="28"/>
      <c r="AH103" s="28"/>
      <c r="AI103" s="28"/>
      <c r="AJ103" s="28"/>
      <c r="AK103" s="28"/>
      <c r="AL103" s="29"/>
    </row>
    <row r="104" spans="1:38" s="27" customFormat="1" ht="15.95" customHeight="1" x14ac:dyDescent="0.25">
      <c r="A104" s="97" t="s">
        <v>131</v>
      </c>
      <c r="B104" s="94">
        <f>U9</f>
        <v>2</v>
      </c>
      <c r="C104" s="98">
        <f t="shared" si="44"/>
        <v>2.4844720496894411E-3</v>
      </c>
      <c r="D104" s="98"/>
      <c r="E104" s="1"/>
      <c r="F104" s="1"/>
      <c r="G104" s="1"/>
      <c r="H104" s="1"/>
      <c r="I104" s="1"/>
      <c r="J104" s="10"/>
      <c r="K104" s="26"/>
      <c r="L104" s="1"/>
      <c r="M104" s="93"/>
      <c r="N104" s="93"/>
      <c r="O104" s="93"/>
      <c r="P104" s="1"/>
      <c r="Q104" s="1"/>
      <c r="R104" s="1"/>
      <c r="S104" s="1"/>
      <c r="T104" s="1"/>
      <c r="U104" s="10"/>
      <c r="AC104" s="28"/>
      <c r="AD104" s="28"/>
      <c r="AE104" s="28"/>
      <c r="AF104" s="28"/>
      <c r="AG104" s="28"/>
      <c r="AH104" s="28"/>
      <c r="AI104" s="28"/>
      <c r="AJ104" s="28"/>
      <c r="AK104" s="28"/>
      <c r="AL104" s="29"/>
    </row>
    <row r="105" spans="1:38" s="27" customFormat="1" ht="15.95" customHeight="1" x14ac:dyDescent="0.25">
      <c r="A105" s="97" t="s">
        <v>132</v>
      </c>
      <c r="B105" s="94">
        <f>U16</f>
        <v>22</v>
      </c>
      <c r="C105" s="98">
        <f t="shared" si="44"/>
        <v>2.732919254658385E-2</v>
      </c>
      <c r="D105" s="98"/>
      <c r="E105" s="1"/>
      <c r="F105" s="1"/>
      <c r="G105" s="1"/>
      <c r="H105" s="1"/>
      <c r="I105" s="1"/>
      <c r="J105" s="10"/>
      <c r="K105" s="26"/>
      <c r="L105" s="1"/>
      <c r="M105" s="1"/>
      <c r="N105" s="1"/>
      <c r="O105" s="1"/>
      <c r="P105" s="1"/>
      <c r="Q105" s="1"/>
      <c r="R105" s="1"/>
      <c r="S105" s="1"/>
      <c r="T105" s="1"/>
      <c r="U105" s="10"/>
      <c r="AC105" s="28"/>
      <c r="AD105" s="28"/>
      <c r="AE105" s="28"/>
      <c r="AF105" s="28"/>
      <c r="AG105" s="28"/>
      <c r="AH105" s="28"/>
      <c r="AI105" s="28"/>
      <c r="AJ105" s="28"/>
      <c r="AK105" s="28"/>
      <c r="AL105" s="29"/>
    </row>
    <row r="106" spans="1:38" s="27" customFormat="1" ht="15.95" customHeight="1" x14ac:dyDescent="0.25">
      <c r="A106" s="97" t="s">
        <v>133</v>
      </c>
      <c r="B106" s="94">
        <f>U22</f>
        <v>9</v>
      </c>
      <c r="C106" s="98">
        <f t="shared" si="44"/>
        <v>1.1180124223602485E-2</v>
      </c>
      <c r="D106" s="98"/>
      <c r="E106" s="1"/>
      <c r="F106" s="1"/>
      <c r="G106" s="1"/>
      <c r="H106" s="1"/>
      <c r="I106" s="1"/>
      <c r="J106" s="10"/>
      <c r="K106" s="26"/>
      <c r="L106" s="1"/>
      <c r="M106" s="1"/>
      <c r="N106" s="1"/>
      <c r="O106" s="1"/>
      <c r="P106" s="1"/>
      <c r="Q106" s="1"/>
      <c r="R106" s="1"/>
      <c r="S106" s="1"/>
      <c r="T106" s="1"/>
      <c r="U106" s="10"/>
      <c r="AC106" s="28"/>
      <c r="AD106" s="28"/>
      <c r="AE106" s="28"/>
      <c r="AF106" s="28"/>
      <c r="AG106" s="28"/>
      <c r="AH106" s="28"/>
      <c r="AI106" s="28"/>
      <c r="AJ106" s="28"/>
      <c r="AK106" s="28"/>
      <c r="AL106" s="29"/>
    </row>
    <row r="107" spans="1:38" s="27" customFormat="1" ht="15.95" customHeight="1" x14ac:dyDescent="0.25">
      <c r="A107" s="97" t="s">
        <v>187</v>
      </c>
      <c r="B107" s="94">
        <f>U29</f>
        <v>5</v>
      </c>
      <c r="C107" s="98">
        <f t="shared" si="44"/>
        <v>6.2111801242236021E-3</v>
      </c>
      <c r="D107" s="98"/>
      <c r="E107" s="1"/>
      <c r="F107" s="1"/>
      <c r="G107" s="1"/>
      <c r="H107" s="1"/>
      <c r="I107" s="1"/>
      <c r="J107" s="10"/>
      <c r="K107" s="26"/>
      <c r="L107" s="1"/>
      <c r="M107" s="1"/>
      <c r="N107" s="1"/>
      <c r="O107" s="1"/>
      <c r="P107" s="1"/>
      <c r="Q107" s="1"/>
      <c r="R107" s="1"/>
      <c r="S107" s="1"/>
      <c r="T107" s="1"/>
      <c r="U107" s="10"/>
      <c r="AC107" s="28"/>
      <c r="AD107" s="28"/>
      <c r="AE107" s="28"/>
      <c r="AF107" s="28"/>
      <c r="AG107" s="28"/>
      <c r="AH107" s="28"/>
      <c r="AI107" s="28"/>
      <c r="AJ107" s="28"/>
      <c r="AK107" s="28"/>
      <c r="AL107" s="29"/>
    </row>
    <row r="108" spans="1:38" ht="15.95" customHeight="1" x14ac:dyDescent="0.25">
      <c r="A108" s="97" t="s">
        <v>188</v>
      </c>
      <c r="B108" s="99">
        <f>U36</f>
        <v>6</v>
      </c>
      <c r="C108" s="98">
        <f t="shared" si="44"/>
        <v>7.4534161490683228E-3</v>
      </c>
      <c r="D108" s="98"/>
    </row>
    <row r="109" spans="1:38" x14ac:dyDescent="0.25">
      <c r="A109" s="97" t="s">
        <v>131</v>
      </c>
      <c r="B109" s="99">
        <f>U44</f>
        <v>16</v>
      </c>
      <c r="C109" s="98">
        <f t="shared" si="44"/>
        <v>1.9875776397515529E-2</v>
      </c>
      <c r="D109" s="98"/>
    </row>
    <row r="110" spans="1:38" x14ac:dyDescent="0.25">
      <c r="A110" s="97" t="s">
        <v>132</v>
      </c>
      <c r="B110" s="99">
        <f>U50</f>
        <v>31</v>
      </c>
      <c r="C110" s="98">
        <f t="shared" si="44"/>
        <v>3.8509316770186333E-2</v>
      </c>
      <c r="D110" s="98"/>
    </row>
    <row r="111" spans="1:38" x14ac:dyDescent="0.25">
      <c r="A111" s="97" t="s">
        <v>133</v>
      </c>
      <c r="B111" s="100">
        <f>U58</f>
        <v>40</v>
      </c>
      <c r="C111" s="98">
        <f t="shared" si="44"/>
        <v>4.9689440993788817E-2</v>
      </c>
      <c r="D111" s="98"/>
    </row>
    <row r="112" spans="1:38" x14ac:dyDescent="0.25">
      <c r="A112" s="97" t="s">
        <v>187</v>
      </c>
      <c r="B112" s="100">
        <f>U64</f>
        <v>1</v>
      </c>
      <c r="C112" s="98">
        <f t="shared" si="44"/>
        <v>1.2422360248447205E-3</v>
      </c>
      <c r="D112" s="98"/>
    </row>
    <row r="113" spans="1:4" x14ac:dyDescent="0.25">
      <c r="A113" s="97" t="s">
        <v>189</v>
      </c>
      <c r="B113" s="100">
        <f>U68</f>
        <v>26</v>
      </c>
      <c r="C113" s="98">
        <f t="shared" si="44"/>
        <v>3.2298136645962733E-2</v>
      </c>
      <c r="D113" s="98"/>
    </row>
    <row r="114" spans="1:4" x14ac:dyDescent="0.25">
      <c r="A114" s="101"/>
      <c r="B114" s="95">
        <f>SUM(B95:B113)</f>
        <v>805</v>
      </c>
      <c r="C114" s="98"/>
      <c r="D114" s="98"/>
    </row>
  </sheetData>
  <mergeCells count="26">
    <mergeCell ref="A35:J35"/>
    <mergeCell ref="L38:U38"/>
    <mergeCell ref="L66:U66"/>
    <mergeCell ref="L46:U46"/>
    <mergeCell ref="A52:J52"/>
    <mergeCell ref="L52:U52"/>
    <mergeCell ref="A58:J58"/>
    <mergeCell ref="L60:U60"/>
    <mergeCell ref="A65:J65"/>
    <mergeCell ref="A41:J41"/>
    <mergeCell ref="A19:J19"/>
    <mergeCell ref="L24:U24"/>
    <mergeCell ref="A27:J27"/>
    <mergeCell ref="L31:U31"/>
    <mergeCell ref="A2:U2"/>
    <mergeCell ref="A3:A4"/>
    <mergeCell ref="B3:I3"/>
    <mergeCell ref="J3:J4"/>
    <mergeCell ref="L3:L4"/>
    <mergeCell ref="M3:T3"/>
    <mergeCell ref="U3:U4"/>
    <mergeCell ref="A5:J5"/>
    <mergeCell ref="L5:U5"/>
    <mergeCell ref="L11:U11"/>
    <mergeCell ref="A12:J12"/>
    <mergeCell ref="L18:U18"/>
  </mergeCells>
  <printOptions horizontalCentered="1"/>
  <pageMargins left="0.51181102362204722" right="0.27559055118110237" top="0.19685039370078741" bottom="0" header="0.19685039370078741" footer="0.28000000000000003"/>
  <pageSetup paperSize="9" scale="6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02404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85725</xdr:rowOff>
              </from>
              <to>
                <xdr:col>0</xdr:col>
                <xdr:colOff>752475</xdr:colOff>
                <xdr:row>0</xdr:row>
                <xdr:rowOff>476250</xdr:rowOff>
              </to>
            </anchor>
          </objectPr>
        </oleObject>
      </mc:Choice>
      <mc:Fallback>
        <oleObject shapeId="102404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/>
  <dimension ref="A1:AB86"/>
  <sheetViews>
    <sheetView showGridLines="0" zoomScale="85" zoomScaleNormal="85" zoomScaleSheetLayoutView="85" workbookViewId="0">
      <pane ySplit="4" topLeftCell="A74" activePane="bottomLeft" state="frozen"/>
      <selection activeCell="E68" sqref="E68"/>
      <selection pane="bottomLeft" activeCell="M85" sqref="M85"/>
    </sheetView>
  </sheetViews>
  <sheetFormatPr defaultRowHeight="15.75" x14ac:dyDescent="0.25"/>
  <cols>
    <col min="1" max="1" width="17.75" style="1" customWidth="1"/>
    <col min="2" max="2" width="10.125" style="1" customWidth="1"/>
    <col min="3" max="3" width="10.75" style="1" customWidth="1"/>
    <col min="4" max="4" width="10.125" style="1" customWidth="1"/>
    <col min="5" max="5" width="10.125" style="10" customWidth="1"/>
    <col min="6" max="6" width="0.875" style="2" customWidth="1"/>
    <col min="7" max="7" width="18.25" style="1" customWidth="1"/>
    <col min="8" max="10" width="10.125" style="1" customWidth="1"/>
    <col min="11" max="11" width="10.125" style="10" customWidth="1"/>
    <col min="19" max="26" width="6.625" style="20" customWidth="1"/>
    <col min="27" max="27" width="9" style="20"/>
    <col min="28" max="28" width="9" style="18"/>
  </cols>
  <sheetData>
    <row r="1" spans="1:20" ht="72.75" customHeight="1" thickBot="1" x14ac:dyDescent="0.3">
      <c r="A1" s="1" t="s">
        <v>220</v>
      </c>
    </row>
    <row r="2" spans="1:20" ht="16.5" thickBot="1" x14ac:dyDescent="0.3">
      <c r="A2" s="192" t="s">
        <v>233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</row>
    <row r="3" spans="1:20" ht="17.25" customHeight="1" thickBot="1" x14ac:dyDescent="0.3">
      <c r="A3" s="193" t="s">
        <v>87</v>
      </c>
      <c r="B3" s="195" t="s">
        <v>164</v>
      </c>
      <c r="C3" s="196"/>
      <c r="D3" s="196"/>
      <c r="E3" s="198" t="s">
        <v>0</v>
      </c>
      <c r="F3" s="7"/>
      <c r="G3" s="193" t="s">
        <v>87</v>
      </c>
      <c r="H3" s="195" t="s">
        <v>164</v>
      </c>
      <c r="I3" s="196"/>
      <c r="J3" s="196"/>
      <c r="K3" s="198" t="s">
        <v>0</v>
      </c>
    </row>
    <row r="4" spans="1:20" ht="30" customHeight="1" thickBot="1" x14ac:dyDescent="0.3">
      <c r="A4" s="194"/>
      <c r="B4" s="52" t="s">
        <v>92</v>
      </c>
      <c r="C4" s="53" t="s">
        <v>93</v>
      </c>
      <c r="D4" s="54" t="s">
        <v>153</v>
      </c>
      <c r="E4" s="199"/>
      <c r="F4" s="7"/>
      <c r="G4" s="194"/>
      <c r="H4" s="52" t="s">
        <v>92</v>
      </c>
      <c r="I4" s="53" t="s">
        <v>93</v>
      </c>
      <c r="J4" s="54" t="s">
        <v>153</v>
      </c>
      <c r="K4" s="199"/>
    </row>
    <row r="5" spans="1:20" ht="12.75" customHeight="1" x14ac:dyDescent="0.25">
      <c r="A5" s="107" t="s">
        <v>82</v>
      </c>
      <c r="B5" s="107"/>
      <c r="C5" s="107"/>
      <c r="D5" s="107"/>
      <c r="E5" s="107"/>
      <c r="F5" s="7"/>
      <c r="G5" s="107" t="s">
        <v>116</v>
      </c>
      <c r="H5" s="107"/>
      <c r="I5" s="107"/>
      <c r="J5" s="107"/>
      <c r="K5" s="107"/>
    </row>
    <row r="6" spans="1:20" ht="12.75" customHeight="1" x14ac:dyDescent="0.25">
      <c r="A6" s="30" t="s">
        <v>24</v>
      </c>
      <c r="B6" s="78">
        <v>6</v>
      </c>
      <c r="C6" s="78"/>
      <c r="D6" s="78">
        <v>182</v>
      </c>
      <c r="E6" s="147">
        <f t="shared" ref="E6:E9" si="0">IF(SUM(B6:D6),SUM(B6:D6),"")</f>
        <v>188</v>
      </c>
      <c r="F6" s="7"/>
      <c r="G6" s="30" t="s">
        <v>6</v>
      </c>
      <c r="H6" s="31">
        <v>1</v>
      </c>
      <c r="I6" s="31"/>
      <c r="J6" s="31"/>
      <c r="K6" s="35">
        <f t="shared" ref="K6:K8" si="1">IF(SUM(H6:J6),SUM(H6:J6),"")</f>
        <v>1</v>
      </c>
      <c r="S6" s="21"/>
      <c r="T6" s="21"/>
    </row>
    <row r="7" spans="1:20" ht="12.75" customHeight="1" x14ac:dyDescent="0.25">
      <c r="A7" s="40" t="s">
        <v>25</v>
      </c>
      <c r="B7" s="80"/>
      <c r="C7" s="80"/>
      <c r="D7" s="80"/>
      <c r="E7" s="148" t="str">
        <f t="shared" si="0"/>
        <v/>
      </c>
      <c r="F7" s="7"/>
      <c r="G7" s="40" t="s">
        <v>49</v>
      </c>
      <c r="H7" s="41">
        <v>1</v>
      </c>
      <c r="I7" s="41"/>
      <c r="J7" s="41"/>
      <c r="K7" s="42">
        <f t="shared" si="1"/>
        <v>1</v>
      </c>
      <c r="S7" s="21"/>
      <c r="T7" s="21"/>
    </row>
    <row r="8" spans="1:20" ht="12.75" customHeight="1" x14ac:dyDescent="0.25">
      <c r="A8" s="87" t="s">
        <v>47</v>
      </c>
      <c r="B8" s="78">
        <v>2</v>
      </c>
      <c r="C8" s="78"/>
      <c r="D8" s="78"/>
      <c r="E8" s="103">
        <f t="shared" si="0"/>
        <v>2</v>
      </c>
      <c r="F8" s="7"/>
      <c r="G8" s="30" t="s">
        <v>63</v>
      </c>
      <c r="H8" s="31"/>
      <c r="I8" s="31"/>
      <c r="J8" s="31"/>
      <c r="K8" s="35" t="str">
        <f t="shared" si="1"/>
        <v/>
      </c>
      <c r="S8" s="22"/>
      <c r="T8" s="21"/>
    </row>
    <row r="9" spans="1:20" ht="12.75" customHeight="1" x14ac:dyDescent="0.25">
      <c r="A9" s="40" t="s">
        <v>54</v>
      </c>
      <c r="B9" s="86"/>
      <c r="C9" s="86"/>
      <c r="D9" s="86"/>
      <c r="E9" s="104" t="str">
        <f t="shared" si="0"/>
        <v/>
      </c>
      <c r="F9" s="7"/>
      <c r="G9" s="32" t="s">
        <v>117</v>
      </c>
      <c r="H9" s="34">
        <f t="shared" ref="H9" si="2">IF(SUM(H6:H8),SUM(H6:H8),"")</f>
        <v>2</v>
      </c>
      <c r="I9" s="34" t="str">
        <f>IF(SUM(I6:I8),SUM(I6:I8),"")</f>
        <v/>
      </c>
      <c r="J9" s="34" t="str">
        <f>IF(SUM(J6:J8),SUM(J6:J8),"")</f>
        <v/>
      </c>
      <c r="K9" s="34">
        <f t="shared" ref="K9" si="3">IF(SUM(K6:K8),SUM(K6:K8),"")</f>
        <v>2</v>
      </c>
      <c r="S9" s="21"/>
      <c r="T9" s="21"/>
    </row>
    <row r="10" spans="1:20" ht="12.75" customHeight="1" x14ac:dyDescent="0.25">
      <c r="A10" s="32" t="s">
        <v>107</v>
      </c>
      <c r="B10" s="33">
        <f>IF(SUM(B6:B9),SUM(B6:B9),"")</f>
        <v>8</v>
      </c>
      <c r="C10" s="33" t="str">
        <f>IF(SUM(C6:C9),SUM(C6:C9),"")</f>
        <v/>
      </c>
      <c r="D10" s="33">
        <f>IF(SUM(D6:D9),SUM(D6:D9),"")</f>
        <v>182</v>
      </c>
      <c r="E10" s="150">
        <f>IF(SUM(E6:E9),SUM(E6:E9),"")</f>
        <v>190</v>
      </c>
      <c r="F10" s="7"/>
      <c r="G10" s="8"/>
      <c r="H10" s="8"/>
      <c r="I10" s="8"/>
      <c r="J10" s="8"/>
      <c r="K10" s="12"/>
      <c r="S10" s="21"/>
      <c r="T10" s="21"/>
    </row>
    <row r="11" spans="1:20" ht="12.75" customHeight="1" x14ac:dyDescent="0.25">
      <c r="A11" s="8"/>
      <c r="B11" s="8"/>
      <c r="C11" s="8"/>
      <c r="D11" s="8"/>
      <c r="F11" s="7"/>
      <c r="G11" s="108" t="s">
        <v>118</v>
      </c>
      <c r="H11" s="109"/>
      <c r="I11" s="109"/>
      <c r="J11" s="109"/>
      <c r="K11" s="110"/>
      <c r="S11" s="21"/>
      <c r="T11" s="21"/>
    </row>
    <row r="12" spans="1:20" ht="12.75" customHeight="1" x14ac:dyDescent="0.25">
      <c r="A12" s="108" t="s">
        <v>83</v>
      </c>
      <c r="B12" s="109"/>
      <c r="C12" s="109"/>
      <c r="D12" s="109"/>
      <c r="E12" s="110"/>
      <c r="F12" s="7"/>
      <c r="G12" s="87" t="s">
        <v>9</v>
      </c>
      <c r="H12" s="78">
        <v>4</v>
      </c>
      <c r="I12" s="120"/>
      <c r="J12" s="120"/>
      <c r="K12" s="90">
        <f t="shared" ref="K12:K15" si="4">IF(SUM(H12:J12),SUM(H12:J12),"")</f>
        <v>4</v>
      </c>
      <c r="S12" s="21"/>
      <c r="T12" s="21"/>
    </row>
    <row r="13" spans="1:20" ht="12.75" customHeight="1" x14ac:dyDescent="0.25">
      <c r="A13" s="30" t="s">
        <v>2</v>
      </c>
      <c r="B13" s="78">
        <v>6.9999999999999991</v>
      </c>
      <c r="C13" s="78"/>
      <c r="D13" s="78"/>
      <c r="E13" s="147">
        <f t="shared" ref="E13:E16" si="5">IF(SUM(B13:D13),SUM(B13:D13),"")</f>
        <v>6.9999999999999991</v>
      </c>
      <c r="F13" s="7"/>
      <c r="G13" s="40" t="s">
        <v>18</v>
      </c>
      <c r="H13" s="80">
        <v>2</v>
      </c>
      <c r="I13" s="80"/>
      <c r="J13" s="80"/>
      <c r="K13" s="42">
        <f t="shared" si="4"/>
        <v>2</v>
      </c>
      <c r="S13" s="21"/>
      <c r="T13" s="21"/>
    </row>
    <row r="14" spans="1:20" ht="12.75" customHeight="1" x14ac:dyDescent="0.25">
      <c r="A14" s="40" t="s">
        <v>10</v>
      </c>
      <c r="B14" s="80">
        <v>2</v>
      </c>
      <c r="C14" s="80">
        <v>60</v>
      </c>
      <c r="D14" s="80"/>
      <c r="E14" s="148">
        <f t="shared" si="5"/>
        <v>62</v>
      </c>
      <c r="F14" s="7"/>
      <c r="G14" s="87" t="s">
        <v>20</v>
      </c>
      <c r="H14" s="78">
        <v>16</v>
      </c>
      <c r="I14" s="120"/>
      <c r="J14" s="120"/>
      <c r="K14" s="90">
        <f t="shared" si="4"/>
        <v>16</v>
      </c>
      <c r="S14" s="21"/>
      <c r="T14" s="22"/>
    </row>
    <row r="15" spans="1:20" ht="12.75" customHeight="1" x14ac:dyDescent="0.25">
      <c r="A15" s="30" t="s">
        <v>58</v>
      </c>
      <c r="B15" s="78">
        <v>1</v>
      </c>
      <c r="C15" s="78"/>
      <c r="D15" s="78"/>
      <c r="E15" s="147">
        <f t="shared" si="5"/>
        <v>1</v>
      </c>
      <c r="F15" s="7"/>
      <c r="G15" s="40" t="s">
        <v>61</v>
      </c>
      <c r="H15" s="80"/>
      <c r="I15" s="80"/>
      <c r="J15" s="80"/>
      <c r="K15" s="42" t="str">
        <f t="shared" si="4"/>
        <v/>
      </c>
      <c r="S15" s="22"/>
      <c r="T15" s="21"/>
    </row>
    <row r="16" spans="1:20" ht="12.75" customHeight="1" x14ac:dyDescent="0.25">
      <c r="A16" s="40" t="s">
        <v>66</v>
      </c>
      <c r="B16" s="86"/>
      <c r="C16" s="86"/>
      <c r="D16" s="86"/>
      <c r="E16" s="148" t="str">
        <f t="shared" si="5"/>
        <v/>
      </c>
      <c r="F16" s="7"/>
      <c r="G16" s="32" t="s">
        <v>119</v>
      </c>
      <c r="H16" s="34">
        <f>IF(SUM(H12:H15),SUM(H12:H15),"")</f>
        <v>22</v>
      </c>
      <c r="I16" s="34" t="str">
        <f>IF(SUM(I12:I15),SUM(I12:I15),"")</f>
        <v/>
      </c>
      <c r="J16" s="34" t="str">
        <f>IF(SUM(J12:J15),SUM(J12:J15),"")</f>
        <v/>
      </c>
      <c r="K16" s="34">
        <f t="shared" ref="K16" si="6">IF(SUM(K12:K15),SUM(K12:K15),"")</f>
        <v>22</v>
      </c>
      <c r="S16" s="21"/>
      <c r="T16" s="21"/>
    </row>
    <row r="17" spans="1:20" ht="12.75" customHeight="1" x14ac:dyDescent="0.25">
      <c r="A17" s="32" t="s">
        <v>88</v>
      </c>
      <c r="B17" s="34">
        <f>IF(SUM(B13:B16),SUM(B13:B16),"")</f>
        <v>10</v>
      </c>
      <c r="C17" s="34">
        <f>IF(SUM(C13:C16),SUM(C13:C16),"")</f>
        <v>60</v>
      </c>
      <c r="D17" s="34" t="str">
        <f>IF(SUM(D13:D16),SUM(D13:D16),"")</f>
        <v/>
      </c>
      <c r="E17" s="151">
        <f t="shared" ref="E17" si="7">IF(SUM(E13:E16),SUM(E13:E16),"")</f>
        <v>70</v>
      </c>
      <c r="F17" s="7"/>
      <c r="G17" s="8"/>
      <c r="H17" s="8"/>
      <c r="I17" s="8"/>
      <c r="J17" s="8"/>
      <c r="K17" s="12"/>
      <c r="S17" s="21"/>
      <c r="T17" s="21"/>
    </row>
    <row r="18" spans="1:20" ht="12.75" customHeight="1" x14ac:dyDescent="0.25">
      <c r="A18" s="8"/>
      <c r="B18" s="117"/>
      <c r="C18" s="117"/>
      <c r="D18" s="117"/>
      <c r="F18" s="7"/>
      <c r="G18" s="108" t="s">
        <v>120</v>
      </c>
      <c r="H18" s="109"/>
      <c r="I18" s="109"/>
      <c r="J18" s="109"/>
      <c r="K18" s="110"/>
      <c r="S18" s="21"/>
      <c r="T18" s="21"/>
    </row>
    <row r="19" spans="1:20" ht="12.75" customHeight="1" x14ac:dyDescent="0.25">
      <c r="A19" s="108" t="s">
        <v>84</v>
      </c>
      <c r="B19" s="109"/>
      <c r="C19" s="109"/>
      <c r="D19" s="109"/>
      <c r="E19" s="110"/>
      <c r="F19" s="7"/>
      <c r="G19" s="30" t="s">
        <v>30</v>
      </c>
      <c r="H19" s="31">
        <v>1</v>
      </c>
      <c r="I19" s="31"/>
      <c r="J19" s="31"/>
      <c r="K19" s="35">
        <f t="shared" ref="K19:K21" si="8">IF(SUM(H19:J19),SUM(H19:J19),"")</f>
        <v>1</v>
      </c>
      <c r="S19" s="21"/>
      <c r="T19" s="21"/>
    </row>
    <row r="20" spans="1:20" ht="12.75" customHeight="1" x14ac:dyDescent="0.25">
      <c r="A20" s="30" t="s">
        <v>3</v>
      </c>
      <c r="B20" s="78">
        <v>1</v>
      </c>
      <c r="C20" s="78"/>
      <c r="D20" s="78"/>
      <c r="E20" s="147">
        <f t="shared" ref="E20:E24" si="9">IF(SUM(B20:D20),SUM(B20:D20),"")</f>
        <v>1</v>
      </c>
      <c r="F20" s="7"/>
      <c r="G20" s="40" t="s">
        <v>100</v>
      </c>
      <c r="H20" s="41">
        <v>1</v>
      </c>
      <c r="I20" s="41"/>
      <c r="J20" s="41"/>
      <c r="K20" s="42">
        <f t="shared" si="8"/>
        <v>1</v>
      </c>
      <c r="S20" s="21"/>
      <c r="T20" s="21"/>
    </row>
    <row r="21" spans="1:20" ht="12.75" customHeight="1" x14ac:dyDescent="0.25">
      <c r="A21" s="40" t="s">
        <v>5</v>
      </c>
      <c r="B21" s="80"/>
      <c r="C21" s="80"/>
      <c r="D21" s="80">
        <v>300</v>
      </c>
      <c r="E21" s="148">
        <f t="shared" si="9"/>
        <v>300</v>
      </c>
      <c r="F21" s="7"/>
      <c r="G21" s="30" t="s">
        <v>64</v>
      </c>
      <c r="H21" s="31">
        <v>7</v>
      </c>
      <c r="I21" s="31"/>
      <c r="J21" s="31"/>
      <c r="K21" s="35">
        <f t="shared" si="8"/>
        <v>7</v>
      </c>
      <c r="L21" s="60"/>
      <c r="M21" s="61"/>
      <c r="N21" s="61"/>
      <c r="O21" s="61"/>
      <c r="P21" s="61"/>
      <c r="Q21" s="61"/>
      <c r="R21" s="61"/>
      <c r="S21" s="21"/>
      <c r="T21" s="21"/>
    </row>
    <row r="22" spans="1:20" ht="12.75" customHeight="1" x14ac:dyDescent="0.25">
      <c r="A22" s="30" t="s">
        <v>16</v>
      </c>
      <c r="B22" s="78"/>
      <c r="C22" s="78"/>
      <c r="D22" s="78"/>
      <c r="E22" s="147" t="str">
        <f t="shared" si="9"/>
        <v/>
      </c>
      <c r="F22" s="7"/>
      <c r="G22" s="32" t="s">
        <v>172</v>
      </c>
      <c r="H22" s="34">
        <f>IF(SUM(H19:H21),SUM(H19:H21),"")</f>
        <v>9</v>
      </c>
      <c r="I22" s="34" t="str">
        <f>IF(SUM(I19:I21),SUM(I19:I21),"")</f>
        <v/>
      </c>
      <c r="J22" s="34" t="str">
        <f>IF(SUM(J19:J21),SUM(J19:J21),"")</f>
        <v/>
      </c>
      <c r="K22" s="34">
        <f t="shared" ref="K22" si="10">IF(SUM(K19:K21),SUM(K19:K21),"")</f>
        <v>9</v>
      </c>
      <c r="S22" s="21"/>
      <c r="T22" s="21"/>
    </row>
    <row r="23" spans="1:20" ht="12.75" customHeight="1" x14ac:dyDescent="0.25">
      <c r="A23" s="40" t="s">
        <v>33</v>
      </c>
      <c r="B23" s="80">
        <v>4</v>
      </c>
      <c r="C23" s="80"/>
      <c r="D23" s="80"/>
      <c r="E23" s="148">
        <f t="shared" si="9"/>
        <v>4</v>
      </c>
      <c r="F23" s="7"/>
      <c r="G23" s="8"/>
      <c r="H23" s="8"/>
      <c r="I23" s="8"/>
      <c r="J23" s="8"/>
      <c r="K23" s="12"/>
      <c r="S23" s="21"/>
      <c r="T23" s="21"/>
    </row>
    <row r="24" spans="1:20" ht="12.75" customHeight="1" x14ac:dyDescent="0.25">
      <c r="A24" s="30" t="s">
        <v>36</v>
      </c>
      <c r="B24" s="78">
        <v>3</v>
      </c>
      <c r="C24" s="78"/>
      <c r="D24" s="78"/>
      <c r="E24" s="147">
        <f t="shared" si="9"/>
        <v>3</v>
      </c>
      <c r="F24" s="7"/>
      <c r="G24" s="108" t="s">
        <v>173</v>
      </c>
      <c r="H24" s="109"/>
      <c r="I24" s="109"/>
      <c r="J24" s="109"/>
      <c r="K24" s="110"/>
      <c r="S24" s="21"/>
      <c r="T24" s="22"/>
    </row>
    <row r="25" spans="1:20" ht="12.75" customHeight="1" x14ac:dyDescent="0.25">
      <c r="A25" s="32" t="s">
        <v>89</v>
      </c>
      <c r="B25" s="34">
        <f>IF(SUM(B20:B24),SUM(B20:B24),"")</f>
        <v>8</v>
      </c>
      <c r="C25" s="34" t="str">
        <f>IF(SUM(C20:C24),SUM(C20:C24),"")</f>
        <v/>
      </c>
      <c r="D25" s="34">
        <f>IF(SUM(D20:D24),SUM(D20:D24),"")</f>
        <v>300</v>
      </c>
      <c r="E25" s="151">
        <f>IF(SUM(E20:E24),SUM(E20:E24),"")</f>
        <v>308</v>
      </c>
      <c r="F25" s="7"/>
      <c r="G25" s="87" t="s">
        <v>31</v>
      </c>
      <c r="H25" s="78">
        <v>2</v>
      </c>
      <c r="I25" s="120"/>
      <c r="J25" s="120"/>
      <c r="K25" s="90">
        <f t="shared" ref="K25:K28" si="11">IF(SUM(H25:J25),SUM(H25:J25),"")</f>
        <v>2</v>
      </c>
      <c r="S25" s="21"/>
      <c r="T25" s="21"/>
    </row>
    <row r="26" spans="1:20" ht="12.75" customHeight="1" x14ac:dyDescent="0.25">
      <c r="A26" s="8"/>
      <c r="B26" s="8"/>
      <c r="C26" s="8"/>
      <c r="D26" s="8"/>
      <c r="F26" s="7"/>
      <c r="G26" s="40" t="s">
        <v>37</v>
      </c>
      <c r="H26" s="41"/>
      <c r="I26" s="41"/>
      <c r="J26" s="41"/>
      <c r="K26" s="42" t="str">
        <f t="shared" si="11"/>
        <v/>
      </c>
      <c r="S26" s="22"/>
      <c r="T26" s="21"/>
    </row>
    <row r="27" spans="1:20" ht="12.75" customHeight="1" x14ac:dyDescent="0.25">
      <c r="A27" s="111" t="s">
        <v>85</v>
      </c>
      <c r="B27" s="111"/>
      <c r="C27" s="111"/>
      <c r="D27" s="111"/>
      <c r="E27" s="111"/>
      <c r="F27" s="7"/>
      <c r="G27" s="87" t="s">
        <v>42</v>
      </c>
      <c r="H27" s="78">
        <v>3</v>
      </c>
      <c r="I27" s="120"/>
      <c r="J27" s="120"/>
      <c r="K27" s="90">
        <f t="shared" si="11"/>
        <v>3</v>
      </c>
      <c r="S27" s="21"/>
      <c r="T27" s="21"/>
    </row>
    <row r="28" spans="1:20" ht="12.75" customHeight="1" x14ac:dyDescent="0.25">
      <c r="A28" s="30" t="s">
        <v>11</v>
      </c>
      <c r="B28" s="78">
        <v>4</v>
      </c>
      <c r="C28" s="78"/>
      <c r="D28" s="78"/>
      <c r="E28" s="35">
        <f t="shared" ref="E28:E30" si="12">IF(SUM(B28:D28),SUM(B28:D28),"")</f>
        <v>4</v>
      </c>
      <c r="F28" s="7"/>
      <c r="G28" s="40" t="s">
        <v>46</v>
      </c>
      <c r="H28" s="41"/>
      <c r="I28" s="41"/>
      <c r="J28" s="41"/>
      <c r="K28" s="42" t="str">
        <f t="shared" si="11"/>
        <v/>
      </c>
      <c r="S28" s="21"/>
      <c r="T28" s="21"/>
    </row>
    <row r="29" spans="1:20" ht="12.75" customHeight="1" x14ac:dyDescent="0.25">
      <c r="A29" s="40" t="s">
        <v>99</v>
      </c>
      <c r="B29" s="81">
        <v>1</v>
      </c>
      <c r="C29" s="80"/>
      <c r="D29" s="80"/>
      <c r="E29" s="42">
        <f t="shared" si="12"/>
        <v>1</v>
      </c>
      <c r="F29" s="7"/>
      <c r="G29" s="32" t="s">
        <v>174</v>
      </c>
      <c r="H29" s="34">
        <f>IF(SUM(H25:H28),SUM(H25:H28),"")</f>
        <v>5</v>
      </c>
      <c r="I29" s="34" t="str">
        <f>IF(SUM(I25:I28),SUM(I25:I28),"")</f>
        <v/>
      </c>
      <c r="J29" s="34" t="str">
        <f>IF(SUM(J25:J28),SUM(J25:J28),"")</f>
        <v/>
      </c>
      <c r="K29" s="34">
        <f t="shared" ref="K29" si="13">IF(SUM(K25:K28),SUM(K25:K28),"")</f>
        <v>5</v>
      </c>
      <c r="S29" s="21"/>
      <c r="T29" s="21"/>
    </row>
    <row r="30" spans="1:20" ht="12.75" customHeight="1" x14ac:dyDescent="0.25">
      <c r="A30" s="30" t="s">
        <v>19</v>
      </c>
      <c r="B30" s="78">
        <v>2</v>
      </c>
      <c r="C30" s="78"/>
      <c r="D30" s="78">
        <v>18</v>
      </c>
      <c r="E30" s="35">
        <f t="shared" si="12"/>
        <v>20</v>
      </c>
      <c r="F30" s="7"/>
      <c r="G30" s="8"/>
      <c r="H30" s="8"/>
      <c r="I30" s="8"/>
      <c r="J30" s="8"/>
      <c r="K30" s="12"/>
      <c r="S30" s="21"/>
      <c r="T30" s="21"/>
    </row>
    <row r="31" spans="1:20" ht="12.75" customHeight="1" x14ac:dyDescent="0.25">
      <c r="A31" s="40" t="s">
        <v>38</v>
      </c>
      <c r="B31" s="80">
        <v>2</v>
      </c>
      <c r="C31" s="80"/>
      <c r="D31" s="80"/>
      <c r="E31" s="42">
        <f>IF(SUM(B31:D31),SUM(B31:D31),"")</f>
        <v>2</v>
      </c>
      <c r="F31" s="7"/>
      <c r="G31" s="108" t="s">
        <v>175</v>
      </c>
      <c r="H31" s="109"/>
      <c r="I31" s="109"/>
      <c r="J31" s="109"/>
      <c r="K31" s="110"/>
      <c r="S31" s="21"/>
      <c r="T31" s="21"/>
    </row>
    <row r="32" spans="1:20" ht="12.75" customHeight="1" x14ac:dyDescent="0.25">
      <c r="A32" s="30" t="s">
        <v>39</v>
      </c>
      <c r="B32" s="78"/>
      <c r="C32" s="78"/>
      <c r="D32" s="78"/>
      <c r="E32" s="35" t="str">
        <f t="shared" ref="E32" si="14">IF(SUM(B32:D32),SUM(B32:D32),"")</f>
        <v/>
      </c>
      <c r="F32" s="7"/>
      <c r="G32" s="30" t="s">
        <v>27</v>
      </c>
      <c r="H32" s="78"/>
      <c r="I32" s="120"/>
      <c r="J32" s="120"/>
      <c r="K32" s="90" t="str">
        <f t="shared" ref="K32:K35" si="15">IF(SUM(H32:J32),SUM(H32:J32),"")</f>
        <v/>
      </c>
      <c r="S32" s="21"/>
      <c r="T32" s="21"/>
    </row>
    <row r="33" spans="1:20" ht="12.75" customHeight="1" x14ac:dyDescent="0.25">
      <c r="A33" s="32" t="s">
        <v>90</v>
      </c>
      <c r="B33" s="34">
        <f>IF(SUM(B28:B32),SUM(B28:B32),"")</f>
        <v>9</v>
      </c>
      <c r="C33" s="34" t="str">
        <f>IF(SUM(C28:C32),SUM(C28:C32),"")</f>
        <v/>
      </c>
      <c r="D33" s="34">
        <f>IF(SUM(D28:D32),SUM(D28:D32),"")</f>
        <v>18</v>
      </c>
      <c r="E33" s="151">
        <f t="shared" ref="E33" si="16">IF(SUM(E28:E32),SUM(E28:E32),"")</f>
        <v>27</v>
      </c>
      <c r="F33" s="7"/>
      <c r="G33" s="40" t="s">
        <v>32</v>
      </c>
      <c r="H33" s="41">
        <v>1</v>
      </c>
      <c r="I33" s="41"/>
      <c r="J33" s="41"/>
      <c r="K33" s="42">
        <f t="shared" si="15"/>
        <v>1</v>
      </c>
      <c r="S33" s="21"/>
      <c r="T33" s="22"/>
    </row>
    <row r="34" spans="1:20" ht="12.75" customHeight="1" x14ac:dyDescent="0.25">
      <c r="A34" s="8"/>
      <c r="B34" s="8"/>
      <c r="C34" s="8"/>
      <c r="D34" s="8"/>
      <c r="F34" s="7"/>
      <c r="G34" s="30" t="s">
        <v>44</v>
      </c>
      <c r="H34" s="78">
        <v>2</v>
      </c>
      <c r="I34" s="120"/>
      <c r="J34" s="120"/>
      <c r="K34" s="90">
        <f t="shared" si="15"/>
        <v>2</v>
      </c>
      <c r="S34" s="21"/>
      <c r="T34" s="21"/>
    </row>
    <row r="35" spans="1:20" ht="12.75" customHeight="1" x14ac:dyDescent="0.25">
      <c r="A35" s="108" t="s">
        <v>86</v>
      </c>
      <c r="B35" s="109"/>
      <c r="C35" s="109"/>
      <c r="D35" s="109"/>
      <c r="E35" s="110"/>
      <c r="F35" s="7"/>
      <c r="G35" s="40" t="s">
        <v>68</v>
      </c>
      <c r="H35" s="41">
        <v>3</v>
      </c>
      <c r="I35" s="41"/>
      <c r="J35" s="41"/>
      <c r="K35" s="42">
        <f t="shared" si="15"/>
        <v>3</v>
      </c>
      <c r="S35" s="21"/>
      <c r="T35" s="21"/>
    </row>
    <row r="36" spans="1:20" ht="12.75" customHeight="1" x14ac:dyDescent="0.25">
      <c r="A36" s="30" t="s">
        <v>208</v>
      </c>
      <c r="B36" s="78">
        <v>2</v>
      </c>
      <c r="C36" s="78"/>
      <c r="D36" s="78"/>
      <c r="E36" s="35">
        <f t="shared" ref="E36:E38" si="17">IF(SUM(B36:D36),SUM(B36:D36),"")</f>
        <v>2</v>
      </c>
      <c r="F36" s="7"/>
      <c r="G36" s="32" t="s">
        <v>177</v>
      </c>
      <c r="H36" s="34">
        <f>IF(SUM(H32:H35),SUM(H32:H35),"")</f>
        <v>6</v>
      </c>
      <c r="I36" s="34" t="str">
        <f>IF(SUM(I32:I35),SUM(I32:I35),"")</f>
        <v/>
      </c>
      <c r="J36" s="34" t="str">
        <f>IF(SUM(J32:J35),SUM(J32:J35),"")</f>
        <v/>
      </c>
      <c r="K36" s="34">
        <f t="shared" ref="K36" si="18">IF(SUM(K32:K35),SUM(K32:K35),"")</f>
        <v>6</v>
      </c>
      <c r="S36" s="22"/>
      <c r="T36" s="21"/>
    </row>
    <row r="37" spans="1:20" ht="12.75" customHeight="1" x14ac:dyDescent="0.25">
      <c r="A37" s="40" t="s">
        <v>26</v>
      </c>
      <c r="B37" s="80">
        <v>2</v>
      </c>
      <c r="C37" s="80"/>
      <c r="D37" s="80"/>
      <c r="E37" s="42">
        <f t="shared" si="17"/>
        <v>2</v>
      </c>
      <c r="F37" s="7"/>
      <c r="H37" s="70"/>
      <c r="S37" s="21"/>
      <c r="T37" s="21"/>
    </row>
    <row r="38" spans="1:20" ht="12.75" customHeight="1" x14ac:dyDescent="0.25">
      <c r="A38" s="36" t="s">
        <v>34</v>
      </c>
      <c r="B38" s="78"/>
      <c r="C38" s="78"/>
      <c r="D38" s="78"/>
      <c r="E38" s="35" t="str">
        <f t="shared" si="17"/>
        <v/>
      </c>
      <c r="F38" s="7"/>
      <c r="G38" s="108" t="s">
        <v>176</v>
      </c>
      <c r="H38" s="109"/>
      <c r="I38" s="109"/>
      <c r="J38" s="109"/>
      <c r="K38" s="110"/>
      <c r="S38" s="21"/>
      <c r="T38" s="21"/>
    </row>
    <row r="39" spans="1:20" ht="12.75" customHeight="1" x14ac:dyDescent="0.25">
      <c r="A39" s="32" t="s">
        <v>91</v>
      </c>
      <c r="B39" s="34">
        <f>IF(SUM(B36:B38),SUM(B36:B38),"")</f>
        <v>4</v>
      </c>
      <c r="C39" s="34" t="str">
        <f>IF(SUM(C36:C38),SUM(C36:C38),"")</f>
        <v/>
      </c>
      <c r="D39" s="34" t="str">
        <f>IF(SUM(D36:D38),SUM(D36:D38),"")</f>
        <v/>
      </c>
      <c r="E39" s="151">
        <f t="shared" ref="E39" si="19">IF(SUM(E36:E38),SUM(E36:E38),"")</f>
        <v>4</v>
      </c>
      <c r="F39" s="7"/>
      <c r="G39" s="30" t="s">
        <v>21</v>
      </c>
      <c r="H39" s="78"/>
      <c r="I39" s="78"/>
      <c r="J39" s="78"/>
      <c r="K39" s="90" t="str">
        <f t="shared" ref="K39:K43" si="20">IF(SUM(H39:J39),SUM(H39:J39),"")</f>
        <v/>
      </c>
      <c r="S39" s="21"/>
      <c r="T39" s="21"/>
    </row>
    <row r="40" spans="1:20" ht="12.75" customHeight="1" x14ac:dyDescent="0.25">
      <c r="A40" s="8"/>
      <c r="B40" s="8"/>
      <c r="C40" s="8"/>
      <c r="D40" s="8"/>
      <c r="E40" s="11"/>
      <c r="F40" s="7"/>
      <c r="G40" s="40" t="s">
        <v>28</v>
      </c>
      <c r="H40" s="41">
        <v>11</v>
      </c>
      <c r="I40" s="41"/>
      <c r="J40" s="41"/>
      <c r="K40" s="42">
        <f t="shared" si="20"/>
        <v>11</v>
      </c>
      <c r="S40" s="21"/>
      <c r="T40" s="21"/>
    </row>
    <row r="41" spans="1:20" ht="12.75" customHeight="1" x14ac:dyDescent="0.25">
      <c r="A41" s="108" t="s">
        <v>108</v>
      </c>
      <c r="B41" s="109"/>
      <c r="C41" s="109"/>
      <c r="D41" s="109"/>
      <c r="E41" s="110"/>
      <c r="F41" s="7"/>
      <c r="G41" s="30" t="s">
        <v>40</v>
      </c>
      <c r="H41" s="78">
        <v>2</v>
      </c>
      <c r="I41" s="78"/>
      <c r="J41" s="78"/>
      <c r="K41" s="90">
        <f t="shared" si="20"/>
        <v>2</v>
      </c>
      <c r="S41" s="21"/>
      <c r="T41" s="21"/>
    </row>
    <row r="42" spans="1:20" ht="12.75" customHeight="1" x14ac:dyDescent="0.25">
      <c r="A42" s="87" t="s">
        <v>15</v>
      </c>
      <c r="B42" s="78">
        <v>1</v>
      </c>
      <c r="C42" s="78"/>
      <c r="D42" s="78"/>
      <c r="E42" s="103">
        <f t="shared" ref="E42:E49" si="21">IF(SUM(B42:D42),SUM(B42:D42),"")</f>
        <v>1</v>
      </c>
      <c r="F42" s="7"/>
      <c r="G42" s="40" t="s">
        <v>45</v>
      </c>
      <c r="H42" s="41">
        <v>3</v>
      </c>
      <c r="I42" s="41"/>
      <c r="J42" s="41"/>
      <c r="K42" s="42">
        <f t="shared" si="20"/>
        <v>3</v>
      </c>
      <c r="S42" s="21"/>
      <c r="T42" s="22"/>
    </row>
    <row r="43" spans="1:20" ht="12.75" customHeight="1" x14ac:dyDescent="0.25">
      <c r="A43" s="40" t="s">
        <v>22</v>
      </c>
      <c r="B43" s="80"/>
      <c r="C43" s="80"/>
      <c r="D43" s="80"/>
      <c r="E43" s="148" t="str">
        <f t="shared" si="21"/>
        <v/>
      </c>
      <c r="F43" s="7"/>
      <c r="G43" s="87" t="s">
        <v>51</v>
      </c>
      <c r="H43" s="78"/>
      <c r="I43" s="78"/>
      <c r="J43" s="78"/>
      <c r="K43" s="90" t="str">
        <f t="shared" si="20"/>
        <v/>
      </c>
      <c r="S43" s="21"/>
      <c r="T43" s="21"/>
    </row>
    <row r="44" spans="1:20" ht="12.75" customHeight="1" x14ac:dyDescent="0.25">
      <c r="A44" s="89" t="s">
        <v>101</v>
      </c>
      <c r="B44" s="88"/>
      <c r="C44" s="88"/>
      <c r="D44" s="88"/>
      <c r="E44" s="103" t="str">
        <f t="shared" si="21"/>
        <v/>
      </c>
      <c r="F44" s="7"/>
      <c r="G44" s="32" t="s">
        <v>178</v>
      </c>
      <c r="H44" s="34">
        <f t="shared" ref="H44:I44" si="22">IF(SUM(H39:H43),SUM(H39:H43),"")</f>
        <v>16</v>
      </c>
      <c r="I44" s="34" t="str">
        <f t="shared" si="22"/>
        <v/>
      </c>
      <c r="J44" s="34" t="str">
        <f>IF(SUM(J39:J43),SUM(J39:J43),"")</f>
        <v/>
      </c>
      <c r="K44" s="34">
        <f t="shared" ref="K44" si="23">IF(SUM(K39:K43),SUM(K39:K43),"")</f>
        <v>16</v>
      </c>
      <c r="S44" s="21"/>
      <c r="T44" s="21"/>
    </row>
    <row r="45" spans="1:20" ht="12.75" customHeight="1" x14ac:dyDescent="0.25">
      <c r="A45" s="40" t="s">
        <v>41</v>
      </c>
      <c r="B45" s="80">
        <v>1</v>
      </c>
      <c r="C45" s="80">
        <v>1</v>
      </c>
      <c r="D45" s="80"/>
      <c r="E45" s="148">
        <f t="shared" si="21"/>
        <v>2</v>
      </c>
      <c r="F45" s="7"/>
      <c r="S45" s="21"/>
      <c r="T45" s="21"/>
    </row>
    <row r="46" spans="1:20" ht="12.75" customHeight="1" x14ac:dyDescent="0.25">
      <c r="A46" s="87" t="s">
        <v>50</v>
      </c>
      <c r="B46" s="78">
        <v>3</v>
      </c>
      <c r="C46" s="78"/>
      <c r="D46" s="78"/>
      <c r="E46" s="103">
        <f t="shared" si="21"/>
        <v>3</v>
      </c>
      <c r="F46" s="7"/>
      <c r="G46" s="108" t="s">
        <v>179</v>
      </c>
      <c r="H46" s="109"/>
      <c r="I46" s="109"/>
      <c r="J46" s="109"/>
      <c r="K46" s="110"/>
      <c r="S46" s="21"/>
      <c r="T46" s="21"/>
    </row>
    <row r="47" spans="1:20" ht="12.75" customHeight="1" x14ac:dyDescent="0.25">
      <c r="A47" s="40" t="s">
        <v>52</v>
      </c>
      <c r="B47" s="80"/>
      <c r="C47" s="80"/>
      <c r="D47" s="80"/>
      <c r="E47" s="148" t="str">
        <f t="shared" si="21"/>
        <v/>
      </c>
      <c r="F47" s="7"/>
      <c r="G47" s="30" t="s">
        <v>4</v>
      </c>
      <c r="H47" s="31">
        <v>1</v>
      </c>
      <c r="I47" s="31"/>
      <c r="J47" s="102"/>
      <c r="K47" s="90">
        <f t="shared" ref="K47:K49" si="24">IF(SUM(H47:J47),SUM(H47:J47),"")</f>
        <v>1</v>
      </c>
      <c r="S47" s="21"/>
      <c r="T47" s="21"/>
    </row>
    <row r="48" spans="1:20" ht="12.75" customHeight="1" x14ac:dyDescent="0.25">
      <c r="A48" s="87" t="s">
        <v>53</v>
      </c>
      <c r="B48" s="78">
        <v>1</v>
      </c>
      <c r="C48" s="78"/>
      <c r="D48" s="78"/>
      <c r="E48" s="103">
        <f t="shared" si="21"/>
        <v>1</v>
      </c>
      <c r="F48" s="7"/>
      <c r="G48" s="40" t="s">
        <v>14</v>
      </c>
      <c r="H48" s="41">
        <v>20.000000000000004</v>
      </c>
      <c r="I48" s="41"/>
      <c r="J48" s="41"/>
      <c r="K48" s="42">
        <f t="shared" si="24"/>
        <v>20.000000000000004</v>
      </c>
      <c r="S48" s="21"/>
      <c r="T48" s="21"/>
    </row>
    <row r="49" spans="1:27" ht="12.75" customHeight="1" x14ac:dyDescent="0.25">
      <c r="A49" s="40" t="s">
        <v>55</v>
      </c>
      <c r="B49" s="80"/>
      <c r="C49" s="80"/>
      <c r="D49" s="80"/>
      <c r="E49" s="148" t="str">
        <f t="shared" si="21"/>
        <v/>
      </c>
      <c r="F49" s="7"/>
      <c r="G49" s="30" t="s">
        <v>59</v>
      </c>
      <c r="H49" s="31">
        <v>10</v>
      </c>
      <c r="I49" s="31"/>
      <c r="J49" s="102"/>
      <c r="K49" s="90">
        <f t="shared" si="24"/>
        <v>10</v>
      </c>
      <c r="S49" s="21"/>
      <c r="T49" s="21"/>
    </row>
    <row r="50" spans="1:27" ht="12.75" customHeight="1" x14ac:dyDescent="0.25">
      <c r="A50" s="32" t="s">
        <v>109</v>
      </c>
      <c r="B50" s="34">
        <f>IF(SUM(B42:B49),SUM(B42:B49),"")</f>
        <v>6</v>
      </c>
      <c r="C50" s="34">
        <f>IF(SUM(C42:C49),SUM(C42:C49),"")</f>
        <v>1</v>
      </c>
      <c r="D50" s="34" t="str">
        <f>IF(SUM(D42:D49),SUM(D42:D49),"")</f>
        <v/>
      </c>
      <c r="E50" s="151">
        <f>IF(SUM(E42:E49),SUM(E42:E49),"")</f>
        <v>7</v>
      </c>
      <c r="F50" s="7"/>
      <c r="G50" s="32" t="s">
        <v>180</v>
      </c>
      <c r="H50" s="34">
        <f>IF(SUM(H47:H49),SUM(H47:H49),"")</f>
        <v>31.000000000000004</v>
      </c>
      <c r="I50" s="34" t="str">
        <f>IF(SUM(I47:I49),SUM(I47:I49),"")</f>
        <v/>
      </c>
      <c r="J50" s="34" t="str">
        <f>IF(SUM(J47:J49),SUM(J47:J49),"")</f>
        <v/>
      </c>
      <c r="K50" s="34">
        <f>IF(SUM(K47:K49),SUM(K47:K49),"")</f>
        <v>31.000000000000004</v>
      </c>
      <c r="S50" s="21"/>
      <c r="T50" s="21"/>
    </row>
    <row r="51" spans="1:27" ht="12.75" customHeight="1" x14ac:dyDescent="0.25">
      <c r="A51" s="8"/>
      <c r="B51" s="8"/>
      <c r="C51" s="8"/>
      <c r="D51" s="8"/>
      <c r="F51" s="9"/>
      <c r="S51" s="22"/>
      <c r="T51" s="21"/>
    </row>
    <row r="52" spans="1:27" ht="12.75" customHeight="1" x14ac:dyDescent="0.25">
      <c r="A52" s="108" t="s">
        <v>110</v>
      </c>
      <c r="B52" s="109"/>
      <c r="C52" s="109"/>
      <c r="D52" s="109"/>
      <c r="E52" s="110"/>
      <c r="F52" s="7"/>
      <c r="G52" s="108" t="s">
        <v>181</v>
      </c>
      <c r="H52" s="109"/>
      <c r="I52" s="109"/>
      <c r="J52" s="109"/>
      <c r="K52" s="110"/>
      <c r="S52" s="21"/>
      <c r="T52" s="21"/>
    </row>
    <row r="53" spans="1:27" ht="12.75" customHeight="1" x14ac:dyDescent="0.25">
      <c r="A53" s="87" t="s">
        <v>8</v>
      </c>
      <c r="B53" s="78">
        <v>19</v>
      </c>
      <c r="C53" s="78"/>
      <c r="D53" s="78"/>
      <c r="E53" s="103">
        <f t="shared" ref="E53:E55" si="25">IF(SUM(B53:D53),SUM(B53:D53),"")</f>
        <v>19</v>
      </c>
      <c r="F53" s="7"/>
      <c r="G53" s="30" t="s">
        <v>98</v>
      </c>
      <c r="H53" s="78">
        <v>9</v>
      </c>
      <c r="I53" s="78"/>
      <c r="J53" s="78"/>
      <c r="K53" s="78">
        <f t="shared" ref="K53:K57" si="26">IF(SUM(H53:J53),SUM(H53:J53),"")</f>
        <v>9</v>
      </c>
      <c r="S53" s="21"/>
      <c r="T53" s="21"/>
    </row>
    <row r="54" spans="1:27" ht="12.75" customHeight="1" x14ac:dyDescent="0.25">
      <c r="A54" s="40" t="s">
        <v>12</v>
      </c>
      <c r="B54" s="80">
        <v>7</v>
      </c>
      <c r="C54" s="80"/>
      <c r="D54" s="80"/>
      <c r="E54" s="148">
        <f t="shared" si="25"/>
        <v>7</v>
      </c>
      <c r="F54" s="7"/>
      <c r="G54" s="40" t="s">
        <v>23</v>
      </c>
      <c r="H54" s="41"/>
      <c r="I54" s="41"/>
      <c r="J54" s="41"/>
      <c r="K54" s="41" t="str">
        <f t="shared" si="26"/>
        <v/>
      </c>
      <c r="S54" s="21"/>
      <c r="T54" s="21"/>
    </row>
    <row r="55" spans="1:27" ht="12.75" customHeight="1" x14ac:dyDescent="0.25">
      <c r="A55" s="89" t="s">
        <v>35</v>
      </c>
      <c r="B55" s="78">
        <v>1</v>
      </c>
      <c r="C55" s="78"/>
      <c r="D55" s="78"/>
      <c r="E55" s="103">
        <f t="shared" si="25"/>
        <v>1</v>
      </c>
      <c r="F55" s="7"/>
      <c r="G55" s="30" t="s">
        <v>29</v>
      </c>
      <c r="H55" s="78">
        <v>23</v>
      </c>
      <c r="I55" s="78"/>
      <c r="J55" s="78"/>
      <c r="K55" s="78">
        <f t="shared" si="26"/>
        <v>23</v>
      </c>
      <c r="L55" s="6"/>
      <c r="M55" s="6"/>
      <c r="N55" s="6"/>
      <c r="O55" s="6"/>
      <c r="P55" s="6"/>
      <c r="Q55" s="6"/>
      <c r="R55" s="6"/>
      <c r="S55" s="21"/>
      <c r="T55" s="21"/>
    </row>
    <row r="56" spans="1:27" ht="12.75" customHeight="1" x14ac:dyDescent="0.25">
      <c r="A56" s="32" t="s">
        <v>111</v>
      </c>
      <c r="B56" s="34">
        <f>IF(SUM(B53:B55),SUM(B53:B55),"")</f>
        <v>27</v>
      </c>
      <c r="C56" s="34" t="str">
        <f>IF(SUM(C53:C55),SUM(C53:C55),"")</f>
        <v/>
      </c>
      <c r="D56" s="34" t="str">
        <f>IF(SUM(D53:D55),SUM(D53:D55),"")</f>
        <v/>
      </c>
      <c r="E56" s="151">
        <f>IF(SUM(E53:E55),SUM(E53:E55),"")</f>
        <v>27</v>
      </c>
      <c r="F56" s="7"/>
      <c r="G56" s="40" t="s">
        <v>62</v>
      </c>
      <c r="H56" s="41">
        <v>5</v>
      </c>
      <c r="I56" s="41"/>
      <c r="J56" s="41"/>
      <c r="K56" s="41">
        <f t="shared" si="26"/>
        <v>5</v>
      </c>
      <c r="S56" s="21"/>
      <c r="T56" s="22"/>
    </row>
    <row r="57" spans="1:27" ht="12.75" customHeight="1" x14ac:dyDescent="0.25">
      <c r="F57" s="7"/>
      <c r="G57" s="87" t="s">
        <v>65</v>
      </c>
      <c r="H57" s="61">
        <v>2</v>
      </c>
      <c r="I57" s="61">
        <v>1</v>
      </c>
      <c r="J57" s="61"/>
      <c r="K57" s="61">
        <f t="shared" si="26"/>
        <v>3</v>
      </c>
      <c r="S57" s="22"/>
      <c r="T57" s="21"/>
    </row>
    <row r="58" spans="1:27" ht="12.75" customHeight="1" x14ac:dyDescent="0.25">
      <c r="A58" s="108" t="s">
        <v>112</v>
      </c>
      <c r="B58" s="109"/>
      <c r="C58" s="109"/>
      <c r="D58" s="109"/>
      <c r="E58" s="110"/>
      <c r="F58" s="7"/>
      <c r="G58" s="32" t="s">
        <v>182</v>
      </c>
      <c r="H58" s="34">
        <f>IF(SUM(H53:H57),SUM(H53:H57),"")</f>
        <v>39</v>
      </c>
      <c r="I58" s="34">
        <f>IF(SUM(I53:I57),SUM(I53:I57),"")</f>
        <v>1</v>
      </c>
      <c r="J58" s="34" t="str">
        <f>IF(SUM(J53:J57),SUM(J53:J57),"")</f>
        <v/>
      </c>
      <c r="K58" s="34">
        <f t="shared" ref="K58" si="27">IF(SUM(K53:K57),SUM(K53:K57),"")</f>
        <v>40</v>
      </c>
      <c r="T58" s="21"/>
    </row>
    <row r="59" spans="1:27" ht="12.75" customHeight="1" x14ac:dyDescent="0.25">
      <c r="A59" s="87" t="s">
        <v>13</v>
      </c>
      <c r="B59" s="78"/>
      <c r="C59" s="78"/>
      <c r="D59" s="78"/>
      <c r="E59" s="103" t="str">
        <f>IF(SUM(B59:D59),SUM(B59:D59),"")</f>
        <v/>
      </c>
      <c r="F59" s="7"/>
      <c r="T59" s="21"/>
    </row>
    <row r="60" spans="1:27" ht="12.75" customHeight="1" x14ac:dyDescent="0.25">
      <c r="A60" s="40" t="s">
        <v>43</v>
      </c>
      <c r="B60" s="80">
        <v>1</v>
      </c>
      <c r="C60" s="80"/>
      <c r="D60" s="80"/>
      <c r="E60" s="148">
        <f>IF(SUM(B60:D60),SUM(B60:D60),"")</f>
        <v>1</v>
      </c>
      <c r="F60" s="7"/>
      <c r="G60" s="108" t="s">
        <v>183</v>
      </c>
      <c r="H60" s="109"/>
      <c r="I60" s="109"/>
      <c r="J60" s="109"/>
      <c r="K60" s="110"/>
      <c r="L60" s="6"/>
      <c r="M60" s="6"/>
      <c r="N60" s="6"/>
      <c r="O60" s="6"/>
      <c r="P60" s="6"/>
      <c r="Q60" s="6"/>
      <c r="R60" s="6"/>
      <c r="T60" s="21"/>
    </row>
    <row r="61" spans="1:27" ht="12.75" customHeight="1" x14ac:dyDescent="0.25">
      <c r="A61" s="89" t="s">
        <v>56</v>
      </c>
      <c r="B61" s="78">
        <v>8</v>
      </c>
      <c r="C61" s="78"/>
      <c r="D61" s="78"/>
      <c r="E61" s="103">
        <f t="shared" ref="E61:E62" si="28">IF(SUM(B61:D61),SUM(B61:D61),"")</f>
        <v>8</v>
      </c>
      <c r="F61" s="7"/>
      <c r="G61" s="30" t="s">
        <v>7</v>
      </c>
      <c r="H61" s="78">
        <v>1</v>
      </c>
      <c r="I61" s="78"/>
      <c r="J61" s="78"/>
      <c r="K61" s="90">
        <f t="shared" ref="K61:K63" si="29">IF(SUM(H61:J61),SUM(H61:J61),"")</f>
        <v>1</v>
      </c>
      <c r="L61" s="6"/>
      <c r="M61" s="6"/>
      <c r="N61" s="6"/>
      <c r="O61" s="6"/>
      <c r="P61" s="6"/>
      <c r="Q61" s="6"/>
      <c r="R61" s="6"/>
      <c r="T61" s="21"/>
    </row>
    <row r="62" spans="1:27" ht="12.75" customHeight="1" x14ac:dyDescent="0.25">
      <c r="A62" s="40" t="s">
        <v>67</v>
      </c>
      <c r="B62" s="80"/>
      <c r="C62" s="80"/>
      <c r="D62" s="80"/>
      <c r="E62" s="148" t="str">
        <f t="shared" si="28"/>
        <v/>
      </c>
      <c r="F62" s="7"/>
      <c r="G62" s="40" t="s">
        <v>48</v>
      </c>
      <c r="H62" s="41"/>
      <c r="I62" s="41"/>
      <c r="J62" s="41"/>
      <c r="K62" s="42" t="str">
        <f t="shared" si="29"/>
        <v/>
      </c>
      <c r="L62" s="6"/>
      <c r="M62" s="6"/>
      <c r="N62" s="6"/>
      <c r="O62" s="6"/>
      <c r="P62" s="6"/>
      <c r="Q62" s="6"/>
      <c r="R62" s="6"/>
      <c r="AA62" s="21"/>
    </row>
    <row r="63" spans="1:27" ht="12.75" customHeight="1" x14ac:dyDescent="0.25">
      <c r="A63" s="32" t="s">
        <v>113</v>
      </c>
      <c r="B63" s="34">
        <f>IF(SUM(B59:B62),SUM(B59:B62),"")</f>
        <v>9</v>
      </c>
      <c r="C63" s="34" t="str">
        <f>IF(SUM(C59:C62),SUM(C59:C62),"")</f>
        <v/>
      </c>
      <c r="D63" s="34" t="str">
        <f>IF(SUM(D59:D62),SUM(D59:D62),"")</f>
        <v/>
      </c>
      <c r="E63" s="151">
        <f>IF(SUM(E59:E62),SUM(E59:E62),"")</f>
        <v>9</v>
      </c>
      <c r="G63" s="30" t="s">
        <v>57</v>
      </c>
      <c r="H63" s="92"/>
      <c r="I63" s="92"/>
      <c r="J63" s="92"/>
      <c r="K63" s="90" t="str">
        <f t="shared" si="29"/>
        <v/>
      </c>
    </row>
    <row r="64" spans="1:27" ht="12.75" customHeight="1" x14ac:dyDescent="0.25">
      <c r="G64" s="32" t="s">
        <v>184</v>
      </c>
      <c r="H64" s="34">
        <f>IF(SUM(H61:H63),SUM(H61:H63),"")</f>
        <v>1</v>
      </c>
      <c r="I64" s="34" t="str">
        <f>IF(SUM(I61:I63),SUM(I61:I63),"")</f>
        <v/>
      </c>
      <c r="J64" s="34" t="str">
        <f>IF(SUM(J61:J63),SUM(J61:J63),"")</f>
        <v/>
      </c>
      <c r="K64" s="34">
        <f>IF(SUM(K61:K63),SUM(K61:K63),"")</f>
        <v>1</v>
      </c>
    </row>
    <row r="65" spans="1:28" ht="12.75" customHeight="1" x14ac:dyDescent="0.25">
      <c r="A65" s="108" t="s">
        <v>114</v>
      </c>
      <c r="B65" s="109"/>
      <c r="C65" s="109"/>
      <c r="D65" s="109"/>
      <c r="E65" s="110"/>
      <c r="G65" s="5"/>
      <c r="K65" s="25"/>
    </row>
    <row r="66" spans="1:28" ht="12.75" customHeight="1" x14ac:dyDescent="0.25">
      <c r="A66" s="30" t="s">
        <v>1</v>
      </c>
      <c r="B66" s="78"/>
      <c r="C66" s="78"/>
      <c r="D66" s="78"/>
      <c r="E66" s="147" t="str">
        <f t="shared" ref="E66:E69" si="30">IF(SUM(B66:D66),SUM(B66:D66),"")</f>
        <v/>
      </c>
      <c r="G66" s="108" t="s">
        <v>185</v>
      </c>
      <c r="H66" s="109"/>
      <c r="I66" s="109"/>
      <c r="J66" s="109"/>
      <c r="K66" s="110"/>
    </row>
    <row r="67" spans="1:28" ht="12.75" customHeight="1" x14ac:dyDescent="0.25">
      <c r="A67" s="40" t="s">
        <v>209</v>
      </c>
      <c r="B67" s="80">
        <v>5</v>
      </c>
      <c r="C67" s="80"/>
      <c r="D67" s="80"/>
      <c r="E67" s="148">
        <f t="shared" si="30"/>
        <v>5</v>
      </c>
      <c r="G67" s="30" t="s">
        <v>97</v>
      </c>
      <c r="H67" s="78">
        <v>26.000000000000011</v>
      </c>
      <c r="I67" s="78"/>
      <c r="J67" s="78"/>
      <c r="K67" s="90">
        <f>IF(SUM(H67:J67),SUM(H67:J67),"")</f>
        <v>26.000000000000011</v>
      </c>
    </row>
    <row r="68" spans="1:28" ht="12.75" customHeight="1" x14ac:dyDescent="0.25">
      <c r="A68" s="87" t="s">
        <v>17</v>
      </c>
      <c r="B68" s="78"/>
      <c r="C68" s="78"/>
      <c r="D68" s="78"/>
      <c r="E68" s="103" t="str">
        <f t="shared" si="30"/>
        <v/>
      </c>
      <c r="G68" s="32" t="s">
        <v>186</v>
      </c>
      <c r="H68" s="34">
        <f>IF(SUM(H63:H67),SUM(H63:H67),"")</f>
        <v>27.000000000000011</v>
      </c>
      <c r="I68" s="34" t="str">
        <f>IF(SUM(I63:I67),SUM(I63:I67),"")</f>
        <v/>
      </c>
      <c r="J68" s="34" t="str">
        <f>IF(SUM(J67:J67),SUM(J67:J67),"")</f>
        <v/>
      </c>
      <c r="K68" s="34">
        <f>IF(SUM(K67:K67),SUM(K67:K67),"")</f>
        <v>26.000000000000011</v>
      </c>
      <c r="M68" s="172"/>
    </row>
    <row r="69" spans="1:28" ht="12.75" customHeight="1" x14ac:dyDescent="0.25">
      <c r="A69" s="40" t="s">
        <v>60</v>
      </c>
      <c r="B69" s="80"/>
      <c r="C69" s="80"/>
      <c r="D69" s="80"/>
      <c r="E69" s="148" t="str">
        <f t="shared" si="30"/>
        <v/>
      </c>
      <c r="G69" s="5"/>
      <c r="K69" s="25"/>
      <c r="M69" s="172"/>
    </row>
    <row r="70" spans="1:28" ht="12.75" customHeight="1" x14ac:dyDescent="0.25">
      <c r="A70" s="32" t="s">
        <v>115</v>
      </c>
      <c r="B70" s="151">
        <f t="shared" ref="B70" si="31">IF(SUM(B66:B69),SUM(B66:B69),"")</f>
        <v>5</v>
      </c>
      <c r="C70" s="34"/>
      <c r="D70" s="34"/>
      <c r="E70" s="151">
        <f t="shared" ref="E70" si="32">IF(SUM(E66:E69),SUM(E66:E69),"")</f>
        <v>5</v>
      </c>
      <c r="G70" s="32" t="s">
        <v>121</v>
      </c>
      <c r="H70" s="34">
        <f>IF(SUM(B10,B17,B25,B33,B39,B50,B56,B63,B70,H9,H16,H22,H29,H36,H44,H50,H58,H64,H68),SUM(B10,B17,B25,B33,B39,B50,B56,B63,B70,H9,H16,H22,H29,H36,H44,H50,H58,H64,H68),"")</f>
        <v>244</v>
      </c>
      <c r="I70" s="34">
        <f>IF(SUM(C10,C17,C25,C33,C39,C50,C56,C63,C70,I9,I16,I22,I29,I36,I44,I50,I58,I64,I68),SUM(C10,C17,C25,C33,C39,C50,C56,C63,C70,I9,I16,I22,I29,I36,I44,I50,I58,I64,I68),"")</f>
        <v>62</v>
      </c>
      <c r="J70" s="34">
        <f>IF(SUM(D10,D17,D25,D33,D39,D50,D56,D63,D70,J9,J16,J22,J29,J36,J44,J50,J58,J64,J68),SUM(D10,D17,D25,D33,D39,D50,D56,D63,D70,J9,J16,J22,J29,J36,J44,J50,J58,J64,J68),"")</f>
        <v>500</v>
      </c>
      <c r="K70" s="34">
        <f>IF(SUM(E10,E17,E25,E33,E39,E50,E56,E63,E70,K9,K16,K22,K29,K36,K44,K50,K58,K64,K68),SUM(E10,E17,E25,E33,E39,E50,E56,E63,E70,K9,K16,K22,K29,K36,K44,K50,K58,K64,K68),"")</f>
        <v>805</v>
      </c>
      <c r="M70" s="173"/>
    </row>
    <row r="71" spans="1:28" ht="16.5" thickBot="1" x14ac:dyDescent="0.3">
      <c r="A71" s="2"/>
      <c r="E71" s="1"/>
      <c r="F71" s="10"/>
      <c r="G71"/>
      <c r="H71" s="6"/>
      <c r="I71" s="6"/>
      <c r="J71" s="6"/>
      <c r="K71"/>
      <c r="M71" s="172"/>
      <c r="N71" s="20"/>
      <c r="O71" s="20"/>
      <c r="P71" s="20"/>
      <c r="Q71" s="20"/>
      <c r="R71" s="20"/>
      <c r="W71" s="18"/>
      <c r="X71"/>
      <c r="Y71"/>
      <c r="Z71"/>
      <c r="AA71"/>
      <c r="AB71"/>
    </row>
    <row r="72" spans="1:28" ht="16.5" thickBot="1" x14ac:dyDescent="0.3">
      <c r="A72" s="200" t="s">
        <v>229</v>
      </c>
      <c r="B72" s="200"/>
      <c r="C72" s="200"/>
      <c r="D72" s="200"/>
      <c r="E72" s="200"/>
      <c r="F72" s="10"/>
      <c r="G72"/>
      <c r="H72"/>
      <c r="I72"/>
      <c r="J72"/>
      <c r="K72"/>
      <c r="M72" s="172"/>
      <c r="N72" s="20"/>
      <c r="O72" s="20"/>
      <c r="P72" s="20"/>
      <c r="Q72" s="20"/>
      <c r="R72" s="20"/>
      <c r="W72" s="18"/>
      <c r="X72"/>
      <c r="Y72"/>
      <c r="Z72"/>
      <c r="AA72"/>
      <c r="AB72"/>
    </row>
    <row r="73" spans="1:28" ht="26.25" thickBot="1" x14ac:dyDescent="0.3">
      <c r="A73" s="51" t="s">
        <v>69</v>
      </c>
      <c r="B73" s="52" t="s">
        <v>92</v>
      </c>
      <c r="C73" s="53" t="s">
        <v>93</v>
      </c>
      <c r="D73" s="54" t="s">
        <v>153</v>
      </c>
      <c r="E73" s="55" t="s">
        <v>0</v>
      </c>
      <c r="F73" s="10"/>
      <c r="G73"/>
      <c r="H73"/>
      <c r="I73"/>
      <c r="J73"/>
      <c r="K73"/>
      <c r="N73" s="20"/>
      <c r="O73" s="175"/>
      <c r="P73" s="20"/>
      <c r="Q73" s="20"/>
      <c r="R73" s="20"/>
      <c r="W73" s="18"/>
      <c r="X73"/>
      <c r="Y73"/>
      <c r="Z73"/>
      <c r="AA73"/>
      <c r="AB73"/>
    </row>
    <row r="74" spans="1:28" ht="12.75" customHeight="1" x14ac:dyDescent="0.25">
      <c r="A74" s="49" t="s">
        <v>70</v>
      </c>
      <c r="B74" s="82">
        <v>32.000000000000007</v>
      </c>
      <c r="C74" s="82">
        <v>60</v>
      </c>
      <c r="D74" s="82"/>
      <c r="E74" s="35">
        <f>IF(SUM(B74:D74),SUM(B74:D74),"")</f>
        <v>92</v>
      </c>
      <c r="F74" s="10"/>
      <c r="G74"/>
      <c r="H74"/>
      <c r="I74"/>
      <c r="J74"/>
      <c r="K74"/>
      <c r="N74" s="20"/>
      <c r="O74" s="20"/>
      <c r="P74" s="20"/>
      <c r="Q74" s="20"/>
      <c r="R74" s="20"/>
      <c r="W74" s="18"/>
      <c r="X74"/>
      <c r="Y74"/>
      <c r="Z74"/>
      <c r="AA74"/>
      <c r="AB74"/>
    </row>
    <row r="75" spans="1:28" ht="12.75" customHeight="1" x14ac:dyDescent="0.25">
      <c r="A75" s="48" t="s">
        <v>71</v>
      </c>
      <c r="B75" s="121">
        <v>41.999999999999993</v>
      </c>
      <c r="C75" s="121"/>
      <c r="D75" s="121"/>
      <c r="E75" s="42">
        <f t="shared" ref="E75:E85" si="33">IF(SUM(B75:D75),SUM(B75:D75),"")</f>
        <v>41.999999999999993</v>
      </c>
      <c r="F75" s="10"/>
      <c r="G75"/>
      <c r="H75"/>
      <c r="I75"/>
      <c r="J75"/>
      <c r="K75"/>
      <c r="N75" s="20"/>
      <c r="O75" s="20"/>
      <c r="P75" s="20"/>
      <c r="Q75" s="20"/>
      <c r="R75" s="20"/>
      <c r="W75" s="18"/>
      <c r="X75"/>
      <c r="Y75"/>
      <c r="Z75"/>
      <c r="AA75"/>
      <c r="AB75"/>
    </row>
    <row r="76" spans="1:28" ht="12.75" customHeight="1" x14ac:dyDescent="0.25">
      <c r="A76" s="49" t="s">
        <v>72</v>
      </c>
      <c r="B76" s="82">
        <v>39.999999999999993</v>
      </c>
      <c r="C76" s="82"/>
      <c r="D76" s="82">
        <v>18</v>
      </c>
      <c r="E76" s="35">
        <f t="shared" si="33"/>
        <v>57.999999999999993</v>
      </c>
      <c r="F76" s="10"/>
      <c r="G76"/>
      <c r="H76"/>
      <c r="I76"/>
      <c r="J76"/>
      <c r="K76"/>
      <c r="N76" s="20"/>
      <c r="O76" s="20"/>
      <c r="P76" s="20"/>
      <c r="Q76" s="20"/>
      <c r="R76" s="20"/>
      <c r="W76" s="18"/>
      <c r="X76"/>
      <c r="Y76"/>
      <c r="Z76"/>
      <c r="AA76"/>
      <c r="AB76"/>
    </row>
    <row r="77" spans="1:28" ht="12.75" customHeight="1" x14ac:dyDescent="0.25">
      <c r="A77" s="48" t="s">
        <v>73</v>
      </c>
      <c r="B77" s="121">
        <v>33</v>
      </c>
      <c r="C77" s="121"/>
      <c r="D77" s="121">
        <v>482</v>
      </c>
      <c r="E77" s="42">
        <f>IF(SUM(B77:D77),SUM(B77:D77),"")</f>
        <v>515</v>
      </c>
      <c r="F77" s="10"/>
      <c r="G77"/>
      <c r="H77"/>
      <c r="I77"/>
      <c r="J77"/>
      <c r="K77"/>
      <c r="N77" s="20"/>
      <c r="O77" s="20"/>
      <c r="P77" s="20"/>
      <c r="Q77" s="20"/>
      <c r="R77" s="20"/>
      <c r="W77" s="18"/>
      <c r="X77"/>
      <c r="Y77"/>
      <c r="Z77"/>
      <c r="AA77"/>
      <c r="AB77"/>
    </row>
    <row r="78" spans="1:28" ht="12.75" customHeight="1" x14ac:dyDescent="0.25">
      <c r="A78" s="49" t="s">
        <v>74</v>
      </c>
      <c r="B78" s="56">
        <v>47.999999999999993</v>
      </c>
      <c r="C78" s="56">
        <v>1</v>
      </c>
      <c r="D78" s="56"/>
      <c r="E78" s="35">
        <f>IF(SUM(B78:D78),SUM(B78:D78),"")</f>
        <v>48.999999999999993</v>
      </c>
      <c r="F78" s="10"/>
      <c r="G78"/>
      <c r="H78"/>
      <c r="I78"/>
      <c r="J78"/>
      <c r="K78"/>
      <c r="N78" s="20"/>
      <c r="O78" s="20"/>
      <c r="P78" s="20"/>
      <c r="Q78" s="20"/>
      <c r="R78" s="20"/>
      <c r="W78" s="18"/>
      <c r="X78"/>
      <c r="Y78"/>
      <c r="Z78"/>
      <c r="AA78"/>
      <c r="AB78"/>
    </row>
    <row r="79" spans="1:28" ht="12.75" customHeight="1" x14ac:dyDescent="0.25">
      <c r="A79" s="48" t="s">
        <v>75</v>
      </c>
      <c r="B79" s="57">
        <v>48.000000000000007</v>
      </c>
      <c r="C79" s="57">
        <v>1</v>
      </c>
      <c r="D79" s="57"/>
      <c r="E79" s="42">
        <f>IF(SUM(B79:D79),SUM(B79:D79),"")</f>
        <v>49.000000000000007</v>
      </c>
      <c r="F79" s="10"/>
      <c r="G79"/>
      <c r="H79"/>
      <c r="I79"/>
      <c r="J79"/>
      <c r="K79"/>
      <c r="N79" s="20"/>
      <c r="O79" s="20"/>
      <c r="P79" s="20"/>
      <c r="Q79" s="20"/>
      <c r="R79" s="20"/>
      <c r="W79" s="18"/>
      <c r="X79"/>
      <c r="Y79"/>
      <c r="Z79"/>
      <c r="AA79"/>
      <c r="AB79"/>
    </row>
    <row r="80" spans="1:28" ht="12.75" customHeight="1" x14ac:dyDescent="0.25">
      <c r="A80" s="49" t="s">
        <v>76</v>
      </c>
      <c r="B80" s="56"/>
      <c r="C80" s="56"/>
      <c r="D80" s="56"/>
      <c r="E80" s="35" t="str">
        <f t="shared" si="33"/>
        <v/>
      </c>
      <c r="F80" s="10"/>
      <c r="G80"/>
      <c r="H80"/>
      <c r="I80"/>
      <c r="J80"/>
      <c r="K80"/>
      <c r="N80" s="20"/>
      <c r="O80" s="20"/>
      <c r="P80" s="20"/>
      <c r="Q80" s="20"/>
      <c r="R80" s="20"/>
      <c r="W80" s="18"/>
      <c r="X80"/>
      <c r="Y80"/>
      <c r="Z80"/>
      <c r="AA80"/>
      <c r="AB80"/>
    </row>
    <row r="81" spans="1:5" ht="12.75" customHeight="1" x14ac:dyDescent="0.25">
      <c r="A81" s="48" t="s">
        <v>77</v>
      </c>
      <c r="B81" s="57"/>
      <c r="C81" s="57"/>
      <c r="D81" s="57"/>
      <c r="E81" s="42" t="str">
        <f t="shared" si="33"/>
        <v/>
      </c>
    </row>
    <row r="82" spans="1:5" ht="12.75" customHeight="1" x14ac:dyDescent="0.25">
      <c r="A82" s="49" t="s">
        <v>78</v>
      </c>
      <c r="B82" s="56"/>
      <c r="C82" s="56"/>
      <c r="D82" s="56"/>
      <c r="E82" s="35" t="str">
        <f t="shared" si="33"/>
        <v/>
      </c>
    </row>
    <row r="83" spans="1:5" ht="12.75" customHeight="1" x14ac:dyDescent="0.25">
      <c r="A83" s="48" t="s">
        <v>79</v>
      </c>
      <c r="B83" s="57"/>
      <c r="C83" s="57"/>
      <c r="D83" s="57"/>
      <c r="E83" s="42" t="str">
        <f t="shared" si="33"/>
        <v/>
      </c>
    </row>
    <row r="84" spans="1:5" ht="12.75" customHeight="1" x14ac:dyDescent="0.25">
      <c r="A84" s="49" t="s">
        <v>80</v>
      </c>
      <c r="B84" s="56"/>
      <c r="C84" s="56"/>
      <c r="D84" s="56"/>
      <c r="E84" s="35" t="str">
        <f t="shared" si="33"/>
        <v/>
      </c>
    </row>
    <row r="85" spans="1:5" ht="12.75" customHeight="1" x14ac:dyDescent="0.25">
      <c r="A85" s="48" t="s">
        <v>81</v>
      </c>
      <c r="B85" s="57"/>
      <c r="C85" s="57"/>
      <c r="D85" s="57"/>
      <c r="E85" s="42" t="str">
        <f t="shared" si="33"/>
        <v/>
      </c>
    </row>
    <row r="86" spans="1:5" ht="12.75" customHeight="1" x14ac:dyDescent="0.25">
      <c r="A86" s="46" t="s">
        <v>0</v>
      </c>
      <c r="B86" s="47">
        <f>IF(SUM(B74:B85),SUM(B74:B85),"")</f>
        <v>243</v>
      </c>
      <c r="C86" s="47">
        <f>IF(SUM(C74:C85),SUM(C74:C85),"")</f>
        <v>62</v>
      </c>
      <c r="D86" s="47">
        <f>IF(SUM(D74:D85),SUM(D74:D85),"")</f>
        <v>500</v>
      </c>
      <c r="E86" s="47">
        <f t="shared" ref="E86" si="34">IF(SUM(E74:E85),SUM(E74:E85),"")</f>
        <v>805</v>
      </c>
    </row>
  </sheetData>
  <mergeCells count="8">
    <mergeCell ref="A72:E72"/>
    <mergeCell ref="A2:K2"/>
    <mergeCell ref="A3:A4"/>
    <mergeCell ref="B3:D3"/>
    <mergeCell ref="E3:E4"/>
    <mergeCell ref="G3:G4"/>
    <mergeCell ref="H3:J3"/>
    <mergeCell ref="K3:K4"/>
  </mergeCells>
  <printOptions horizontalCentered="1"/>
  <pageMargins left="0.27559055118110237" right="0.27559055118110237" top="0.2" bottom="0.31496062992125984" header="0.16" footer="0.51181102362204722"/>
  <pageSetup paperSize="9" scale="6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03428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142875</xdr:rowOff>
              </from>
              <to>
                <xdr:col>0</xdr:col>
                <xdr:colOff>762000</xdr:colOff>
                <xdr:row>0</xdr:row>
                <xdr:rowOff>542925</xdr:rowOff>
              </to>
            </anchor>
          </objectPr>
        </oleObject>
      </mc:Choice>
      <mc:Fallback>
        <oleObject shapeId="103428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/>
  <dimension ref="A1:U91"/>
  <sheetViews>
    <sheetView showGridLines="0" topLeftCell="B13" zoomScale="85" zoomScaleNormal="85" workbookViewId="0">
      <selection activeCell="T34" sqref="T34"/>
    </sheetView>
  </sheetViews>
  <sheetFormatPr defaultColWidth="11" defaultRowHeight="12.75" x14ac:dyDescent="0.2"/>
  <cols>
    <col min="1" max="1" width="1.25" style="1" hidden="1" customWidth="1"/>
    <col min="2" max="2" width="10.125" style="1" customWidth="1"/>
    <col min="3" max="15" width="7.5" style="1" customWidth="1"/>
    <col min="16" max="16" width="1.375" style="1" customWidth="1"/>
    <col min="17" max="16384" width="11" style="1"/>
  </cols>
  <sheetData>
    <row r="1" spans="1:15" ht="82.5" customHeight="1" x14ac:dyDescent="0.2"/>
    <row r="2" spans="1:15" ht="15" customHeight="1" x14ac:dyDescent="0.2">
      <c r="A2" s="1" t="s">
        <v>221</v>
      </c>
    </row>
    <row r="3" spans="1:15" ht="15" customHeight="1" x14ac:dyDescent="0.2"/>
    <row r="4" spans="1:15" ht="15" customHeight="1" thickBot="1" x14ac:dyDescent="0.25"/>
    <row r="5" spans="1:15" ht="19.5" customHeight="1" thickBot="1" x14ac:dyDescent="0.25">
      <c r="B5" s="200" t="s">
        <v>230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</row>
    <row r="6" spans="1:15" ht="18" customHeight="1" thickBot="1" x14ac:dyDescent="0.25">
      <c r="B6" s="201" t="s">
        <v>69</v>
      </c>
      <c r="C6" s="203" t="s">
        <v>165</v>
      </c>
      <c r="D6" s="204"/>
      <c r="E6" s="204"/>
      <c r="F6" s="205"/>
      <c r="G6" s="203" t="s">
        <v>166</v>
      </c>
      <c r="H6" s="204"/>
      <c r="I6" s="204"/>
      <c r="J6" s="205"/>
      <c r="K6" s="203" t="s">
        <v>218</v>
      </c>
      <c r="L6" s="204"/>
      <c r="M6" s="204"/>
      <c r="N6" s="205"/>
      <c r="O6" s="206" t="s">
        <v>0</v>
      </c>
    </row>
    <row r="7" spans="1:15" ht="17.25" customHeight="1" thickBot="1" x14ac:dyDescent="0.25">
      <c r="B7" s="202"/>
      <c r="C7" s="43" t="s">
        <v>94</v>
      </c>
      <c r="D7" s="44" t="s">
        <v>95</v>
      </c>
      <c r="E7" s="44" t="s">
        <v>96</v>
      </c>
      <c r="F7" s="45" t="s">
        <v>105</v>
      </c>
      <c r="G7" s="43" t="s">
        <v>102</v>
      </c>
      <c r="H7" s="44" t="s">
        <v>104</v>
      </c>
      <c r="I7" s="58" t="s">
        <v>106</v>
      </c>
      <c r="J7" s="50" t="s">
        <v>103</v>
      </c>
      <c r="K7" s="43" t="s">
        <v>214</v>
      </c>
      <c r="L7" s="44" t="s">
        <v>215</v>
      </c>
      <c r="M7" s="44" t="s">
        <v>216</v>
      </c>
      <c r="N7" s="44" t="s">
        <v>217</v>
      </c>
      <c r="O7" s="207"/>
    </row>
    <row r="8" spans="1:15" x14ac:dyDescent="0.2">
      <c r="B8" s="49" t="s">
        <v>70</v>
      </c>
      <c r="C8" s="56"/>
      <c r="D8" s="56">
        <v>8</v>
      </c>
      <c r="E8" s="56">
        <v>8</v>
      </c>
      <c r="F8" s="56"/>
      <c r="G8" s="56">
        <v>61</v>
      </c>
      <c r="H8" s="56"/>
      <c r="I8" s="56"/>
      <c r="J8" s="56"/>
      <c r="K8" s="56">
        <v>2</v>
      </c>
      <c r="L8" s="56">
        <v>2</v>
      </c>
      <c r="M8" s="56"/>
      <c r="N8" s="56">
        <v>11</v>
      </c>
      <c r="O8" s="35">
        <f>IF(SUM(C8:N8),SUM(C8:N8),"")</f>
        <v>92</v>
      </c>
    </row>
    <row r="9" spans="1:15" x14ac:dyDescent="0.2">
      <c r="B9" s="48" t="s">
        <v>71</v>
      </c>
      <c r="C9" s="57"/>
      <c r="D9" s="57">
        <v>6</v>
      </c>
      <c r="E9" s="57">
        <v>10</v>
      </c>
      <c r="F9" s="57"/>
      <c r="G9" s="57">
        <v>2</v>
      </c>
      <c r="H9" s="57"/>
      <c r="I9" s="57"/>
      <c r="J9" s="57"/>
      <c r="K9" s="184">
        <v>18</v>
      </c>
      <c r="L9" s="184"/>
      <c r="M9" s="184"/>
      <c r="N9" s="184">
        <v>6</v>
      </c>
      <c r="O9" s="42">
        <f t="shared" ref="O9:O19" si="0">IF(SUM(C9:N9),SUM(C9:N9),"")</f>
        <v>42</v>
      </c>
    </row>
    <row r="10" spans="1:15" x14ac:dyDescent="0.2">
      <c r="B10" s="49" t="s">
        <v>72</v>
      </c>
      <c r="C10" s="56">
        <v>1</v>
      </c>
      <c r="D10" s="56">
        <v>10</v>
      </c>
      <c r="E10" s="56">
        <v>5</v>
      </c>
      <c r="F10" s="56"/>
      <c r="G10" s="56">
        <v>4</v>
      </c>
      <c r="H10" s="56"/>
      <c r="I10" s="56"/>
      <c r="J10" s="35">
        <v>3</v>
      </c>
      <c r="K10" s="35">
        <v>7</v>
      </c>
      <c r="L10" s="35"/>
      <c r="M10" s="35">
        <v>1</v>
      </c>
      <c r="N10" s="35">
        <v>27</v>
      </c>
      <c r="O10" s="35">
        <f t="shared" si="0"/>
        <v>58</v>
      </c>
    </row>
    <row r="11" spans="1:15" x14ac:dyDescent="0.2">
      <c r="B11" s="48" t="s">
        <v>73</v>
      </c>
      <c r="C11" s="57"/>
      <c r="D11" s="57">
        <v>2</v>
      </c>
      <c r="E11" s="57">
        <v>5</v>
      </c>
      <c r="F11" s="57"/>
      <c r="G11" s="57">
        <v>9</v>
      </c>
      <c r="H11" s="57"/>
      <c r="I11" s="57"/>
      <c r="J11" s="57">
        <v>182</v>
      </c>
      <c r="K11" s="184">
        <v>5</v>
      </c>
      <c r="L11" s="184">
        <v>2</v>
      </c>
      <c r="M11" s="184"/>
      <c r="N11" s="184">
        <v>310</v>
      </c>
      <c r="O11" s="42">
        <f t="shared" si="0"/>
        <v>515</v>
      </c>
    </row>
    <row r="12" spans="1:15" x14ac:dyDescent="0.2">
      <c r="B12" s="49" t="s">
        <v>74</v>
      </c>
      <c r="C12" s="56"/>
      <c r="D12" s="56">
        <v>2</v>
      </c>
      <c r="E12" s="56">
        <v>3</v>
      </c>
      <c r="F12" s="56"/>
      <c r="G12" s="56">
        <v>5</v>
      </c>
      <c r="H12" s="56"/>
      <c r="I12" s="56"/>
      <c r="J12" s="56"/>
      <c r="K12" s="183">
        <v>12</v>
      </c>
      <c r="L12" s="183">
        <v>2</v>
      </c>
      <c r="M12" s="183">
        <v>2</v>
      </c>
      <c r="N12" s="183">
        <v>23</v>
      </c>
      <c r="O12" s="35">
        <f t="shared" si="0"/>
        <v>49</v>
      </c>
    </row>
    <row r="13" spans="1:15" x14ac:dyDescent="0.2">
      <c r="B13" s="48" t="s">
        <v>75</v>
      </c>
      <c r="C13" s="57"/>
      <c r="D13" s="57">
        <v>10</v>
      </c>
      <c r="E13" s="57">
        <v>5</v>
      </c>
      <c r="F13" s="57"/>
      <c r="G13" s="57">
        <v>1</v>
      </c>
      <c r="H13" s="57"/>
      <c r="I13" s="57"/>
      <c r="J13" s="57">
        <v>3</v>
      </c>
      <c r="K13" s="184">
        <v>6</v>
      </c>
      <c r="L13" s="184"/>
      <c r="M13" s="184"/>
      <c r="N13" s="184">
        <v>24</v>
      </c>
      <c r="O13" s="42">
        <f t="shared" si="0"/>
        <v>49</v>
      </c>
    </row>
    <row r="14" spans="1:15" x14ac:dyDescent="0.2">
      <c r="B14" s="49" t="s">
        <v>76</v>
      </c>
      <c r="C14" s="82"/>
      <c r="D14" s="82"/>
      <c r="E14" s="82"/>
      <c r="F14" s="82"/>
      <c r="G14" s="82"/>
      <c r="H14" s="82"/>
      <c r="I14" s="82"/>
      <c r="J14" s="56"/>
      <c r="K14" s="183"/>
      <c r="L14" s="183"/>
      <c r="M14" s="183"/>
      <c r="N14" s="183"/>
      <c r="O14" s="35" t="str">
        <f t="shared" si="0"/>
        <v/>
      </c>
    </row>
    <row r="15" spans="1:15" x14ac:dyDescent="0.2">
      <c r="B15" s="48" t="s">
        <v>77</v>
      </c>
      <c r="C15" s="57"/>
      <c r="D15" s="121"/>
      <c r="E15" s="121"/>
      <c r="F15" s="57"/>
      <c r="G15" s="57"/>
      <c r="H15" s="57"/>
      <c r="I15" s="57"/>
      <c r="J15" s="57"/>
      <c r="K15" s="184"/>
      <c r="L15" s="184"/>
      <c r="M15" s="184"/>
      <c r="N15" s="184"/>
      <c r="O15" s="42" t="str">
        <f t="shared" si="0"/>
        <v/>
      </c>
    </row>
    <row r="16" spans="1:15" x14ac:dyDescent="0.2">
      <c r="B16" s="49" t="s">
        <v>78</v>
      </c>
      <c r="C16" s="56"/>
      <c r="D16" s="56"/>
      <c r="E16" s="56"/>
      <c r="F16" s="56"/>
      <c r="G16" s="56"/>
      <c r="H16" s="56"/>
      <c r="I16" s="56"/>
      <c r="J16" s="56"/>
      <c r="K16" s="183"/>
      <c r="L16" s="183"/>
      <c r="M16" s="183"/>
      <c r="N16" s="183"/>
      <c r="O16" s="35" t="str">
        <f t="shared" si="0"/>
        <v/>
      </c>
    </row>
    <row r="17" spans="2:17" x14ac:dyDescent="0.2">
      <c r="B17" s="48" t="s">
        <v>79</v>
      </c>
      <c r="C17" s="57"/>
      <c r="D17" s="57"/>
      <c r="E17" s="57"/>
      <c r="F17" s="57"/>
      <c r="G17" s="57"/>
      <c r="H17" s="57"/>
      <c r="I17" s="57"/>
      <c r="J17" s="57"/>
      <c r="K17" s="184"/>
      <c r="L17" s="184"/>
      <c r="M17" s="184"/>
      <c r="N17" s="184"/>
      <c r="O17" s="42" t="str">
        <f t="shared" si="0"/>
        <v/>
      </c>
    </row>
    <row r="18" spans="2:17" x14ac:dyDescent="0.2">
      <c r="B18" s="49" t="s">
        <v>80</v>
      </c>
      <c r="C18" s="56"/>
      <c r="D18" s="56"/>
      <c r="E18" s="56"/>
      <c r="F18" s="56"/>
      <c r="G18" s="56"/>
      <c r="H18" s="56"/>
      <c r="I18" s="56"/>
      <c r="J18" s="56"/>
      <c r="K18" s="183"/>
      <c r="L18" s="183"/>
      <c r="M18" s="183"/>
      <c r="N18" s="183"/>
      <c r="O18" s="35" t="str">
        <f t="shared" si="0"/>
        <v/>
      </c>
    </row>
    <row r="19" spans="2:17" x14ac:dyDescent="0.2">
      <c r="B19" s="48" t="s">
        <v>81</v>
      </c>
      <c r="C19" s="57"/>
      <c r="D19" s="57"/>
      <c r="E19" s="57"/>
      <c r="F19" s="57"/>
      <c r="G19" s="57"/>
      <c r="H19" s="57"/>
      <c r="I19" s="57"/>
      <c r="J19" s="57"/>
      <c r="K19" s="184"/>
      <c r="L19" s="184"/>
      <c r="M19" s="184"/>
      <c r="N19" s="184"/>
      <c r="O19" s="42" t="str">
        <f t="shared" si="0"/>
        <v/>
      </c>
    </row>
    <row r="20" spans="2:17" ht="18" customHeight="1" x14ac:dyDescent="0.2">
      <c r="B20" s="46" t="s">
        <v>0</v>
      </c>
      <c r="C20" s="47">
        <f t="shared" ref="C20:O20" si="1">IF(SUM(C8:C19),SUM(C8:C19),"")</f>
        <v>1</v>
      </c>
      <c r="D20" s="47">
        <f t="shared" si="1"/>
        <v>38</v>
      </c>
      <c r="E20" s="47">
        <f t="shared" si="1"/>
        <v>36</v>
      </c>
      <c r="F20" s="47" t="str">
        <f t="shared" si="1"/>
        <v/>
      </c>
      <c r="G20" s="47">
        <f t="shared" si="1"/>
        <v>82</v>
      </c>
      <c r="H20" s="47" t="str">
        <f t="shared" si="1"/>
        <v/>
      </c>
      <c r="I20" s="47" t="str">
        <f t="shared" si="1"/>
        <v/>
      </c>
      <c r="J20" s="47">
        <f t="shared" si="1"/>
        <v>188</v>
      </c>
      <c r="K20" s="47">
        <f t="shared" si="1"/>
        <v>50</v>
      </c>
      <c r="L20" s="47">
        <f t="shared" si="1"/>
        <v>6</v>
      </c>
      <c r="M20" s="47">
        <f t="shared" si="1"/>
        <v>3</v>
      </c>
      <c r="N20" s="47">
        <f t="shared" si="1"/>
        <v>401</v>
      </c>
      <c r="O20" s="47">
        <f t="shared" si="1"/>
        <v>805</v>
      </c>
      <c r="Q20" s="13"/>
    </row>
    <row r="21" spans="2:17" ht="6" customHeight="1" thickBot="1" x14ac:dyDescent="0.25"/>
    <row r="22" spans="2:17" ht="19.5" customHeight="1" thickBot="1" x14ac:dyDescent="0.25">
      <c r="B22" s="200" t="s">
        <v>231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</row>
    <row r="23" spans="2:17" ht="18" customHeight="1" thickBot="1" x14ac:dyDescent="0.25">
      <c r="B23" s="201" t="s">
        <v>69</v>
      </c>
      <c r="C23" s="203" t="s">
        <v>165</v>
      </c>
      <c r="D23" s="204"/>
      <c r="E23" s="204"/>
      <c r="F23" s="205"/>
      <c r="G23" s="203" t="s">
        <v>166</v>
      </c>
      <c r="H23" s="204"/>
      <c r="I23" s="204"/>
      <c r="J23" s="205"/>
      <c r="K23" s="203" t="s">
        <v>218</v>
      </c>
      <c r="L23" s="204"/>
      <c r="M23" s="204"/>
      <c r="N23" s="205"/>
      <c r="O23" s="206" t="s">
        <v>0</v>
      </c>
    </row>
    <row r="24" spans="2:17" ht="18" customHeight="1" thickBot="1" x14ac:dyDescent="0.25">
      <c r="B24" s="202"/>
      <c r="C24" s="43" t="s">
        <v>94</v>
      </c>
      <c r="D24" s="44" t="s">
        <v>95</v>
      </c>
      <c r="E24" s="44" t="s">
        <v>96</v>
      </c>
      <c r="F24" s="45" t="s">
        <v>105</v>
      </c>
      <c r="G24" s="43" t="s">
        <v>102</v>
      </c>
      <c r="H24" s="44" t="s">
        <v>104</v>
      </c>
      <c r="I24" s="58" t="s">
        <v>106</v>
      </c>
      <c r="J24" s="50" t="s">
        <v>103</v>
      </c>
      <c r="K24" s="43" t="s">
        <v>214</v>
      </c>
      <c r="L24" s="44" t="s">
        <v>215</v>
      </c>
      <c r="M24" s="44" t="s">
        <v>216</v>
      </c>
      <c r="N24" s="44" t="s">
        <v>217</v>
      </c>
      <c r="O24" s="207"/>
    </row>
    <row r="25" spans="2:17" x14ac:dyDescent="0.2">
      <c r="B25" s="49" t="s">
        <v>70</v>
      </c>
      <c r="C25" s="56"/>
      <c r="D25" s="56">
        <v>5462.5499999999993</v>
      </c>
      <c r="E25" s="56">
        <v>1140.5499999999997</v>
      </c>
      <c r="F25" s="56"/>
      <c r="G25" s="56">
        <v>9744.5600000000013</v>
      </c>
      <c r="H25" s="56"/>
      <c r="I25" s="56"/>
      <c r="J25" s="56"/>
      <c r="K25" s="56">
        <v>294.80999999999995</v>
      </c>
      <c r="L25" s="56">
        <v>707.3</v>
      </c>
      <c r="M25" s="56"/>
      <c r="N25" s="56">
        <v>2938.5200000000004</v>
      </c>
      <c r="O25" s="188">
        <f>IF(SUM(C25:N25),SUM(C25:N25),"")</f>
        <v>20288.29</v>
      </c>
      <c r="Q25" s="14"/>
    </row>
    <row r="26" spans="2:17" x14ac:dyDescent="0.2">
      <c r="B26" s="48" t="s">
        <v>71</v>
      </c>
      <c r="C26" s="57"/>
      <c r="D26" s="57">
        <v>1101.7900000000002</v>
      </c>
      <c r="E26" s="57">
        <v>3023.4099999999989</v>
      </c>
      <c r="F26" s="57"/>
      <c r="G26" s="57">
        <v>401.55000000000007</v>
      </c>
      <c r="H26" s="57"/>
      <c r="I26" s="57"/>
      <c r="J26" s="57"/>
      <c r="K26" s="184">
        <v>11201.49</v>
      </c>
      <c r="L26" s="184"/>
      <c r="M26" s="184"/>
      <c r="N26" s="184">
        <v>17208.28</v>
      </c>
      <c r="O26" s="42">
        <f t="shared" ref="O26:O36" si="2">IF(SUM(C26:N26),SUM(C26:N26),"")</f>
        <v>32936.519999999997</v>
      </c>
    </row>
    <row r="27" spans="2:17" x14ac:dyDescent="0.2">
      <c r="B27" s="49" t="s">
        <v>72</v>
      </c>
      <c r="C27" s="56">
        <v>266.45999999999998</v>
      </c>
      <c r="D27" s="56">
        <v>948.73999999999978</v>
      </c>
      <c r="E27" s="56">
        <v>1482.41</v>
      </c>
      <c r="F27" s="56"/>
      <c r="G27" s="56">
        <v>728.50000000000011</v>
      </c>
      <c r="H27" s="56"/>
      <c r="I27" s="56"/>
      <c r="J27" s="56">
        <v>50.61</v>
      </c>
      <c r="K27" s="183">
        <v>1176.5100000000002</v>
      </c>
      <c r="L27" s="183"/>
      <c r="M27" s="183">
        <v>298.56</v>
      </c>
      <c r="N27" s="183">
        <v>7556.76</v>
      </c>
      <c r="O27" s="35">
        <f t="shared" si="2"/>
        <v>12508.55</v>
      </c>
      <c r="P27" s="3"/>
    </row>
    <row r="28" spans="2:17" x14ac:dyDescent="0.2">
      <c r="B28" s="48" t="s">
        <v>73</v>
      </c>
      <c r="C28" s="57"/>
      <c r="D28" s="57">
        <v>696.30000000000007</v>
      </c>
      <c r="E28" s="57">
        <v>997.19000000000017</v>
      </c>
      <c r="F28" s="57"/>
      <c r="G28" s="57">
        <v>1084.7</v>
      </c>
      <c r="H28" s="57"/>
      <c r="I28" s="57"/>
      <c r="J28" s="57">
        <v>22277.34</v>
      </c>
      <c r="K28" s="184">
        <v>1182.7000000000003</v>
      </c>
      <c r="L28" s="184">
        <v>892.15</v>
      </c>
      <c r="M28" s="184"/>
      <c r="N28" s="184">
        <v>51752.219999999994</v>
      </c>
      <c r="O28" s="42">
        <f t="shared" si="2"/>
        <v>78882.599999999991</v>
      </c>
    </row>
    <row r="29" spans="2:17" x14ac:dyDescent="0.2">
      <c r="B29" s="49" t="s">
        <v>74</v>
      </c>
      <c r="C29" s="56"/>
      <c r="D29" s="56">
        <v>592.62999999999988</v>
      </c>
      <c r="E29" s="56">
        <v>2647.08</v>
      </c>
      <c r="F29" s="56"/>
      <c r="G29" s="56">
        <v>198.26</v>
      </c>
      <c r="H29" s="56"/>
      <c r="I29" s="56"/>
      <c r="J29" s="56"/>
      <c r="K29" s="183">
        <v>2707.32</v>
      </c>
      <c r="L29" s="183">
        <v>424.09000000000003</v>
      </c>
      <c r="M29" s="183">
        <v>515.62</v>
      </c>
      <c r="N29" s="183">
        <v>27616.449999999997</v>
      </c>
      <c r="O29" s="35">
        <f t="shared" si="2"/>
        <v>34701.449999999997</v>
      </c>
      <c r="P29" s="3"/>
    </row>
    <row r="30" spans="2:17" x14ac:dyDescent="0.2">
      <c r="B30" s="48" t="s">
        <v>75</v>
      </c>
      <c r="C30" s="57"/>
      <c r="D30" s="57">
        <v>1430.0199999999998</v>
      </c>
      <c r="E30" s="57">
        <v>532.6400000000001</v>
      </c>
      <c r="F30" s="57"/>
      <c r="G30" s="57">
        <v>55.420000000000009</v>
      </c>
      <c r="H30" s="57"/>
      <c r="I30" s="57"/>
      <c r="J30" s="57"/>
      <c r="K30" s="184">
        <v>2536.8399999999992</v>
      </c>
      <c r="L30" s="184"/>
      <c r="M30" s="184"/>
      <c r="N30" s="184">
        <v>97585.720000000016</v>
      </c>
      <c r="O30" s="42">
        <f t="shared" si="2"/>
        <v>102140.64000000001</v>
      </c>
    </row>
    <row r="31" spans="2:17" x14ac:dyDescent="0.2">
      <c r="B31" s="49" t="s">
        <v>76</v>
      </c>
      <c r="C31" s="56"/>
      <c r="D31" s="56"/>
      <c r="E31" s="56"/>
      <c r="F31" s="56"/>
      <c r="G31" s="56"/>
      <c r="H31" s="56"/>
      <c r="I31" s="56"/>
      <c r="J31" s="56"/>
      <c r="K31" s="183"/>
      <c r="L31" s="183"/>
      <c r="M31" s="183"/>
      <c r="N31" s="183"/>
      <c r="O31" s="35" t="str">
        <f t="shared" si="2"/>
        <v/>
      </c>
    </row>
    <row r="32" spans="2:17" x14ac:dyDescent="0.2">
      <c r="B32" s="48" t="s">
        <v>77</v>
      </c>
      <c r="C32" s="57"/>
      <c r="D32" s="57"/>
      <c r="E32" s="57"/>
      <c r="F32" s="57"/>
      <c r="G32" s="57"/>
      <c r="H32" s="57"/>
      <c r="I32" s="57"/>
      <c r="J32" s="57"/>
      <c r="K32" s="184"/>
      <c r="L32" s="184"/>
      <c r="M32" s="184"/>
      <c r="N32" s="184"/>
      <c r="O32" s="42" t="str">
        <f t="shared" si="2"/>
        <v/>
      </c>
    </row>
    <row r="33" spans="2:21" x14ac:dyDescent="0.2">
      <c r="B33" s="49" t="s">
        <v>78</v>
      </c>
      <c r="C33" s="56"/>
      <c r="D33" s="56"/>
      <c r="E33" s="56"/>
      <c r="F33" s="56"/>
      <c r="G33" s="56"/>
      <c r="H33" s="56"/>
      <c r="I33" s="56"/>
      <c r="J33" s="56"/>
      <c r="K33" s="183"/>
      <c r="L33" s="183"/>
      <c r="M33" s="183"/>
      <c r="N33" s="183"/>
      <c r="O33" s="35" t="str">
        <f t="shared" si="2"/>
        <v/>
      </c>
    </row>
    <row r="34" spans="2:21" x14ac:dyDescent="0.2">
      <c r="B34" s="48" t="s">
        <v>79</v>
      </c>
      <c r="C34" s="57"/>
      <c r="D34" s="57"/>
      <c r="E34" s="57"/>
      <c r="F34" s="57"/>
      <c r="G34" s="57"/>
      <c r="H34" s="57"/>
      <c r="I34" s="57"/>
      <c r="J34" s="57"/>
      <c r="K34" s="184"/>
      <c r="L34" s="184"/>
      <c r="M34" s="184"/>
      <c r="N34" s="184"/>
      <c r="O34" s="42" t="str">
        <f t="shared" si="2"/>
        <v/>
      </c>
    </row>
    <row r="35" spans="2:21" x14ac:dyDescent="0.2">
      <c r="B35" s="49" t="s">
        <v>80</v>
      </c>
      <c r="C35" s="56"/>
      <c r="D35" s="56"/>
      <c r="E35" s="56"/>
      <c r="F35" s="56"/>
      <c r="G35" s="56"/>
      <c r="H35" s="56"/>
      <c r="I35" s="56"/>
      <c r="J35" s="56"/>
      <c r="K35" s="183"/>
      <c r="L35" s="183"/>
      <c r="M35" s="183"/>
      <c r="N35" s="183"/>
      <c r="O35" s="35" t="str">
        <f t="shared" si="2"/>
        <v/>
      </c>
    </row>
    <row r="36" spans="2:21" x14ac:dyDescent="0.2">
      <c r="B36" s="48" t="s">
        <v>81</v>
      </c>
      <c r="C36" s="57"/>
      <c r="D36" s="57"/>
      <c r="E36" s="57"/>
      <c r="F36" s="57"/>
      <c r="G36" s="57"/>
      <c r="H36" s="57"/>
      <c r="I36" s="57"/>
      <c r="J36" s="57"/>
      <c r="K36" s="184"/>
      <c r="L36" s="184"/>
      <c r="M36" s="184"/>
      <c r="N36" s="184"/>
      <c r="O36" s="42" t="str">
        <f t="shared" si="2"/>
        <v/>
      </c>
      <c r="T36" s="70"/>
      <c r="U36" s="70"/>
    </row>
    <row r="37" spans="2:21" ht="18" customHeight="1" x14ac:dyDescent="0.2">
      <c r="B37" s="46" t="s">
        <v>0</v>
      </c>
      <c r="C37" s="47">
        <f t="shared" ref="C37:J37" si="3">IF(SUM(C25:C36),SUM(C25:C36),"")</f>
        <v>266.45999999999998</v>
      </c>
      <c r="D37" s="47">
        <f t="shared" si="3"/>
        <v>10232.029999999999</v>
      </c>
      <c r="E37" s="47">
        <f t="shared" si="3"/>
        <v>9823.2799999999988</v>
      </c>
      <c r="F37" s="47" t="str">
        <f t="shared" si="3"/>
        <v/>
      </c>
      <c r="G37" s="47">
        <f t="shared" si="3"/>
        <v>12212.990000000002</v>
      </c>
      <c r="H37" s="47" t="str">
        <f t="shared" si="3"/>
        <v/>
      </c>
      <c r="I37" s="47" t="str">
        <f t="shared" si="3"/>
        <v/>
      </c>
      <c r="J37" s="47">
        <f t="shared" si="3"/>
        <v>22327.95</v>
      </c>
      <c r="K37" s="47">
        <f t="shared" ref="K37:N37" si="4">IF(SUM(K25:K36),SUM(K25:K36),"")</f>
        <v>19099.670000000002</v>
      </c>
      <c r="L37" s="47">
        <f t="shared" si="4"/>
        <v>2023.54</v>
      </c>
      <c r="M37" s="47">
        <f t="shared" si="4"/>
        <v>814.18000000000006</v>
      </c>
      <c r="N37" s="47">
        <f t="shared" si="4"/>
        <v>204657.95</v>
      </c>
      <c r="O37" s="64">
        <f>IF(SUM(O25:O36),SUM(O25:O36),"")</f>
        <v>281458.05</v>
      </c>
    </row>
    <row r="38" spans="2:21" ht="3.75" customHeight="1" x14ac:dyDescent="0.2"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21" x14ac:dyDescent="0.2"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21" x14ac:dyDescent="0.2"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21" x14ac:dyDescent="0.2"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21" x14ac:dyDescent="0.2"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21" x14ac:dyDescent="0.2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21" x14ac:dyDescent="0.2"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21" x14ac:dyDescent="0.2"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spans="2:21" x14ac:dyDescent="0.2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21" x14ac:dyDescent="0.2"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>
        <v>13</v>
      </c>
      <c r="N47" s="16"/>
      <c r="O47" s="16"/>
    </row>
    <row r="48" spans="2:21" x14ac:dyDescent="0.2"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x14ac:dyDescent="0.2"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x14ac:dyDescent="0.2"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x14ac:dyDescent="0.2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x14ac:dyDescent="0.2"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x14ac:dyDescent="0.2"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x14ac:dyDescent="0.2"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9" customHeight="1" x14ac:dyDescent="0.2"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5" customHeight="1" x14ac:dyDescent="0.2"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5" customHeight="1" x14ac:dyDescent="0.2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5" customHeight="1" x14ac:dyDescent="0.2"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5" customHeight="1" x14ac:dyDescent="0.2"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5" customHeight="1" x14ac:dyDescent="0.2"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2:15" ht="15" customHeight="1" x14ac:dyDescent="0.2"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5" customHeight="1" x14ac:dyDescent="0.2">
      <c r="B62" s="1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5" customHeight="1" x14ac:dyDescent="0.2">
      <c r="B63" s="15" t="s">
        <v>163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2:15" x14ac:dyDescent="0.2">
      <c r="B64" s="17" t="s">
        <v>144</v>
      </c>
    </row>
    <row r="65" spans="2:9" ht="13.5" x14ac:dyDescent="0.2">
      <c r="B65" s="59" t="s">
        <v>213</v>
      </c>
    </row>
    <row r="66" spans="2:9" ht="13.5" x14ac:dyDescent="0.2">
      <c r="B66" s="59"/>
    </row>
    <row r="79" spans="2:9" s="62" customFormat="1" x14ac:dyDescent="0.2">
      <c r="B79" s="65" t="s">
        <v>94</v>
      </c>
      <c r="C79" s="66">
        <f>C20</f>
        <v>1</v>
      </c>
      <c r="D79" s="67">
        <f t="shared" ref="D79:D90" si="5">C79/$C$91</f>
        <v>1.2422360248447205E-3</v>
      </c>
      <c r="E79" s="65" t="s">
        <v>94</v>
      </c>
      <c r="F79" s="68">
        <f>C37</f>
        <v>266.45999999999998</v>
      </c>
      <c r="G79" s="24">
        <f t="shared" ref="G79:G90" si="6">F79/$F$91</f>
        <v>9.4671301815670223E-4</v>
      </c>
      <c r="H79" s="5"/>
      <c r="I79" s="5"/>
    </row>
    <row r="80" spans="2:9" s="62" customFormat="1" x14ac:dyDescent="0.2">
      <c r="B80" s="65" t="s">
        <v>95</v>
      </c>
      <c r="C80" s="66">
        <f>D20</f>
        <v>38</v>
      </c>
      <c r="D80" s="67">
        <f t="shared" si="5"/>
        <v>4.7204968944099382E-2</v>
      </c>
      <c r="E80" s="65" t="s">
        <v>95</v>
      </c>
      <c r="F80" s="68">
        <f>D37</f>
        <v>10232.029999999999</v>
      </c>
      <c r="G80" s="24">
        <f t="shared" si="6"/>
        <v>3.635365909768791E-2</v>
      </c>
      <c r="H80" s="5"/>
      <c r="I80" s="5"/>
    </row>
    <row r="81" spans="2:9" s="62" customFormat="1" x14ac:dyDescent="0.2">
      <c r="B81" s="65" t="s">
        <v>96</v>
      </c>
      <c r="C81" s="66">
        <f>E20</f>
        <v>36</v>
      </c>
      <c r="D81" s="67">
        <f t="shared" si="5"/>
        <v>4.472049689440994E-2</v>
      </c>
      <c r="E81" s="65" t="s">
        <v>96</v>
      </c>
      <c r="F81" s="68">
        <f>E37</f>
        <v>9823.2799999999988</v>
      </c>
      <c r="G81" s="24">
        <f t="shared" si="6"/>
        <v>3.4901400048781693E-2</v>
      </c>
      <c r="H81" s="5"/>
      <c r="I81" s="5"/>
    </row>
    <row r="82" spans="2:9" s="62" customFormat="1" x14ac:dyDescent="0.2">
      <c r="B82" s="65" t="s">
        <v>152</v>
      </c>
      <c r="C82" s="66" t="str">
        <f>F20</f>
        <v/>
      </c>
      <c r="D82" s="67" t="e">
        <f t="shared" si="5"/>
        <v>#VALUE!</v>
      </c>
      <c r="E82" s="65" t="s">
        <v>152</v>
      </c>
      <c r="F82" s="68" t="str">
        <f>F37</f>
        <v/>
      </c>
      <c r="G82" s="24" t="e">
        <f t="shared" si="6"/>
        <v>#VALUE!</v>
      </c>
      <c r="H82" s="5"/>
      <c r="I82" s="5"/>
    </row>
    <row r="83" spans="2:9" s="62" customFormat="1" x14ac:dyDescent="0.2">
      <c r="B83" s="65" t="s">
        <v>104</v>
      </c>
      <c r="C83" s="66">
        <f>G20</f>
        <v>82</v>
      </c>
      <c r="D83" s="67">
        <f t="shared" si="5"/>
        <v>0.10186335403726708</v>
      </c>
      <c r="E83" s="65" t="s">
        <v>104</v>
      </c>
      <c r="F83" s="68">
        <f>G37</f>
        <v>12212.990000000002</v>
      </c>
      <c r="G83" s="24">
        <f t="shared" si="6"/>
        <v>4.3391866034743015E-2</v>
      </c>
      <c r="H83" s="5"/>
      <c r="I83" s="5"/>
    </row>
    <row r="84" spans="2:9" s="62" customFormat="1" x14ac:dyDescent="0.2">
      <c r="B84" s="65" t="s">
        <v>102</v>
      </c>
      <c r="C84" s="66" t="str">
        <f>H20</f>
        <v/>
      </c>
      <c r="D84" s="67" t="e">
        <f t="shared" si="5"/>
        <v>#VALUE!</v>
      </c>
      <c r="E84" s="65" t="s">
        <v>102</v>
      </c>
      <c r="F84" s="68" t="str">
        <f>H37</f>
        <v/>
      </c>
      <c r="G84" s="24" t="e">
        <f t="shared" si="6"/>
        <v>#VALUE!</v>
      </c>
      <c r="H84" s="5"/>
      <c r="I84" s="5"/>
    </row>
    <row r="85" spans="2:9" s="62" customFormat="1" x14ac:dyDescent="0.2">
      <c r="B85" s="65" t="s">
        <v>151</v>
      </c>
      <c r="C85" s="66" t="str">
        <f>I20</f>
        <v/>
      </c>
      <c r="D85" s="67" t="e">
        <f t="shared" si="5"/>
        <v>#VALUE!</v>
      </c>
      <c r="E85" s="65" t="s">
        <v>151</v>
      </c>
      <c r="F85" s="68" t="str">
        <f>I37</f>
        <v/>
      </c>
      <c r="G85" s="24" t="e">
        <f t="shared" si="6"/>
        <v>#VALUE!</v>
      </c>
      <c r="I85" s="5"/>
    </row>
    <row r="86" spans="2:9" s="62" customFormat="1" x14ac:dyDescent="0.2">
      <c r="B86" s="65" t="s">
        <v>103</v>
      </c>
      <c r="C86" s="66">
        <f>J20</f>
        <v>188</v>
      </c>
      <c r="D86" s="67">
        <f t="shared" si="5"/>
        <v>0.23354037267080746</v>
      </c>
      <c r="E86" s="65" t="s">
        <v>103</v>
      </c>
      <c r="F86" s="68">
        <f>J37</f>
        <v>22327.95</v>
      </c>
      <c r="G86" s="24">
        <f t="shared" si="6"/>
        <v>7.9329583929114836E-2</v>
      </c>
      <c r="H86" s="5"/>
      <c r="I86" s="5"/>
    </row>
    <row r="87" spans="2:9" s="62" customFormat="1" x14ac:dyDescent="0.2">
      <c r="B87" s="65" t="s">
        <v>214</v>
      </c>
      <c r="C87" s="66">
        <f>K20</f>
        <v>50</v>
      </c>
      <c r="D87" s="67">
        <f t="shared" si="5"/>
        <v>6.2111801242236024E-2</v>
      </c>
      <c r="E87" s="65" t="s">
        <v>214</v>
      </c>
      <c r="F87" s="68">
        <f>K37</f>
        <v>19099.670000000002</v>
      </c>
      <c r="G87" s="24">
        <f t="shared" si="6"/>
        <v>6.7859739666355265E-2</v>
      </c>
      <c r="H87" s="5"/>
      <c r="I87" s="5"/>
    </row>
    <row r="88" spans="2:9" x14ac:dyDescent="0.2">
      <c r="B88" s="65" t="s">
        <v>215</v>
      </c>
      <c r="C88" s="66">
        <f>L20</f>
        <v>6</v>
      </c>
      <c r="D88" s="67">
        <f t="shared" si="5"/>
        <v>7.4534161490683228E-3</v>
      </c>
      <c r="E88" s="65" t="s">
        <v>215</v>
      </c>
      <c r="F88" s="68">
        <f>L37</f>
        <v>2023.54</v>
      </c>
      <c r="G88" s="24">
        <f t="shared" si="6"/>
        <v>7.1894905830549175E-3</v>
      </c>
      <c r="H88" s="5"/>
      <c r="I88" s="5"/>
    </row>
    <row r="89" spans="2:9" x14ac:dyDescent="0.2">
      <c r="B89" s="65" t="s">
        <v>219</v>
      </c>
      <c r="C89" s="66">
        <f>M20</f>
        <v>3</v>
      </c>
      <c r="D89" s="67">
        <f t="shared" si="5"/>
        <v>3.7267080745341614E-3</v>
      </c>
      <c r="E89" s="65" t="s">
        <v>219</v>
      </c>
      <c r="F89" s="68">
        <f>M37</f>
        <v>814.18000000000006</v>
      </c>
      <c r="G89" s="24">
        <f t="shared" si="6"/>
        <v>2.8927223790543568E-3</v>
      </c>
    </row>
    <row r="90" spans="2:9" x14ac:dyDescent="0.2">
      <c r="B90" s="65" t="s">
        <v>217</v>
      </c>
      <c r="C90" s="66">
        <f>N20</f>
        <v>401</v>
      </c>
      <c r="D90" s="67">
        <f t="shared" si="5"/>
        <v>0.49813664596273294</v>
      </c>
      <c r="E90" s="65" t="s">
        <v>217</v>
      </c>
      <c r="F90" s="68">
        <f>N37</f>
        <v>204657.95</v>
      </c>
      <c r="G90" s="24">
        <f t="shared" si="6"/>
        <v>0.7271348252430514</v>
      </c>
    </row>
    <row r="91" spans="2:9" x14ac:dyDescent="0.2">
      <c r="C91" s="66">
        <f>SUM(C79:C90)</f>
        <v>805</v>
      </c>
      <c r="F91" s="66">
        <f>SUM(F79:F90)</f>
        <v>281458.05</v>
      </c>
    </row>
  </sheetData>
  <mergeCells count="12">
    <mergeCell ref="O23:O24"/>
    <mergeCell ref="B5:O5"/>
    <mergeCell ref="B6:B7"/>
    <mergeCell ref="C6:F6"/>
    <mergeCell ref="B22:O22"/>
    <mergeCell ref="G23:J23"/>
    <mergeCell ref="O6:O7"/>
    <mergeCell ref="G6:J6"/>
    <mergeCell ref="B23:B24"/>
    <mergeCell ref="C23:F23"/>
    <mergeCell ref="K6:N6"/>
    <mergeCell ref="K23:N23"/>
  </mergeCells>
  <phoneticPr fontId="0" type="noConversion"/>
  <printOptions gridLinesSet="0"/>
  <pageMargins left="0.51181102362204722" right="0.15748031496062992" top="0.3" bottom="0" header="0" footer="0"/>
  <pageSetup paperSize="9" scale="8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56324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247650</xdr:rowOff>
              </from>
              <to>
                <xdr:col>2</xdr:col>
                <xdr:colOff>257175</xdr:colOff>
                <xdr:row>0</xdr:row>
                <xdr:rowOff>723900</xdr:rowOff>
              </to>
            </anchor>
          </objectPr>
        </oleObject>
      </mc:Choice>
      <mc:Fallback>
        <oleObject shapeId="56324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/>
  <dimension ref="A1:J119"/>
  <sheetViews>
    <sheetView showGridLines="0" zoomScale="85" zoomScaleNormal="85" zoomScaleSheetLayoutView="85" workbookViewId="0">
      <pane ySplit="4" topLeftCell="A56" activePane="bottomLeft" state="frozen"/>
      <selection activeCell="E68" sqref="E68"/>
      <selection pane="bottomLeft" activeCell="G67" sqref="G67:H67"/>
    </sheetView>
  </sheetViews>
  <sheetFormatPr defaultRowHeight="15.75" x14ac:dyDescent="0.25"/>
  <cols>
    <col min="1" max="1" width="18.625" style="1" customWidth="1"/>
    <col min="2" max="3" width="15.375" style="74" customWidth="1"/>
    <col min="4" max="4" width="11.625" style="16" customWidth="1"/>
    <col min="5" max="5" width="2.25" style="84" customWidth="1"/>
    <col min="6" max="6" width="18.625" style="70" customWidth="1"/>
    <col min="7" max="8" width="15.375" style="74" customWidth="1"/>
    <col min="9" max="9" width="11.625" style="16" customWidth="1"/>
    <col min="10" max="10" width="9.375" customWidth="1"/>
  </cols>
  <sheetData>
    <row r="1" spans="1:10" ht="75.75" customHeight="1" thickBot="1" x14ac:dyDescent="0.3"/>
    <row r="2" spans="1:10" ht="16.5" thickBot="1" x14ac:dyDescent="0.3">
      <c r="A2" s="192" t="s">
        <v>236</v>
      </c>
      <c r="B2" s="192"/>
      <c r="C2" s="192"/>
      <c r="D2" s="192"/>
      <c r="E2" s="192"/>
      <c r="F2" s="192"/>
      <c r="G2" s="192"/>
      <c r="H2" s="192"/>
      <c r="I2" s="192"/>
      <c r="J2" s="180"/>
    </row>
    <row r="3" spans="1:10" ht="17.25" customHeight="1" thickBot="1" x14ac:dyDescent="0.3">
      <c r="A3" s="193" t="s">
        <v>87</v>
      </c>
      <c r="B3" s="209" t="s">
        <v>143</v>
      </c>
      <c r="C3" s="210"/>
      <c r="D3" s="198" t="s">
        <v>0</v>
      </c>
      <c r="E3" s="112"/>
      <c r="F3" s="212" t="s">
        <v>87</v>
      </c>
      <c r="G3" s="209" t="s">
        <v>143</v>
      </c>
      <c r="H3" s="210"/>
      <c r="I3" s="198" t="s">
        <v>0</v>
      </c>
    </row>
    <row r="4" spans="1:10" ht="25.5" customHeight="1" thickBot="1" x14ac:dyDescent="0.3">
      <c r="A4" s="208"/>
      <c r="B4" s="182" t="s">
        <v>168</v>
      </c>
      <c r="C4" s="182" t="s">
        <v>169</v>
      </c>
      <c r="D4" s="211"/>
      <c r="E4" s="112"/>
      <c r="F4" s="213"/>
      <c r="G4" s="182" t="s">
        <v>168</v>
      </c>
      <c r="H4" s="182" t="s">
        <v>169</v>
      </c>
      <c r="I4" s="211"/>
    </row>
    <row r="5" spans="1:10" ht="12.75" customHeight="1" x14ac:dyDescent="0.25">
      <c r="A5" s="107" t="s">
        <v>82</v>
      </c>
      <c r="B5" s="113"/>
      <c r="C5" s="113"/>
      <c r="D5" s="113"/>
      <c r="E5" s="112"/>
      <c r="F5" s="113" t="s">
        <v>116</v>
      </c>
      <c r="G5" s="113"/>
      <c r="H5" s="113"/>
      <c r="I5" s="113"/>
    </row>
    <row r="6" spans="1:10" ht="12.75" customHeight="1" x14ac:dyDescent="0.25">
      <c r="A6" s="30" t="s">
        <v>24</v>
      </c>
      <c r="B6" s="122">
        <v>5798.01</v>
      </c>
      <c r="C6" s="122">
        <v>22327.949999999997</v>
      </c>
      <c r="D6" s="152">
        <f>IF(SUM(B6:C6),SUM(B6:C6),"")</f>
        <v>28125.96</v>
      </c>
      <c r="E6" s="112"/>
      <c r="F6" s="30" t="s">
        <v>6</v>
      </c>
      <c r="G6" s="122">
        <v>11559.889999999998</v>
      </c>
      <c r="H6" s="122">
        <v>199.83000000000004</v>
      </c>
      <c r="I6" s="129">
        <f>IF(SUM(G6:H6),SUM(G6:H6),"")</f>
        <v>11759.719999999998</v>
      </c>
    </row>
    <row r="7" spans="1:10" ht="12.75" customHeight="1" x14ac:dyDescent="0.25">
      <c r="A7" s="40" t="s">
        <v>25</v>
      </c>
      <c r="B7" s="123">
        <v>7934.6</v>
      </c>
      <c r="C7" s="156"/>
      <c r="D7" s="127">
        <f>IF(SUM(B7:C7),SUM(B7:C7),"")</f>
        <v>7934.6</v>
      </c>
      <c r="E7" s="112"/>
      <c r="F7" s="40" t="s">
        <v>49</v>
      </c>
      <c r="G7" s="123">
        <v>26889.930000000004</v>
      </c>
      <c r="H7" s="123">
        <v>205.96999999999997</v>
      </c>
      <c r="I7" s="135">
        <f>IF(SUM(G7:H7),SUM(G7:H7),"")</f>
        <v>27095.900000000005</v>
      </c>
    </row>
    <row r="8" spans="1:10" ht="12.75" customHeight="1" x14ac:dyDescent="0.25">
      <c r="A8" s="87" t="s">
        <v>47</v>
      </c>
      <c r="B8" s="122">
        <v>3907.08</v>
      </c>
      <c r="C8" s="122">
        <v>413.5</v>
      </c>
      <c r="D8" s="125">
        <f>IF(SUM(B8:C8),SUM(B8:C8),"")</f>
        <v>4320.58</v>
      </c>
      <c r="E8" s="112"/>
      <c r="F8" s="30" t="s">
        <v>63</v>
      </c>
      <c r="G8" s="122">
        <v>4949.0199999999995</v>
      </c>
      <c r="H8" s="122"/>
      <c r="I8" s="129">
        <f>IF(SUM(G8:H8),SUM(G8:H8),"")</f>
        <v>4949.0199999999995</v>
      </c>
    </row>
    <row r="9" spans="1:10" ht="12.75" customHeight="1" x14ac:dyDescent="0.25">
      <c r="A9" s="40" t="s">
        <v>54</v>
      </c>
      <c r="B9" s="123">
        <v>5746.2</v>
      </c>
      <c r="C9" s="126"/>
      <c r="D9" s="127">
        <f>IF(SUM(B9:C9),SUM(B9:C9),"")</f>
        <v>5746.2</v>
      </c>
      <c r="E9" s="112"/>
      <c r="F9" s="32" t="s">
        <v>117</v>
      </c>
      <c r="G9" s="132">
        <f>IF(SUM(G6:G8),SUM(G6:G8),"")</f>
        <v>43398.84</v>
      </c>
      <c r="H9" s="132">
        <f>IF(SUM(H6:H8),SUM(H6:H8),"")</f>
        <v>405.8</v>
      </c>
      <c r="I9" s="132">
        <f>IF(SUM(I6:I8),SUM(I6:I8),"")</f>
        <v>43804.639999999999</v>
      </c>
    </row>
    <row r="10" spans="1:10" ht="12.75" customHeight="1" x14ac:dyDescent="0.25">
      <c r="A10" s="32" t="s">
        <v>107</v>
      </c>
      <c r="B10" s="128">
        <f>IF(SUM(B6:B9),SUM(B6:B9),"")</f>
        <v>23385.890000000003</v>
      </c>
      <c r="C10" s="128">
        <f>IF(SUM(C6:C9),SUM(C6:C9),"")</f>
        <v>22741.449999999997</v>
      </c>
      <c r="D10" s="154">
        <f>IF(SUM(D6:D9),SUM(D6:D9),"")</f>
        <v>46127.34</v>
      </c>
      <c r="E10" s="112"/>
      <c r="F10" s="117"/>
      <c r="G10" s="89"/>
      <c r="H10" s="89"/>
      <c r="I10" s="138"/>
    </row>
    <row r="11" spans="1:10" ht="12.75" customHeight="1" x14ac:dyDescent="0.25">
      <c r="A11" s="145"/>
      <c r="B11" s="146"/>
      <c r="C11" s="146"/>
      <c r="D11" s="129"/>
      <c r="E11" s="112"/>
      <c r="F11" s="118" t="s">
        <v>118</v>
      </c>
      <c r="G11" s="130"/>
      <c r="H11" s="130"/>
      <c r="I11" s="131"/>
    </row>
    <row r="12" spans="1:10" ht="12.75" customHeight="1" x14ac:dyDescent="0.25">
      <c r="A12" s="108" t="s">
        <v>83</v>
      </c>
      <c r="B12" s="130"/>
      <c r="C12" s="130"/>
      <c r="D12" s="131"/>
      <c r="E12" s="112"/>
      <c r="F12" s="89" t="s">
        <v>9</v>
      </c>
      <c r="G12" s="122">
        <v>17623.79</v>
      </c>
      <c r="H12" s="122">
        <v>1292.1500000000001</v>
      </c>
      <c r="I12" s="139">
        <f>IF(SUM(G12:H12),SUM(G12:H12),"")</f>
        <v>18915.940000000002</v>
      </c>
    </row>
    <row r="13" spans="1:10" ht="12.75" customHeight="1" x14ac:dyDescent="0.25">
      <c r="A13" s="30" t="s">
        <v>2</v>
      </c>
      <c r="B13" s="122">
        <v>23705.230000000007</v>
      </c>
      <c r="C13" s="122">
        <v>2422.2400000000002</v>
      </c>
      <c r="D13" s="152">
        <f>IF(SUM(B13:C13),SUM(B13:C13),"")</f>
        <v>26127.470000000008</v>
      </c>
      <c r="E13" s="112"/>
      <c r="F13" s="114" t="s">
        <v>18</v>
      </c>
      <c r="G13" s="123">
        <v>6508.4000000000005</v>
      </c>
      <c r="H13" s="123">
        <v>1020.2100000000002</v>
      </c>
      <c r="I13" s="135">
        <f>IF(SUM(G13:H13),SUM(G13:H13),"")</f>
        <v>7528.6100000000006</v>
      </c>
    </row>
    <row r="14" spans="1:10" ht="12.75" customHeight="1" x14ac:dyDescent="0.25">
      <c r="A14" s="40" t="s">
        <v>10</v>
      </c>
      <c r="B14" s="123">
        <v>10374.469999999999</v>
      </c>
      <c r="C14" s="123">
        <v>9339.4000000000015</v>
      </c>
      <c r="D14" s="153">
        <f>IF(SUM(B14:C14),SUM(B14:C14),"")</f>
        <v>19713.870000000003</v>
      </c>
      <c r="E14" s="112"/>
      <c r="F14" s="89" t="s">
        <v>20</v>
      </c>
      <c r="G14" s="122">
        <v>2511.2599999999998</v>
      </c>
      <c r="H14" s="122">
        <v>1512.3</v>
      </c>
      <c r="I14" s="139">
        <f>IF(SUM(G14:H14),SUM(G14:H14),"")</f>
        <v>4023.5599999999995</v>
      </c>
    </row>
    <row r="15" spans="1:10" ht="12.75" customHeight="1" x14ac:dyDescent="0.25">
      <c r="A15" s="30" t="s">
        <v>58</v>
      </c>
      <c r="B15" s="122">
        <v>4800.8899999999994</v>
      </c>
      <c r="C15" s="122">
        <v>147.30000000000001</v>
      </c>
      <c r="D15" s="152">
        <f>IF(SUM(B15:C15),SUM(B15:C15),"")</f>
        <v>4948.1899999999996</v>
      </c>
      <c r="E15" s="112"/>
      <c r="F15" s="114" t="s">
        <v>61</v>
      </c>
      <c r="G15" s="123">
        <v>2234.64</v>
      </c>
      <c r="H15" s="123"/>
      <c r="I15" s="135">
        <f>IF(SUM(G15:H15),SUM(G15:H15),"")</f>
        <v>2234.64</v>
      </c>
    </row>
    <row r="16" spans="1:10" ht="12.75" customHeight="1" x14ac:dyDescent="0.25">
      <c r="A16" s="40" t="s">
        <v>66</v>
      </c>
      <c r="B16" s="123">
        <v>23316.71</v>
      </c>
      <c r="C16" s="123"/>
      <c r="D16" s="153">
        <f>IF(SUM(B16:C16),SUM(B16:C16),"")</f>
        <v>23316.71</v>
      </c>
      <c r="E16" s="112"/>
      <c r="F16" s="116" t="s">
        <v>119</v>
      </c>
      <c r="G16" s="132">
        <f>IF(SUM(G12:G15),SUM(G12:G15),"")</f>
        <v>28878.09</v>
      </c>
      <c r="H16" s="132">
        <f>IF(SUM(H12:H15),SUM(H12:H15),"")</f>
        <v>3824.66</v>
      </c>
      <c r="I16" s="132">
        <f>IF(SUM(I12:I15),SUM(I12:I15),"")</f>
        <v>32702.75</v>
      </c>
    </row>
    <row r="17" spans="1:9" ht="12.75" customHeight="1" x14ac:dyDescent="0.25">
      <c r="A17" s="32" t="s">
        <v>88</v>
      </c>
      <c r="B17" s="128">
        <f>IF(SUM(B13:B16),SUM(B13:B16),"")</f>
        <v>62197.3</v>
      </c>
      <c r="C17" s="132">
        <f>IF(SUM(C13:C16),SUM(C13:C16),"")</f>
        <v>11908.94</v>
      </c>
      <c r="D17" s="155">
        <f>IF(SUM(D13:D16),SUM(D13:D16),"")</f>
        <v>74106.24000000002</v>
      </c>
      <c r="E17" s="112"/>
      <c r="F17" s="117"/>
      <c r="G17" s="89"/>
      <c r="H17" s="89"/>
      <c r="I17" s="138"/>
    </row>
    <row r="18" spans="1:9" ht="12.75" customHeight="1" x14ac:dyDescent="0.25">
      <c r="A18" s="145"/>
      <c r="B18" s="146"/>
      <c r="C18" s="146"/>
      <c r="D18" s="129"/>
      <c r="E18" s="112"/>
      <c r="F18" s="118" t="s">
        <v>120</v>
      </c>
      <c r="G18" s="130"/>
      <c r="H18" s="130"/>
      <c r="I18" s="131"/>
    </row>
    <row r="19" spans="1:9" ht="12.75" customHeight="1" x14ac:dyDescent="0.25">
      <c r="A19" s="108" t="s">
        <v>84</v>
      </c>
      <c r="B19" s="130"/>
      <c r="C19" s="130"/>
      <c r="D19" s="131"/>
      <c r="E19" s="112"/>
      <c r="F19" s="36" t="s">
        <v>30</v>
      </c>
      <c r="G19" s="122">
        <v>765.4799999999999</v>
      </c>
      <c r="H19" s="122">
        <v>257.60000000000002</v>
      </c>
      <c r="I19" s="129">
        <f>IF(SUM(G19:H19),SUM(G19:H19),"")</f>
        <v>1023.0799999999999</v>
      </c>
    </row>
    <row r="20" spans="1:9" ht="12.75" customHeight="1" x14ac:dyDescent="0.25">
      <c r="A20" s="30" t="s">
        <v>3</v>
      </c>
      <c r="B20" s="122">
        <v>8436.1899999999987</v>
      </c>
      <c r="C20" s="122">
        <v>183.35</v>
      </c>
      <c r="D20" s="152">
        <f>IF(SUM(B20:C20),SUM(B20:C20),"")</f>
        <v>8619.5399999999991</v>
      </c>
      <c r="E20" s="112"/>
      <c r="F20" s="114" t="s">
        <v>100</v>
      </c>
      <c r="G20" s="123">
        <v>4051.23</v>
      </c>
      <c r="H20" s="123">
        <v>343.92000000000007</v>
      </c>
      <c r="I20" s="135">
        <f>IF(SUM(G20:H20),SUM(G20:H20),"")</f>
        <v>4395.1499999999996</v>
      </c>
    </row>
    <row r="21" spans="1:9" ht="12.75" customHeight="1" x14ac:dyDescent="0.25">
      <c r="A21" s="40" t="s">
        <v>5</v>
      </c>
      <c r="B21" s="123"/>
      <c r="C21" s="123">
        <v>46826.23</v>
      </c>
      <c r="D21" s="153">
        <f>IF(SUM(B21:C21),SUM(B21:C21),"")</f>
        <v>46826.23</v>
      </c>
      <c r="E21" s="112"/>
      <c r="F21" s="36" t="s">
        <v>64</v>
      </c>
      <c r="G21" s="122">
        <v>21251.64</v>
      </c>
      <c r="H21" s="122">
        <v>326.20000000000005</v>
      </c>
      <c r="I21" s="129">
        <f>IF(SUM(G21:H21),SUM(G21:H21),"")</f>
        <v>21577.84</v>
      </c>
    </row>
    <row r="22" spans="1:9" ht="12.75" customHeight="1" x14ac:dyDescent="0.25">
      <c r="A22" s="30" t="s">
        <v>16</v>
      </c>
      <c r="B22" s="122"/>
      <c r="C22" s="122"/>
      <c r="D22" s="152" t="str">
        <f>IF(SUM(B22:C22),SUM(B22:C22),"")</f>
        <v/>
      </c>
      <c r="E22" s="112"/>
      <c r="F22" s="116" t="s">
        <v>172</v>
      </c>
      <c r="G22" s="132">
        <f>IF(SUM(G19:G21),SUM(G19:G21),"")</f>
        <v>26068.35</v>
      </c>
      <c r="H22" s="132">
        <f>IF(SUM(H19:H21),SUM(H19:H21),"")</f>
        <v>927.72000000000014</v>
      </c>
      <c r="I22" s="132">
        <f>IF(SUM(I19:I21),SUM(I19:I21),"")</f>
        <v>26996.07</v>
      </c>
    </row>
    <row r="23" spans="1:9" ht="12.75" customHeight="1" x14ac:dyDescent="0.25">
      <c r="A23" s="40" t="s">
        <v>33</v>
      </c>
      <c r="B23" s="123">
        <v>3490.9399999999996</v>
      </c>
      <c r="C23" s="123">
        <v>3262.2099999999996</v>
      </c>
      <c r="D23" s="153">
        <f>IF(SUM(B23:C23),SUM(B23:C23),"")</f>
        <v>6753.15</v>
      </c>
      <c r="E23" s="112"/>
      <c r="F23" s="117"/>
      <c r="G23" s="89"/>
      <c r="H23" s="89"/>
      <c r="I23" s="138"/>
    </row>
    <row r="24" spans="1:9" ht="12.75" customHeight="1" x14ac:dyDescent="0.25">
      <c r="A24" s="30" t="s">
        <v>36</v>
      </c>
      <c r="B24" s="122">
        <v>4305.99</v>
      </c>
      <c r="C24" s="122">
        <v>401.55000000000007</v>
      </c>
      <c r="D24" s="152">
        <f>IF(SUM(B24:C24),SUM(B24:C24),"")</f>
        <v>4707.54</v>
      </c>
      <c r="E24" s="112"/>
      <c r="F24" s="118" t="s">
        <v>173</v>
      </c>
      <c r="G24" s="130"/>
      <c r="H24" s="130"/>
      <c r="I24" s="131"/>
    </row>
    <row r="25" spans="1:9" ht="12.75" customHeight="1" x14ac:dyDescent="0.25">
      <c r="A25" s="32" t="s">
        <v>89</v>
      </c>
      <c r="B25" s="132">
        <f>IF(SUM(B20:B24),SUM(B20:B24),"")</f>
        <v>16233.119999999997</v>
      </c>
      <c r="C25" s="132">
        <f>IF(SUM(C20:C24),SUM(C20:C24),"")</f>
        <v>50673.340000000004</v>
      </c>
      <c r="D25" s="155">
        <f>IF(SUM(D20:D24),SUM(D20:D24),"")</f>
        <v>66906.460000000006</v>
      </c>
      <c r="E25" s="112"/>
      <c r="F25" s="87" t="s">
        <v>31</v>
      </c>
      <c r="G25" s="122">
        <v>1088.46</v>
      </c>
      <c r="H25" s="122">
        <v>486.03</v>
      </c>
      <c r="I25" s="139">
        <f>IF(SUM(G25:H25),SUM(G25:H25),"")</f>
        <v>1574.49</v>
      </c>
    </row>
    <row r="26" spans="1:9" ht="12.75" customHeight="1" x14ac:dyDescent="0.25">
      <c r="A26" s="8"/>
      <c r="B26" s="89"/>
      <c r="C26" s="89"/>
      <c r="E26" s="112"/>
      <c r="F26" s="40" t="s">
        <v>37</v>
      </c>
      <c r="G26" s="123">
        <v>473</v>
      </c>
      <c r="H26" s="123"/>
      <c r="I26" s="135">
        <f>IF(SUM(G26:H26),SUM(G26:H26),"")</f>
        <v>473</v>
      </c>
    </row>
    <row r="27" spans="1:9" ht="12.75" customHeight="1" x14ac:dyDescent="0.25">
      <c r="A27" s="111" t="s">
        <v>85</v>
      </c>
      <c r="B27" s="133"/>
      <c r="C27" s="133"/>
      <c r="D27" s="133"/>
      <c r="E27" s="112"/>
      <c r="F27" s="87" t="s">
        <v>42</v>
      </c>
      <c r="G27" s="122">
        <v>811.60000000000014</v>
      </c>
      <c r="H27" s="122">
        <v>3231.4800000000009</v>
      </c>
      <c r="I27" s="139">
        <f>IF(SUM(G27:H27),SUM(G27:H27),"")</f>
        <v>4043.0800000000008</v>
      </c>
    </row>
    <row r="28" spans="1:9" ht="12.75" customHeight="1" x14ac:dyDescent="0.25">
      <c r="A28" s="30" t="s">
        <v>11</v>
      </c>
      <c r="B28" s="122">
        <v>61560.409999999996</v>
      </c>
      <c r="C28" s="122">
        <v>776.54000000000008</v>
      </c>
      <c r="D28" s="152">
        <f>IF(SUM(B28:C28),SUM(B28:C28),"")</f>
        <v>62336.95</v>
      </c>
      <c r="E28" s="112"/>
      <c r="F28" s="40" t="s">
        <v>46</v>
      </c>
      <c r="G28" s="123">
        <v>11248.46</v>
      </c>
      <c r="H28" s="123"/>
      <c r="I28" s="135">
        <f>IF(SUM(G28:H28),SUM(G28:H28),"")</f>
        <v>11248.46</v>
      </c>
    </row>
    <row r="29" spans="1:9" ht="12.75" customHeight="1" x14ac:dyDescent="0.25">
      <c r="A29" s="40" t="s">
        <v>99</v>
      </c>
      <c r="B29" s="134">
        <v>180.29999999999998</v>
      </c>
      <c r="C29" s="123"/>
      <c r="D29" s="153">
        <f>IF(SUM(B29:C29),SUM(B29:C29),"")</f>
        <v>180.29999999999998</v>
      </c>
      <c r="E29" s="112"/>
      <c r="F29" s="32" t="s">
        <v>174</v>
      </c>
      <c r="G29" s="132">
        <f>IF(SUM(G25:G28),SUM(G25:G28),"")</f>
        <v>13621.52</v>
      </c>
      <c r="H29" s="132">
        <f>IF(SUM(H25:H28),SUM(H25:H28),"")</f>
        <v>3717.5100000000011</v>
      </c>
      <c r="I29" s="132">
        <f>IF(SUM(I25:I28),SUM(I25:I28),"")</f>
        <v>17339.03</v>
      </c>
    </row>
    <row r="30" spans="1:9" ht="12.75" customHeight="1" x14ac:dyDescent="0.25">
      <c r="A30" s="30" t="s">
        <v>19</v>
      </c>
      <c r="B30" s="122">
        <v>17395.379999999997</v>
      </c>
      <c r="C30" s="122">
        <v>12266.87</v>
      </c>
      <c r="D30" s="152">
        <f>IF(SUM(B30:C30),SUM(B30:C30),"")</f>
        <v>29662.25</v>
      </c>
      <c r="E30" s="112"/>
      <c r="F30" s="117"/>
      <c r="G30" s="89"/>
      <c r="H30" s="89"/>
      <c r="I30" s="138"/>
    </row>
    <row r="31" spans="1:9" ht="12.75" customHeight="1" x14ac:dyDescent="0.25">
      <c r="A31" s="40" t="s">
        <v>38</v>
      </c>
      <c r="B31" s="123">
        <v>1886.16</v>
      </c>
      <c r="C31" s="123">
        <v>364.33999999999986</v>
      </c>
      <c r="D31" s="153">
        <f>IF(SUM(B31:C31),SUM(B31:C31),"")</f>
        <v>2250.5</v>
      </c>
      <c r="E31" s="112"/>
      <c r="F31" s="118" t="s">
        <v>175</v>
      </c>
      <c r="G31" s="130"/>
      <c r="H31" s="130"/>
      <c r="I31" s="131"/>
    </row>
    <row r="32" spans="1:9" ht="12.75" customHeight="1" x14ac:dyDescent="0.25">
      <c r="A32" s="30" t="s">
        <v>39</v>
      </c>
      <c r="B32" s="122">
        <v>60643.759999999995</v>
      </c>
      <c r="C32" s="122"/>
      <c r="D32" s="152">
        <f>IF(SUM(B32:C32),SUM(B32:C32),"")</f>
        <v>60643.759999999995</v>
      </c>
      <c r="E32" s="112"/>
      <c r="F32" s="30" t="s">
        <v>27</v>
      </c>
      <c r="G32" s="122">
        <v>773.59999999999991</v>
      </c>
      <c r="H32" s="122"/>
      <c r="I32" s="139">
        <f>IF(SUM(G32:H32),SUM(G32:H32),"")</f>
        <v>773.59999999999991</v>
      </c>
    </row>
    <row r="33" spans="1:9" ht="12.75" customHeight="1" x14ac:dyDescent="0.25">
      <c r="A33" s="32" t="s">
        <v>90</v>
      </c>
      <c r="B33" s="132">
        <f>IF(SUM(B28:B32),SUM(B28:B32),"")</f>
        <v>141666.01</v>
      </c>
      <c r="C33" s="132">
        <f>IF(SUM(C28:C32),SUM(C28:C32),"")</f>
        <v>13407.750000000002</v>
      </c>
      <c r="D33" s="155">
        <f>IF(SUM(D28:D32),SUM(D28:D32),"")</f>
        <v>155073.76</v>
      </c>
      <c r="E33" s="112"/>
      <c r="F33" s="40" t="s">
        <v>32</v>
      </c>
      <c r="G33" s="123">
        <v>26225.670000000006</v>
      </c>
      <c r="H33" s="123">
        <v>131.24</v>
      </c>
      <c r="I33" s="135">
        <f>IF(SUM(G33:H33),SUM(G33:H33),"")</f>
        <v>26356.910000000007</v>
      </c>
    </row>
    <row r="34" spans="1:9" ht="12.75" customHeight="1" x14ac:dyDescent="0.25">
      <c r="A34" s="8"/>
      <c r="B34" s="89"/>
      <c r="C34" s="89"/>
      <c r="E34" s="112"/>
      <c r="F34" s="30" t="s">
        <v>44</v>
      </c>
      <c r="G34" s="122">
        <v>6089.67</v>
      </c>
      <c r="H34" s="122">
        <v>584.85000000000014</v>
      </c>
      <c r="I34" s="139">
        <f>IF(SUM(G34:H34),SUM(G34:H34),"")</f>
        <v>6674.52</v>
      </c>
    </row>
    <row r="35" spans="1:9" ht="12.75" customHeight="1" x14ac:dyDescent="0.25">
      <c r="A35" s="108" t="s">
        <v>86</v>
      </c>
      <c r="B35" s="130"/>
      <c r="C35" s="130"/>
      <c r="D35" s="131"/>
      <c r="E35" s="112"/>
      <c r="F35" s="40" t="s">
        <v>68</v>
      </c>
      <c r="G35" s="123">
        <v>8680.18</v>
      </c>
      <c r="H35" s="123">
        <v>508.43000000000006</v>
      </c>
      <c r="I35" s="135">
        <f>IF(SUM(G35:H35),SUM(G35:H35),"")</f>
        <v>9188.61</v>
      </c>
    </row>
    <row r="36" spans="1:9" ht="12.75" customHeight="1" x14ac:dyDescent="0.25">
      <c r="A36" s="30" t="s">
        <v>208</v>
      </c>
      <c r="B36" s="122"/>
      <c r="C36" s="122">
        <v>461.58</v>
      </c>
      <c r="D36" s="129">
        <f>IF(SUM(B36:C36),SUM(B36:C36),"")</f>
        <v>461.58</v>
      </c>
      <c r="E36" s="112"/>
      <c r="F36" s="32" t="s">
        <v>177</v>
      </c>
      <c r="G36" s="132">
        <f>IF(SUM(G32:G35),SUM(G32:G35),"")</f>
        <v>41769.120000000003</v>
      </c>
      <c r="H36" s="132">
        <f>IF(SUM(H32:H35),SUM(H32:H35),"")</f>
        <v>1224.5200000000002</v>
      </c>
      <c r="I36" s="132">
        <f>IF(SUM(I32:I35),SUM(I32:I35),"")</f>
        <v>42993.640000000007</v>
      </c>
    </row>
    <row r="37" spans="1:9" ht="12.75" customHeight="1" x14ac:dyDescent="0.25">
      <c r="A37" s="40" t="s">
        <v>26</v>
      </c>
      <c r="B37" s="123">
        <v>4653.2</v>
      </c>
      <c r="C37" s="123">
        <v>221.46</v>
      </c>
      <c r="D37" s="135">
        <f>IF(SUM(B37:C37),SUM(B37:C37),"")</f>
        <v>4874.66</v>
      </c>
      <c r="E37" s="112"/>
    </row>
    <row r="38" spans="1:9" ht="12.75" customHeight="1" x14ac:dyDescent="0.25">
      <c r="A38" s="36" t="s">
        <v>34</v>
      </c>
      <c r="B38" s="122">
        <v>707.77</v>
      </c>
      <c r="C38" s="122"/>
      <c r="D38" s="129">
        <f>IF(SUM(B38:C38),SUM(B38:C38),"")</f>
        <v>707.77</v>
      </c>
      <c r="E38" s="112"/>
      <c r="F38" s="118" t="s">
        <v>176</v>
      </c>
      <c r="G38" s="130"/>
      <c r="H38" s="130"/>
      <c r="I38" s="131"/>
    </row>
    <row r="39" spans="1:9" ht="12.75" customHeight="1" x14ac:dyDescent="0.25">
      <c r="A39" s="32" t="s">
        <v>91</v>
      </c>
      <c r="B39" s="132">
        <f>IF(SUM(B36:B38),SUM(B36:B38),"")</f>
        <v>5360.9699999999993</v>
      </c>
      <c r="C39" s="132">
        <f>IF(SUM(C36:C38),SUM(C36:C38),"")</f>
        <v>683.04</v>
      </c>
      <c r="D39" s="132">
        <f>IF(SUM(D36:D38),SUM(D36:D38),"")</f>
        <v>6044.01</v>
      </c>
      <c r="E39" s="112"/>
      <c r="F39" s="30" t="s">
        <v>21</v>
      </c>
      <c r="G39" s="122">
        <v>5549.06</v>
      </c>
      <c r="H39" s="122"/>
      <c r="I39" s="139">
        <f>IF(SUM(G39:H39),SUM(G39:H39),"")</f>
        <v>5549.06</v>
      </c>
    </row>
    <row r="40" spans="1:9" ht="12.75" customHeight="1" x14ac:dyDescent="0.25">
      <c r="A40" s="8"/>
      <c r="B40" s="89"/>
      <c r="C40" s="89"/>
      <c r="D40" s="136"/>
      <c r="E40" s="112"/>
      <c r="F40" s="40" t="s">
        <v>28</v>
      </c>
      <c r="G40" s="123">
        <v>3555.83</v>
      </c>
      <c r="H40" s="123">
        <v>2327.5700000000002</v>
      </c>
      <c r="I40" s="135">
        <f>IF(SUM(G40:H40),SUM(G40:H40),"")</f>
        <v>5883.4</v>
      </c>
    </row>
    <row r="41" spans="1:9" ht="12.75" customHeight="1" x14ac:dyDescent="0.25">
      <c r="A41" s="108" t="s">
        <v>108</v>
      </c>
      <c r="B41" s="130"/>
      <c r="C41" s="130"/>
      <c r="D41" s="131"/>
      <c r="E41" s="112"/>
      <c r="F41" s="30" t="s">
        <v>40</v>
      </c>
      <c r="G41" s="122">
        <v>11858.88</v>
      </c>
      <c r="H41" s="122">
        <v>513.82000000000005</v>
      </c>
      <c r="I41" s="139">
        <f>IF(SUM(G41:H41),SUM(G41:H41),"")</f>
        <v>12372.699999999999</v>
      </c>
    </row>
    <row r="42" spans="1:9" ht="12.75" customHeight="1" x14ac:dyDescent="0.25">
      <c r="A42" s="87" t="s">
        <v>15</v>
      </c>
      <c r="B42" s="122">
        <v>5523.77</v>
      </c>
      <c r="C42" s="122">
        <v>704.60000000000014</v>
      </c>
      <c r="D42" s="125">
        <f t="shared" ref="D42:D49" si="0">IF(SUM(B42:C42),SUM(B42:C42),"")</f>
        <v>6228.3700000000008</v>
      </c>
      <c r="E42" s="112"/>
      <c r="F42" s="40" t="s">
        <v>45</v>
      </c>
      <c r="G42" s="123">
        <v>13961.300000000003</v>
      </c>
      <c r="H42" s="123">
        <v>485.72</v>
      </c>
      <c r="I42" s="135">
        <f>IF(SUM(G42:H42),SUM(G42:H42),"")</f>
        <v>14447.020000000002</v>
      </c>
    </row>
    <row r="43" spans="1:9" ht="12.75" customHeight="1" x14ac:dyDescent="0.25">
      <c r="A43" s="40" t="s">
        <v>22</v>
      </c>
      <c r="B43" s="123">
        <v>3967.1099999999997</v>
      </c>
      <c r="C43" s="123"/>
      <c r="D43" s="124">
        <f t="shared" si="0"/>
        <v>3967.1099999999997</v>
      </c>
      <c r="E43" s="112"/>
      <c r="F43" s="87" t="s">
        <v>51</v>
      </c>
      <c r="G43" s="122">
        <v>1453.2400000000002</v>
      </c>
      <c r="H43" s="122"/>
      <c r="I43" s="139">
        <f>IF(SUM(G43:H43),SUM(G43:H43),"")</f>
        <v>1453.2400000000002</v>
      </c>
    </row>
    <row r="44" spans="1:9" ht="12.75" customHeight="1" x14ac:dyDescent="0.25">
      <c r="A44" s="89" t="s">
        <v>101</v>
      </c>
      <c r="B44" s="122"/>
      <c r="C44" s="122"/>
      <c r="D44" s="125" t="str">
        <f t="shared" si="0"/>
        <v/>
      </c>
      <c r="E44" s="112"/>
      <c r="F44" s="32" t="s">
        <v>178</v>
      </c>
      <c r="G44" s="132">
        <f>IF(SUM(G39:G43),SUM(G39:G43),"")</f>
        <v>36378.31</v>
      </c>
      <c r="H44" s="132">
        <f>IF(SUM(H39:H43),SUM(H39:H43),"")</f>
        <v>3327.1100000000006</v>
      </c>
      <c r="I44" s="132">
        <f>IF(SUM(I39:I43),SUM(I39:I43),"")</f>
        <v>39705.42</v>
      </c>
    </row>
    <row r="45" spans="1:9" ht="12.75" customHeight="1" x14ac:dyDescent="0.25">
      <c r="A45" s="40" t="s">
        <v>41</v>
      </c>
      <c r="B45" s="123">
        <v>2683.66</v>
      </c>
      <c r="C45" s="123">
        <v>8075.17</v>
      </c>
      <c r="D45" s="124">
        <f t="shared" si="0"/>
        <v>10758.83</v>
      </c>
      <c r="E45" s="112"/>
    </row>
    <row r="46" spans="1:9" ht="12.75" customHeight="1" x14ac:dyDescent="0.25">
      <c r="A46" s="87" t="s">
        <v>50</v>
      </c>
      <c r="B46" s="137">
        <v>8639.4200000000019</v>
      </c>
      <c r="C46" s="137">
        <v>1275.5299999999997</v>
      </c>
      <c r="D46" s="125">
        <f t="shared" si="0"/>
        <v>9914.9500000000007</v>
      </c>
      <c r="E46" s="112"/>
      <c r="F46" s="118" t="s">
        <v>179</v>
      </c>
      <c r="G46" s="130"/>
      <c r="H46" s="130"/>
      <c r="I46" s="131"/>
    </row>
    <row r="47" spans="1:9" ht="12.75" customHeight="1" x14ac:dyDescent="0.25">
      <c r="A47" s="40" t="s">
        <v>52</v>
      </c>
      <c r="B47" s="123">
        <v>1659.09</v>
      </c>
      <c r="C47" s="123"/>
      <c r="D47" s="124">
        <f t="shared" si="0"/>
        <v>1659.09</v>
      </c>
      <c r="E47" s="112"/>
      <c r="F47" s="30" t="s">
        <v>4</v>
      </c>
      <c r="G47" s="122">
        <v>4853.99</v>
      </c>
      <c r="H47" s="122">
        <v>151.71000000000004</v>
      </c>
      <c r="I47" s="139">
        <f>IF(SUM(G47:H47),SUM(G47:H47),"")</f>
        <v>5005.7</v>
      </c>
    </row>
    <row r="48" spans="1:9" ht="12.75" customHeight="1" x14ac:dyDescent="0.25">
      <c r="A48" s="87" t="s">
        <v>53</v>
      </c>
      <c r="B48" s="122">
        <v>3224.31</v>
      </c>
      <c r="C48" s="122">
        <v>502.15</v>
      </c>
      <c r="D48" s="125">
        <f t="shared" si="0"/>
        <v>3726.46</v>
      </c>
      <c r="E48" s="112"/>
      <c r="F48" s="40" t="s">
        <v>14</v>
      </c>
      <c r="G48" s="123">
        <v>8596.2500000000018</v>
      </c>
      <c r="H48" s="123">
        <v>6865.7500000000009</v>
      </c>
      <c r="I48" s="135">
        <f>IF(SUM(G48:H48),SUM(G48:H48),"")</f>
        <v>15462.000000000004</v>
      </c>
    </row>
    <row r="49" spans="1:10" ht="12.75" customHeight="1" x14ac:dyDescent="0.25">
      <c r="A49" s="40" t="s">
        <v>55</v>
      </c>
      <c r="B49" s="123">
        <v>1881.84</v>
      </c>
      <c r="C49" s="123"/>
      <c r="D49" s="124">
        <f t="shared" si="0"/>
        <v>1881.84</v>
      </c>
      <c r="E49" s="112"/>
      <c r="F49" s="30" t="s">
        <v>59</v>
      </c>
      <c r="G49" s="122">
        <v>8434.5399999999972</v>
      </c>
      <c r="H49" s="122">
        <v>3522.1999999999994</v>
      </c>
      <c r="I49" s="139">
        <f>IF(SUM(G49:H49),SUM(G49:H49),"")</f>
        <v>11956.739999999996</v>
      </c>
    </row>
    <row r="50" spans="1:10" ht="12.75" customHeight="1" x14ac:dyDescent="0.25">
      <c r="A50" s="32" t="s">
        <v>109</v>
      </c>
      <c r="B50" s="132">
        <f>IF(SUM(B42:B49),SUM(B42:B49),"")</f>
        <v>27579.200000000004</v>
      </c>
      <c r="C50" s="132">
        <f>IF(SUM(C42:C49),SUM(C42:C49),"")</f>
        <v>10557.449999999999</v>
      </c>
      <c r="D50" s="132">
        <f>IF(SUM(D42:D49),SUM(D42:D49),"")</f>
        <v>38136.649999999994</v>
      </c>
      <c r="E50" s="112"/>
      <c r="F50" s="32" t="s">
        <v>180</v>
      </c>
      <c r="G50" s="132">
        <f>IF(SUM(G47:G49),SUM(G47:G49),"")</f>
        <v>21884.78</v>
      </c>
      <c r="H50" s="132">
        <f>IF(SUM(H47:H49),SUM(H47:H49),"")</f>
        <v>10539.66</v>
      </c>
      <c r="I50" s="132">
        <f>IF(SUM(I47:I49),SUM(I47:I49),"")</f>
        <v>32424.440000000002</v>
      </c>
    </row>
    <row r="51" spans="1:10" ht="12.75" customHeight="1" x14ac:dyDescent="0.25">
      <c r="A51" s="8"/>
      <c r="B51" s="89"/>
      <c r="C51" s="89"/>
      <c r="E51" s="119"/>
    </row>
    <row r="52" spans="1:10" ht="12.75" customHeight="1" x14ac:dyDescent="0.25">
      <c r="A52" s="108" t="s">
        <v>110</v>
      </c>
      <c r="B52" s="130"/>
      <c r="C52" s="130"/>
      <c r="D52" s="131"/>
      <c r="E52" s="112"/>
      <c r="F52" s="118" t="s">
        <v>181</v>
      </c>
      <c r="G52" s="130"/>
      <c r="H52" s="130"/>
      <c r="I52" s="131"/>
    </row>
    <row r="53" spans="1:10" ht="12.75" customHeight="1" x14ac:dyDescent="0.25">
      <c r="A53" s="87" t="s">
        <v>8</v>
      </c>
      <c r="B53" s="122">
        <v>7230.8600000000015</v>
      </c>
      <c r="C53" s="122">
        <v>3207.97</v>
      </c>
      <c r="D53" s="125">
        <f t="shared" ref="D53:D55" si="1">IF(SUM(B53:C53),SUM(B53:C53),"")</f>
        <v>10438.830000000002</v>
      </c>
      <c r="E53" s="112"/>
      <c r="F53" s="30" t="s">
        <v>98</v>
      </c>
      <c r="G53" s="122">
        <v>9582.369999999999</v>
      </c>
      <c r="H53" s="122">
        <v>4308.260000000002</v>
      </c>
      <c r="I53" s="139">
        <f>IF(SUM(G53:H53),SUM(G53:H53),"")</f>
        <v>13890.630000000001</v>
      </c>
    </row>
    <row r="54" spans="1:10" ht="12.75" customHeight="1" x14ac:dyDescent="0.25">
      <c r="A54" s="40" t="s">
        <v>12</v>
      </c>
      <c r="B54" s="123">
        <v>19012.339999999997</v>
      </c>
      <c r="C54" s="123">
        <v>788.91</v>
      </c>
      <c r="D54" s="124">
        <f t="shared" si="1"/>
        <v>19801.249999999996</v>
      </c>
      <c r="E54" s="112"/>
      <c r="F54" s="40" t="s">
        <v>23</v>
      </c>
      <c r="G54" s="123"/>
      <c r="H54" s="123"/>
      <c r="I54" s="135" t="str">
        <f>IF(SUM(G54:H54),SUM(G54:H54),"")</f>
        <v/>
      </c>
    </row>
    <row r="55" spans="1:10" ht="12.75" customHeight="1" x14ac:dyDescent="0.25">
      <c r="A55" s="89" t="s">
        <v>35</v>
      </c>
      <c r="B55" s="122">
        <v>1544.53</v>
      </c>
      <c r="C55" s="122">
        <v>266.45999999999998</v>
      </c>
      <c r="D55" s="125">
        <f t="shared" si="1"/>
        <v>1810.99</v>
      </c>
      <c r="E55" s="112"/>
      <c r="F55" s="30" t="s">
        <v>29</v>
      </c>
      <c r="G55" s="122">
        <v>1750.25</v>
      </c>
      <c r="H55" s="122">
        <v>12222.340000000002</v>
      </c>
      <c r="I55" s="139">
        <f>IF(SUM(G55:H55),SUM(G55:H55),"")</f>
        <v>13972.590000000002</v>
      </c>
      <c r="J55" s="6"/>
    </row>
    <row r="56" spans="1:10" ht="12.75" customHeight="1" x14ac:dyDescent="0.25">
      <c r="A56" s="32" t="s">
        <v>111</v>
      </c>
      <c r="B56" s="132">
        <f>IF(SUM(B53:B55),SUM(B53:B55),"")</f>
        <v>27787.729999999996</v>
      </c>
      <c r="C56" s="132">
        <f>IF(SUM(C53:C55),SUM(C53:C55),"")</f>
        <v>4263.3399999999992</v>
      </c>
      <c r="D56" s="132">
        <f>IF(SUM(D53:D55),SUM(D53:D55),"")</f>
        <v>32051.07</v>
      </c>
      <c r="E56" s="112"/>
      <c r="F56" s="40" t="s">
        <v>62</v>
      </c>
      <c r="G56" s="123">
        <v>21631.01</v>
      </c>
      <c r="H56" s="123">
        <v>1265.5</v>
      </c>
      <c r="I56" s="135">
        <f>IF(SUM(G56:H56),SUM(G56:H56),"")</f>
        <v>22896.51</v>
      </c>
    </row>
    <row r="57" spans="1:10" ht="12.75" customHeight="1" x14ac:dyDescent="0.25">
      <c r="E57" s="112"/>
      <c r="F57" s="87" t="s">
        <v>65</v>
      </c>
      <c r="G57" s="122">
        <v>6570.44</v>
      </c>
      <c r="H57" s="122">
        <v>89185.199999999983</v>
      </c>
      <c r="I57" s="139">
        <f>IF(SUM(G57:H57),SUM(G57:H57),"")</f>
        <v>95755.639999999985</v>
      </c>
    </row>
    <row r="58" spans="1:10" ht="12.75" customHeight="1" x14ac:dyDescent="0.25">
      <c r="A58" s="108" t="s">
        <v>112</v>
      </c>
      <c r="B58" s="130"/>
      <c r="C58" s="130"/>
      <c r="D58" s="131"/>
      <c r="E58" s="112"/>
      <c r="F58" s="32" t="s">
        <v>182</v>
      </c>
      <c r="G58" s="132">
        <f>IF(SUM(G53:G57),SUM(G53:G57),"")</f>
        <v>39534.07</v>
      </c>
      <c r="H58" s="132">
        <f>IF(SUM(H53:H57),SUM(H53:H57),"")</f>
        <v>106981.29999999999</v>
      </c>
      <c r="I58" s="132">
        <f>IF(SUM(I53:I57),SUM(I53:I57),"")</f>
        <v>146515.37</v>
      </c>
    </row>
    <row r="59" spans="1:10" ht="12.75" customHeight="1" x14ac:dyDescent="0.25">
      <c r="A59" s="87" t="s">
        <v>13</v>
      </c>
      <c r="B59" s="122">
        <v>2147.81</v>
      </c>
      <c r="C59" s="122"/>
      <c r="D59" s="125">
        <f t="shared" ref="D59:D62" si="2">IF(SUM(B59:C59),SUM(B59:C59),"")</f>
        <v>2147.81</v>
      </c>
      <c r="E59" s="112"/>
    </row>
    <row r="60" spans="1:10" ht="12.75" customHeight="1" x14ac:dyDescent="0.25">
      <c r="A60" s="40" t="s">
        <v>43</v>
      </c>
      <c r="B60" s="123">
        <v>6652.28</v>
      </c>
      <c r="C60" s="123">
        <v>204</v>
      </c>
      <c r="D60" s="124">
        <f t="shared" si="2"/>
        <v>6856.28</v>
      </c>
      <c r="E60" s="112"/>
      <c r="F60" s="118" t="s">
        <v>183</v>
      </c>
      <c r="G60" s="130"/>
      <c r="H60" s="130"/>
      <c r="I60" s="131"/>
      <c r="J60" s="6"/>
    </row>
    <row r="61" spans="1:10" ht="12.75" customHeight="1" x14ac:dyDescent="0.25">
      <c r="A61" s="89" t="s">
        <v>56</v>
      </c>
      <c r="B61" s="122">
        <v>1548.03</v>
      </c>
      <c r="C61" s="122">
        <v>349.05999999999995</v>
      </c>
      <c r="D61" s="125">
        <f t="shared" si="2"/>
        <v>1897.09</v>
      </c>
      <c r="E61" s="112"/>
      <c r="F61" s="30" t="s">
        <v>7</v>
      </c>
      <c r="G61" s="122">
        <v>360.23</v>
      </c>
      <c r="H61" s="122">
        <v>161.85000000000002</v>
      </c>
      <c r="I61" s="139">
        <f>IF(SUM(G61:H61),SUM(G61:H61),"")</f>
        <v>522.08000000000004</v>
      </c>
      <c r="J61" s="6"/>
    </row>
    <row r="62" spans="1:10" ht="12.75" customHeight="1" x14ac:dyDescent="0.25">
      <c r="A62" s="40" t="s">
        <v>67</v>
      </c>
      <c r="B62" s="123">
        <v>4884</v>
      </c>
      <c r="C62" s="123"/>
      <c r="D62" s="124">
        <f t="shared" si="2"/>
        <v>4884</v>
      </c>
      <c r="E62" s="112"/>
      <c r="F62" s="40" t="s">
        <v>48</v>
      </c>
      <c r="G62" s="141">
        <v>1268.0999999999999</v>
      </c>
      <c r="H62" s="141"/>
      <c r="I62" s="135">
        <f>IF(SUM(G62:H62),SUM(G62:H62),"")</f>
        <v>1268.0999999999999</v>
      </c>
      <c r="J62" s="6"/>
    </row>
    <row r="63" spans="1:10" ht="12.75" customHeight="1" x14ac:dyDescent="0.25">
      <c r="A63" s="32" t="s">
        <v>113</v>
      </c>
      <c r="B63" s="132">
        <f>IF(SUM(B59:B62),SUM(B59:B62),"")</f>
        <v>15232.12</v>
      </c>
      <c r="C63" s="132">
        <f>IF(SUM(C59:C62),SUM(C59:C62),"")</f>
        <v>553.05999999999995</v>
      </c>
      <c r="D63" s="132">
        <f>IF(SUM(D59:D62),SUM(D59:D62),"")</f>
        <v>15785.18</v>
      </c>
      <c r="F63" s="30" t="s">
        <v>57</v>
      </c>
      <c r="G63" s="146"/>
      <c r="H63" s="146"/>
      <c r="I63" s="140" t="str">
        <f>IF(SUM(G63:H63),SUM(G63:H63),"")</f>
        <v/>
      </c>
      <c r="J63" s="6"/>
    </row>
    <row r="64" spans="1:10" ht="12.75" customHeight="1" x14ac:dyDescent="0.25">
      <c r="F64" s="32" t="s">
        <v>184</v>
      </c>
      <c r="G64" s="132">
        <f>IF(SUM(G61:G63),SUM(G61:G63),"")</f>
        <v>1628.33</v>
      </c>
      <c r="H64" s="132">
        <f>IF(SUM(H61:H63),SUM(H61:H63),"")</f>
        <v>161.85000000000002</v>
      </c>
      <c r="I64" s="132">
        <f>IF(SUM(I61:I63),SUM(I61:I63),"")</f>
        <v>1790.1799999999998</v>
      </c>
    </row>
    <row r="65" spans="1:10" ht="12.75" customHeight="1" x14ac:dyDescent="0.25">
      <c r="A65" s="108" t="s">
        <v>114</v>
      </c>
      <c r="B65" s="130"/>
      <c r="C65" s="130"/>
      <c r="D65" s="131"/>
      <c r="F65" s="68"/>
      <c r="I65" s="72"/>
    </row>
    <row r="66" spans="1:10" ht="12.75" customHeight="1" x14ac:dyDescent="0.25">
      <c r="A66" s="30" t="s">
        <v>1</v>
      </c>
      <c r="B66" s="122">
        <v>2711.5</v>
      </c>
      <c r="C66" s="122"/>
      <c r="D66" s="125">
        <f t="shared" ref="D66:D69" si="3">IF(SUM(B66:C66),SUM(B66:C66),"")</f>
        <v>2711.5</v>
      </c>
      <c r="F66" s="118" t="s">
        <v>185</v>
      </c>
      <c r="G66" s="130"/>
      <c r="H66" s="130"/>
      <c r="I66" s="131"/>
    </row>
    <row r="67" spans="1:10" ht="12.75" customHeight="1" x14ac:dyDescent="0.25">
      <c r="A67" s="40" t="s">
        <v>209</v>
      </c>
      <c r="B67" s="123">
        <v>3009.56</v>
      </c>
      <c r="C67" s="123">
        <v>421.16999999999996</v>
      </c>
      <c r="D67" s="124">
        <f t="shared" si="3"/>
        <v>3430.73</v>
      </c>
      <c r="F67" s="30" t="s">
        <v>97</v>
      </c>
      <c r="G67" s="122">
        <v>36535.970000000016</v>
      </c>
      <c r="H67" s="122">
        <v>35138.37999999999</v>
      </c>
      <c r="I67" s="139">
        <f>IF(SUM(G67:H67),SUM(G67:H67),"")</f>
        <v>71674.350000000006</v>
      </c>
    </row>
    <row r="68" spans="1:10" ht="12.75" customHeight="1" x14ac:dyDescent="0.25">
      <c r="A68" s="87" t="s">
        <v>17</v>
      </c>
      <c r="B68" s="122">
        <v>1017.7799999999997</v>
      </c>
      <c r="C68" s="122"/>
      <c r="D68" s="125">
        <f t="shared" si="3"/>
        <v>1017.7799999999997</v>
      </c>
      <c r="F68" s="32" t="s">
        <v>186</v>
      </c>
      <c r="G68" s="132">
        <f>IF(SUM(G67),SUM(G67),"")</f>
        <v>36535.970000000016</v>
      </c>
      <c r="H68" s="132">
        <f>IF(SUM(H67),SUM(H67),"")</f>
        <v>35138.37999999999</v>
      </c>
      <c r="I68" s="132">
        <f>IF(SUM(I67),SUM(I67),"")</f>
        <v>71674.350000000006</v>
      </c>
    </row>
    <row r="69" spans="1:10" ht="12.75" customHeight="1" x14ac:dyDescent="0.25">
      <c r="A69" s="40" t="s">
        <v>60</v>
      </c>
      <c r="B69" s="123">
        <v>1837.4399999999998</v>
      </c>
      <c r="C69" s="123"/>
      <c r="D69" s="124">
        <f t="shared" si="3"/>
        <v>1837.4399999999998</v>
      </c>
      <c r="F69" s="68"/>
      <c r="I69" s="72"/>
    </row>
    <row r="70" spans="1:10" ht="12.75" customHeight="1" x14ac:dyDescent="0.25">
      <c r="A70" s="32" t="s">
        <v>115</v>
      </c>
      <c r="B70" s="132">
        <f>IF(SUM(B66:B69),SUM(B66:B69),"")</f>
        <v>8576.2799999999988</v>
      </c>
      <c r="C70" s="132">
        <f>IF(SUM(C66:C69),SUM(C66:C69),"")</f>
        <v>421.16999999999996</v>
      </c>
      <c r="D70" s="132">
        <f>IF(SUM(D66:D69),SUM(D66:D69),"")</f>
        <v>8997.4499999999989</v>
      </c>
      <c r="F70" s="116" t="s">
        <v>121</v>
      </c>
      <c r="G70" s="132">
        <f>IF(SUM(B10,B17,B25,B33,B39,B50,B56,B63,B70,G9,G16,G22,G29,G36,G44,G50,G58,G64,G68),SUM(B10,B17,B25,B33,B39,B50,B56,B63,B70,G9,G16,G22,G29,G36,G44,G50,G58,G64,G68),"")</f>
        <v>617715.99999999988</v>
      </c>
      <c r="H70" s="132">
        <f>IF(SUM(C10,C17,C25,C33,C39,C50,C56,C63,C70,H9,H16,H22,H29,H36,H44,H50,H58,H64,H68),SUM(C10,C17,C25,C33,C39,C50,C56,C63,C70,H9,H16,H22,H29,H36,H44,H50,H58,H64,H68),"")</f>
        <v>281458.05</v>
      </c>
      <c r="I70" s="132">
        <f>SUM(G70+H70)</f>
        <v>899174.04999999981</v>
      </c>
      <c r="J70" s="6"/>
    </row>
    <row r="71" spans="1:10" x14ac:dyDescent="0.25">
      <c r="I71" s="6"/>
    </row>
    <row r="74" spans="1:10" ht="16.5" customHeight="1" x14ac:dyDescent="0.25"/>
    <row r="90" spans="4:9" x14ac:dyDescent="0.25">
      <c r="G90" s="77"/>
      <c r="H90" s="77"/>
    </row>
    <row r="91" spans="4:9" s="27" customFormat="1" ht="12" customHeight="1" x14ac:dyDescent="0.25">
      <c r="D91" s="72"/>
      <c r="E91" s="66"/>
      <c r="F91" s="68"/>
      <c r="G91" s="73"/>
      <c r="H91" s="77"/>
      <c r="I91" s="72"/>
    </row>
    <row r="92" spans="4:9" s="27" customFormat="1" ht="12" customHeight="1" x14ac:dyDescent="0.25">
      <c r="D92" s="72"/>
      <c r="E92" s="66"/>
      <c r="F92" s="68"/>
      <c r="G92" s="73"/>
      <c r="H92" s="77"/>
      <c r="I92" s="72"/>
    </row>
    <row r="93" spans="4:9" s="27" customFormat="1" ht="12" customHeight="1" x14ac:dyDescent="0.25">
      <c r="D93" s="72"/>
      <c r="E93" s="66"/>
      <c r="F93" s="68"/>
      <c r="G93" s="73"/>
      <c r="H93" s="77"/>
      <c r="I93" s="72"/>
    </row>
    <row r="94" spans="4:9" s="27" customFormat="1" ht="12" customHeight="1" x14ac:dyDescent="0.25">
      <c r="D94" s="72"/>
      <c r="E94" s="66"/>
      <c r="F94" s="68"/>
      <c r="G94" s="73"/>
      <c r="H94" s="77"/>
      <c r="I94" s="72"/>
    </row>
    <row r="95" spans="4:9" s="27" customFormat="1" ht="12" customHeight="1" x14ac:dyDescent="0.25">
      <c r="D95" s="72"/>
      <c r="E95" s="66"/>
      <c r="F95" s="68"/>
      <c r="G95" s="73"/>
      <c r="H95" s="77"/>
      <c r="I95" s="72"/>
    </row>
    <row r="96" spans="4:9" s="27" customFormat="1" ht="12" customHeight="1" x14ac:dyDescent="0.25">
      <c r="D96" s="72"/>
      <c r="E96" s="66"/>
      <c r="F96" s="68"/>
      <c r="G96" s="73"/>
      <c r="H96" s="77"/>
      <c r="I96" s="72"/>
    </row>
    <row r="97" spans="1:9" s="27" customFormat="1" ht="12" customHeight="1" x14ac:dyDescent="0.25">
      <c r="D97" s="72"/>
      <c r="E97" s="66"/>
      <c r="F97" s="68"/>
      <c r="G97" s="73"/>
      <c r="H97" s="77"/>
      <c r="I97" s="72"/>
    </row>
    <row r="98" spans="1:9" s="27" customFormat="1" ht="12" customHeight="1" x14ac:dyDescent="0.25">
      <c r="D98" s="72"/>
      <c r="E98" s="66"/>
      <c r="F98" s="68"/>
      <c r="G98" s="73"/>
      <c r="H98" s="77"/>
      <c r="I98" s="72"/>
    </row>
    <row r="99" spans="1:9" s="27" customFormat="1" ht="12" customHeight="1" x14ac:dyDescent="0.25">
      <c r="A99" s="71"/>
      <c r="B99" s="75" t="s">
        <v>170</v>
      </c>
      <c r="C99" s="75" t="s">
        <v>171</v>
      </c>
      <c r="D99" s="75" t="s">
        <v>207</v>
      </c>
      <c r="E99" s="66"/>
      <c r="F99" s="68"/>
      <c r="G99" s="77"/>
      <c r="H99" s="77"/>
      <c r="I99" s="72"/>
    </row>
    <row r="100" spans="1:9" s="27" customFormat="1" ht="12" customHeight="1" x14ac:dyDescent="0.25">
      <c r="A100" s="76" t="s">
        <v>190</v>
      </c>
      <c r="B100" s="76">
        <f>B10</f>
        <v>23385.890000000003</v>
      </c>
      <c r="C100" s="76">
        <f>C10</f>
        <v>22741.449999999997</v>
      </c>
      <c r="D100" s="76">
        <f>SUM(B100:C100)</f>
        <v>46127.34</v>
      </c>
      <c r="E100" s="66"/>
      <c r="F100" s="68"/>
      <c r="G100" s="77"/>
      <c r="H100" s="77"/>
      <c r="I100" s="72"/>
    </row>
    <row r="101" spans="1:9" s="27" customFormat="1" ht="12" customHeight="1" x14ac:dyDescent="0.25">
      <c r="A101" s="76" t="s">
        <v>191</v>
      </c>
      <c r="B101" s="76">
        <f>B17</f>
        <v>62197.3</v>
      </c>
      <c r="C101" s="76">
        <f>C17</f>
        <v>11908.94</v>
      </c>
      <c r="D101" s="76">
        <f t="shared" ref="D101:D118" si="4">SUM(B101:C101)</f>
        <v>74106.240000000005</v>
      </c>
      <c r="E101" s="66"/>
      <c r="F101" s="68"/>
      <c r="G101" s="77"/>
      <c r="H101" s="77"/>
      <c r="I101" s="72"/>
    </row>
    <row r="102" spans="1:9" s="27" customFormat="1" ht="12" customHeight="1" x14ac:dyDescent="0.25">
      <c r="A102" s="76" t="s">
        <v>192</v>
      </c>
      <c r="B102" s="76">
        <f>B25</f>
        <v>16233.119999999997</v>
      </c>
      <c r="C102" s="76">
        <f>C25</f>
        <v>50673.340000000004</v>
      </c>
      <c r="D102" s="76">
        <f t="shared" si="4"/>
        <v>66906.460000000006</v>
      </c>
      <c r="E102" s="66"/>
      <c r="F102" s="68"/>
      <c r="G102" s="77"/>
      <c r="H102" s="77"/>
      <c r="I102" s="72"/>
    </row>
    <row r="103" spans="1:9" s="27" customFormat="1" ht="12" customHeight="1" x14ac:dyDescent="0.25">
      <c r="A103" s="76" t="s">
        <v>193</v>
      </c>
      <c r="B103" s="76">
        <f>B33</f>
        <v>141666.01</v>
      </c>
      <c r="C103" s="76">
        <f>C33</f>
        <v>13407.750000000002</v>
      </c>
      <c r="D103" s="76">
        <f t="shared" si="4"/>
        <v>155073.76</v>
      </c>
      <c r="E103" s="66"/>
      <c r="F103" s="68"/>
      <c r="G103" s="77"/>
      <c r="H103" s="77"/>
      <c r="I103" s="72"/>
    </row>
    <row r="104" spans="1:9" s="27" customFormat="1" ht="12" customHeight="1" x14ac:dyDescent="0.25">
      <c r="A104" s="76" t="s">
        <v>210</v>
      </c>
      <c r="B104" s="76">
        <f>B39</f>
        <v>5360.9699999999993</v>
      </c>
      <c r="C104" s="76">
        <f>C39</f>
        <v>683.04</v>
      </c>
      <c r="D104" s="76">
        <f t="shared" si="4"/>
        <v>6044.0099999999993</v>
      </c>
      <c r="E104" s="66"/>
      <c r="F104" s="68"/>
      <c r="G104" s="77"/>
      <c r="H104" s="77"/>
      <c r="I104" s="72"/>
    </row>
    <row r="105" spans="1:9" s="27" customFormat="1" ht="12" customHeight="1" x14ac:dyDescent="0.25">
      <c r="A105" s="76" t="s">
        <v>194</v>
      </c>
      <c r="B105" s="76">
        <f>B50</f>
        <v>27579.200000000004</v>
      </c>
      <c r="C105" s="76">
        <f>C50</f>
        <v>10557.449999999999</v>
      </c>
      <c r="D105" s="76">
        <f t="shared" si="4"/>
        <v>38136.65</v>
      </c>
      <c r="E105" s="66"/>
      <c r="F105" s="68"/>
      <c r="G105" s="77"/>
      <c r="H105" s="77"/>
      <c r="I105" s="72"/>
    </row>
    <row r="106" spans="1:9" x14ac:dyDescent="0.25">
      <c r="A106" s="76" t="s">
        <v>195</v>
      </c>
      <c r="B106" s="76">
        <f>B56</f>
        <v>27787.729999999996</v>
      </c>
      <c r="C106" s="76">
        <f>C56</f>
        <v>4263.3399999999992</v>
      </c>
      <c r="D106" s="76">
        <f t="shared" si="4"/>
        <v>32051.069999999996</v>
      </c>
    </row>
    <row r="107" spans="1:9" x14ac:dyDescent="0.25">
      <c r="A107" s="76" t="s">
        <v>196</v>
      </c>
      <c r="B107" s="76">
        <f>B63</f>
        <v>15232.12</v>
      </c>
      <c r="C107" s="76">
        <f>C63</f>
        <v>553.05999999999995</v>
      </c>
      <c r="D107" s="76">
        <f t="shared" si="4"/>
        <v>15785.18</v>
      </c>
    </row>
    <row r="108" spans="1:9" x14ac:dyDescent="0.25">
      <c r="A108" s="76" t="s">
        <v>197</v>
      </c>
      <c r="B108" s="76">
        <f>B70</f>
        <v>8576.2799999999988</v>
      </c>
      <c r="C108" s="76">
        <f>C70</f>
        <v>421.16999999999996</v>
      </c>
      <c r="D108" s="76">
        <f t="shared" si="4"/>
        <v>8997.4499999999989</v>
      </c>
    </row>
    <row r="109" spans="1:9" x14ac:dyDescent="0.25">
      <c r="A109" s="76" t="s">
        <v>211</v>
      </c>
      <c r="B109" s="76">
        <f>G9</f>
        <v>43398.84</v>
      </c>
      <c r="C109" s="76">
        <f>H9</f>
        <v>405.8</v>
      </c>
      <c r="D109" s="76">
        <f t="shared" si="4"/>
        <v>43804.639999999999</v>
      </c>
    </row>
    <row r="110" spans="1:9" x14ac:dyDescent="0.25">
      <c r="A110" s="76" t="s">
        <v>198</v>
      </c>
      <c r="B110" s="76">
        <f>G16</f>
        <v>28878.09</v>
      </c>
      <c r="C110" s="76">
        <f>H16</f>
        <v>3824.66</v>
      </c>
      <c r="D110" s="76">
        <f t="shared" si="4"/>
        <v>32702.75</v>
      </c>
    </row>
    <row r="111" spans="1:9" x14ac:dyDescent="0.25">
      <c r="A111" s="76" t="s">
        <v>199</v>
      </c>
      <c r="B111" s="76">
        <f>G22</f>
        <v>26068.35</v>
      </c>
      <c r="C111" s="76">
        <f>H22</f>
        <v>927.72000000000014</v>
      </c>
      <c r="D111" s="76">
        <f t="shared" si="4"/>
        <v>26996.07</v>
      </c>
    </row>
    <row r="112" spans="1:9" x14ac:dyDescent="0.25">
      <c r="A112" s="75" t="s">
        <v>200</v>
      </c>
      <c r="B112" s="75">
        <f>G29</f>
        <v>13621.52</v>
      </c>
      <c r="C112" s="75">
        <f>H29</f>
        <v>3717.5100000000011</v>
      </c>
      <c r="D112" s="75">
        <f t="shared" si="4"/>
        <v>17339.030000000002</v>
      </c>
    </row>
    <row r="113" spans="1:4" x14ac:dyDescent="0.25">
      <c r="A113" s="76" t="s">
        <v>201</v>
      </c>
      <c r="B113" s="76">
        <f>G36</f>
        <v>41769.120000000003</v>
      </c>
      <c r="C113" s="76">
        <f>H36</f>
        <v>1224.5200000000002</v>
      </c>
      <c r="D113" s="76">
        <f t="shared" si="4"/>
        <v>42993.64</v>
      </c>
    </row>
    <row r="114" spans="1:4" x14ac:dyDescent="0.25">
      <c r="A114" s="76" t="s">
        <v>202</v>
      </c>
      <c r="B114" s="76">
        <f>G44</f>
        <v>36378.31</v>
      </c>
      <c r="C114" s="76">
        <f>H44</f>
        <v>3327.1100000000006</v>
      </c>
      <c r="D114" s="76">
        <f t="shared" si="4"/>
        <v>39705.42</v>
      </c>
    </row>
    <row r="115" spans="1:4" x14ac:dyDescent="0.25">
      <c r="A115" s="76" t="s">
        <v>203</v>
      </c>
      <c r="B115" s="76">
        <f>G50</f>
        <v>21884.78</v>
      </c>
      <c r="C115" s="76">
        <f>H50</f>
        <v>10539.66</v>
      </c>
      <c r="D115" s="76">
        <f t="shared" si="4"/>
        <v>32424.44</v>
      </c>
    </row>
    <row r="116" spans="1:4" x14ac:dyDescent="0.25">
      <c r="A116" s="76" t="s">
        <v>204</v>
      </c>
      <c r="B116" s="76">
        <f>G58</f>
        <v>39534.07</v>
      </c>
      <c r="C116" s="76">
        <f>H58</f>
        <v>106981.29999999999</v>
      </c>
      <c r="D116" s="76">
        <f t="shared" si="4"/>
        <v>146515.37</v>
      </c>
    </row>
    <row r="117" spans="1:4" x14ac:dyDescent="0.25">
      <c r="A117" s="76" t="s">
        <v>205</v>
      </c>
      <c r="B117" s="76">
        <f>G64</f>
        <v>1628.33</v>
      </c>
      <c r="C117" s="76">
        <f>H64</f>
        <v>161.85000000000002</v>
      </c>
      <c r="D117" s="76">
        <f t="shared" si="4"/>
        <v>1790.1799999999998</v>
      </c>
    </row>
    <row r="118" spans="1:4" x14ac:dyDescent="0.25">
      <c r="A118" s="76" t="s">
        <v>206</v>
      </c>
      <c r="B118" s="76">
        <f>G68</f>
        <v>36535.970000000016</v>
      </c>
      <c r="C118" s="76">
        <f>H68</f>
        <v>35138.37999999999</v>
      </c>
      <c r="D118" s="76">
        <f t="shared" si="4"/>
        <v>71674.350000000006</v>
      </c>
    </row>
    <row r="119" spans="1:4" x14ac:dyDescent="0.25">
      <c r="D119" s="75">
        <f>SUM(D100:D118)</f>
        <v>899174.05000000016</v>
      </c>
    </row>
  </sheetData>
  <mergeCells count="7">
    <mergeCell ref="A2:I2"/>
    <mergeCell ref="A3:A4"/>
    <mergeCell ref="B3:C3"/>
    <mergeCell ref="D3:D4"/>
    <mergeCell ref="F3:F4"/>
    <mergeCell ref="G3:H3"/>
    <mergeCell ref="I3:I4"/>
  </mergeCells>
  <phoneticPr fontId="0" type="noConversion"/>
  <printOptions horizontalCentered="1"/>
  <pageMargins left="0.51181102362204722" right="0.27559055118110237" top="0.39370078740157483" bottom="0.47244094488188981" header="0.39370078740157483" footer="0.51181102362204722"/>
  <pageSetup paperSize="9" scale="6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82947" r:id="rId4">
          <objectPr defaultSize="0" autoPict="0" r:id="rId5">
            <anchor moveWithCells="1" sizeWithCells="1">
              <from>
                <xdr:col>0</xdr:col>
                <xdr:colOff>133350</xdr:colOff>
                <xdr:row>0</xdr:row>
                <xdr:rowOff>123825</xdr:rowOff>
              </from>
              <to>
                <xdr:col>0</xdr:col>
                <xdr:colOff>990600</xdr:colOff>
                <xdr:row>0</xdr:row>
                <xdr:rowOff>552450</xdr:rowOff>
              </to>
            </anchor>
          </objectPr>
        </oleObject>
      </mc:Choice>
      <mc:Fallback>
        <oleObject shapeId="8294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/>
  <dimension ref="A1:T89"/>
  <sheetViews>
    <sheetView showGridLines="0" topLeftCell="B1" zoomScale="85" zoomScaleNormal="85" zoomScaleSheetLayoutView="85" workbookViewId="0">
      <selection activeCell="J69" sqref="J69"/>
    </sheetView>
  </sheetViews>
  <sheetFormatPr defaultColWidth="11" defaultRowHeight="12.75" x14ac:dyDescent="0.2"/>
  <cols>
    <col min="1" max="1" width="1.25" style="159" hidden="1" customWidth="1"/>
    <col min="2" max="8" width="15.625" style="159" customWidth="1"/>
    <col min="9" max="16384" width="11" style="159"/>
  </cols>
  <sheetData>
    <row r="1" spans="1:20" ht="82.5" customHeight="1" x14ac:dyDescent="0.2"/>
    <row r="2" spans="1:20" x14ac:dyDescent="0.2">
      <c r="A2" s="159" t="s">
        <v>221</v>
      </c>
    </row>
    <row r="3" spans="1:20" ht="13.5" thickBot="1" x14ac:dyDescent="0.25"/>
    <row r="4" spans="1:20" s="160" customFormat="1" ht="18" customHeight="1" thickBot="1" x14ac:dyDescent="0.3">
      <c r="B4" s="214" t="s">
        <v>212</v>
      </c>
      <c r="C4" s="214"/>
      <c r="D4" s="214"/>
      <c r="E4" s="214"/>
      <c r="F4" s="214"/>
      <c r="G4" s="214"/>
      <c r="H4" s="214"/>
    </row>
    <row r="5" spans="1:20" ht="27.95" customHeight="1" x14ac:dyDescent="0.2">
      <c r="B5" s="215" t="s">
        <v>154</v>
      </c>
      <c r="C5" s="215" t="s">
        <v>155</v>
      </c>
      <c r="D5" s="215" t="s">
        <v>156</v>
      </c>
      <c r="E5" s="215" t="s">
        <v>160</v>
      </c>
      <c r="F5" s="215" t="s">
        <v>161</v>
      </c>
      <c r="G5" s="215" t="s">
        <v>162</v>
      </c>
      <c r="H5" s="215" t="s">
        <v>157</v>
      </c>
    </row>
    <row r="6" spans="1:20" ht="19.5" customHeight="1" thickBot="1" x14ac:dyDescent="0.25">
      <c r="B6" s="216"/>
      <c r="C6" s="216"/>
      <c r="D6" s="216"/>
      <c r="E6" s="216"/>
      <c r="F6" s="216"/>
      <c r="G6" s="216" t="s">
        <v>158</v>
      </c>
      <c r="H6" s="216" t="s">
        <v>159</v>
      </c>
      <c r="M6" s="160"/>
      <c r="N6" s="160"/>
      <c r="O6" s="160"/>
      <c r="P6" s="160"/>
      <c r="Q6" s="160"/>
      <c r="R6" s="160"/>
      <c r="S6" s="160"/>
      <c r="T6" s="160"/>
    </row>
    <row r="7" spans="1:20" s="160" customFormat="1" ht="18" hidden="1" customHeight="1" x14ac:dyDescent="0.25">
      <c r="B7" s="161">
        <v>44934</v>
      </c>
      <c r="C7" s="162">
        <v>99569.760000000038</v>
      </c>
      <c r="D7" s="162">
        <v>12094.030000000006</v>
      </c>
      <c r="E7" s="162">
        <v>759.00000000000011</v>
      </c>
      <c r="F7" s="162">
        <v>42.000000000000021</v>
      </c>
      <c r="G7" s="181">
        <v>111663.79000000004</v>
      </c>
      <c r="H7" s="181">
        <v>801.00000000000011</v>
      </c>
    </row>
    <row r="8" spans="1:20" s="160" customFormat="1" ht="18" hidden="1" customHeight="1" x14ac:dyDescent="0.25">
      <c r="B8" s="163">
        <v>44965</v>
      </c>
      <c r="C8" s="187">
        <v>81108.820000000007</v>
      </c>
      <c r="D8" s="187">
        <v>34423.19</v>
      </c>
      <c r="E8" s="187">
        <v>1022.9999999999983</v>
      </c>
      <c r="F8" s="187">
        <v>87.999999999999986</v>
      </c>
      <c r="G8" s="187">
        <v>115532.01000000001</v>
      </c>
      <c r="H8" s="187">
        <v>1110.9999999999982</v>
      </c>
    </row>
    <row r="9" spans="1:20" s="160" customFormat="1" ht="18" hidden="1" customHeight="1" x14ac:dyDescent="0.25">
      <c r="B9" s="161">
        <v>44996</v>
      </c>
      <c r="C9" s="162">
        <v>96265.8</v>
      </c>
      <c r="D9" s="162">
        <v>37675.600000000013</v>
      </c>
      <c r="E9" s="162">
        <v>669.99999999999989</v>
      </c>
      <c r="F9" s="162">
        <v>191.99999999999991</v>
      </c>
      <c r="G9" s="162">
        <v>133941.40000000002</v>
      </c>
      <c r="H9" s="162">
        <v>861.99999999999977</v>
      </c>
    </row>
    <row r="10" spans="1:20" s="160" customFormat="1" ht="18" hidden="1" customHeight="1" x14ac:dyDescent="0.25">
      <c r="B10" s="163">
        <v>45027</v>
      </c>
      <c r="C10" s="164">
        <v>60067.530000000042</v>
      </c>
      <c r="D10" s="164">
        <v>29948.779999999988</v>
      </c>
      <c r="E10" s="164">
        <v>1099.0000000000002</v>
      </c>
      <c r="F10" s="164">
        <v>146.00000000000003</v>
      </c>
      <c r="G10" s="164">
        <v>90016.310000000027</v>
      </c>
      <c r="H10" s="164">
        <v>1245.0000000000002</v>
      </c>
    </row>
    <row r="11" spans="1:20" s="160" customFormat="1" ht="18" hidden="1" customHeight="1" x14ac:dyDescent="0.25">
      <c r="B11" s="161">
        <v>45058</v>
      </c>
      <c r="C11" s="162">
        <v>72382.429999999978</v>
      </c>
      <c r="D11" s="162">
        <v>14665.490000000018</v>
      </c>
      <c r="E11" s="162">
        <v>752.00000000000023</v>
      </c>
      <c r="F11" s="162">
        <v>57.000000000000014</v>
      </c>
      <c r="G11" s="162">
        <v>87047.92</v>
      </c>
      <c r="H11" s="162">
        <v>809.00000000000023</v>
      </c>
    </row>
    <row r="12" spans="1:20" s="160" customFormat="1" ht="18" hidden="1" customHeight="1" x14ac:dyDescent="0.25">
      <c r="B12" s="163">
        <v>45089</v>
      </c>
      <c r="C12" s="164">
        <v>97013.66</v>
      </c>
      <c r="D12" s="164">
        <v>48349.679999999986</v>
      </c>
      <c r="E12" s="164">
        <v>914.00000000000023</v>
      </c>
      <c r="F12" s="164">
        <v>43</v>
      </c>
      <c r="G12" s="164">
        <v>145363.34</v>
      </c>
      <c r="H12" s="164">
        <v>957.00000000000023</v>
      </c>
    </row>
    <row r="13" spans="1:20" s="160" customFormat="1" ht="18" hidden="1" customHeight="1" x14ac:dyDescent="0.25">
      <c r="B13" s="161">
        <v>45120</v>
      </c>
      <c r="C13" s="162">
        <v>65169.459999999992</v>
      </c>
      <c r="D13" s="162">
        <v>19235.43</v>
      </c>
      <c r="E13" s="162">
        <v>610.00000000000023</v>
      </c>
      <c r="F13" s="162">
        <v>32.999999999999993</v>
      </c>
      <c r="G13" s="162">
        <v>84404.889999999985</v>
      </c>
      <c r="H13" s="162">
        <v>643.00000000000023</v>
      </c>
    </row>
    <row r="14" spans="1:20" s="160" customFormat="1" ht="18" hidden="1" customHeight="1" x14ac:dyDescent="0.25">
      <c r="B14" s="163">
        <v>45151</v>
      </c>
      <c r="C14" s="164">
        <v>100634.55999999997</v>
      </c>
      <c r="D14" s="164">
        <v>13147.179999999997</v>
      </c>
      <c r="E14" s="164">
        <v>1329</v>
      </c>
      <c r="F14" s="164">
        <v>48.999999999999993</v>
      </c>
      <c r="G14" s="164">
        <v>113781.73999999996</v>
      </c>
      <c r="H14" s="164">
        <v>1378</v>
      </c>
    </row>
    <row r="15" spans="1:20" s="160" customFormat="1" ht="18" hidden="1" customHeight="1" x14ac:dyDescent="0.25">
      <c r="B15" s="161">
        <v>45182</v>
      </c>
      <c r="C15" s="162">
        <v>63624.870000000024</v>
      </c>
      <c r="D15" s="162">
        <v>28541.420000000002</v>
      </c>
      <c r="E15" s="162">
        <v>479</v>
      </c>
      <c r="F15" s="162">
        <v>62</v>
      </c>
      <c r="G15" s="162">
        <v>92166.290000000023</v>
      </c>
      <c r="H15" s="162">
        <v>541</v>
      </c>
    </row>
    <row r="16" spans="1:20" s="160" customFormat="1" ht="18" hidden="1" customHeight="1" x14ac:dyDescent="0.25">
      <c r="B16" s="163">
        <v>45213</v>
      </c>
      <c r="C16" s="164">
        <v>135075.99000000002</v>
      </c>
      <c r="D16" s="164">
        <v>15825.629999999996</v>
      </c>
      <c r="E16" s="164">
        <v>1269.9999999999998</v>
      </c>
      <c r="F16" s="164">
        <v>72.000000000000014</v>
      </c>
      <c r="G16" s="164">
        <v>150901.62000000002</v>
      </c>
      <c r="H16" s="164">
        <v>1341.9999999999998</v>
      </c>
    </row>
    <row r="17" spans="2:13" s="160" customFormat="1" ht="18" hidden="1" customHeight="1" x14ac:dyDescent="0.25">
      <c r="B17" s="161">
        <v>45244</v>
      </c>
      <c r="C17" s="162">
        <v>99834.199999999968</v>
      </c>
      <c r="D17" s="162">
        <v>33129.780000000006</v>
      </c>
      <c r="E17" s="162">
        <v>882.00000000000091</v>
      </c>
      <c r="F17" s="162">
        <v>97.999999999999972</v>
      </c>
      <c r="G17" s="162">
        <v>132963.97999999998</v>
      </c>
      <c r="H17" s="162">
        <v>980.00000000000091</v>
      </c>
    </row>
    <row r="18" spans="2:13" s="160" customFormat="1" ht="18" hidden="1" customHeight="1" thickBot="1" x14ac:dyDescent="0.3">
      <c r="B18" s="163">
        <v>45275</v>
      </c>
      <c r="C18" s="164">
        <v>98483.810000000041</v>
      </c>
      <c r="D18" s="164">
        <v>82927.659999999989</v>
      </c>
      <c r="E18" s="164">
        <v>1157.0000000000007</v>
      </c>
      <c r="F18" s="164">
        <v>31.999999999999993</v>
      </c>
      <c r="G18" s="164">
        <v>181411.47000000003</v>
      </c>
      <c r="H18" s="164">
        <v>1189.0000000000007</v>
      </c>
    </row>
    <row r="19" spans="2:13" s="160" customFormat="1" ht="18" hidden="1" customHeight="1" thickBot="1" x14ac:dyDescent="0.3">
      <c r="B19" s="177" t="s">
        <v>223</v>
      </c>
      <c r="C19" s="165">
        <f>IF(SUM(C7:C18),SUM(C7:C18),"")</f>
        <v>1069230.8899999999</v>
      </c>
      <c r="D19" s="165">
        <f>IF(SUM(D7:D18),SUM(D7:D18),"")</f>
        <v>369963.87</v>
      </c>
      <c r="E19" s="165">
        <f t="shared" ref="E19:F19" si="0">IF(SUM(E7:E18),SUM(E7:E18),"")</f>
        <v>10944</v>
      </c>
      <c r="F19" s="165">
        <f t="shared" si="0"/>
        <v>913.99999999999989</v>
      </c>
      <c r="G19" s="165">
        <f>IF(SUM(G7:G18),SUM(G7:G18),"")</f>
        <v>1439194.7600000002</v>
      </c>
      <c r="H19" s="165">
        <f>IF(SUM(H7:H18),SUM(H7:H18),"")</f>
        <v>11858</v>
      </c>
    </row>
    <row r="20" spans="2:13" s="160" customFormat="1" ht="18" hidden="1" customHeight="1" x14ac:dyDescent="0.25">
      <c r="B20" s="161">
        <f>B18+31</f>
        <v>45306</v>
      </c>
      <c r="C20" s="162">
        <v>97525.32</v>
      </c>
      <c r="D20" s="162">
        <v>29622.720000000001</v>
      </c>
      <c r="E20" s="162">
        <v>974.00000000000057</v>
      </c>
      <c r="F20" s="162">
        <v>35</v>
      </c>
      <c r="G20" s="162">
        <f t="shared" ref="G20" si="1">IF(SUM(C20:D20),SUM(C20:D20),"")</f>
        <v>127148.04000000001</v>
      </c>
      <c r="H20" s="162">
        <f t="shared" ref="H20" si="2">IF(SUM(E20:F20),SUM(E20:F20),"")</f>
        <v>1009.0000000000006</v>
      </c>
    </row>
    <row r="21" spans="2:13" s="160" customFormat="1" ht="18" hidden="1" customHeight="1" x14ac:dyDescent="0.25">
      <c r="B21" s="163">
        <f>B20+31</f>
        <v>45337</v>
      </c>
      <c r="C21" s="187">
        <v>71883.490000000005</v>
      </c>
      <c r="D21" s="187">
        <v>38967.839999999975</v>
      </c>
      <c r="E21" s="187">
        <v>673.99999999999977</v>
      </c>
      <c r="F21" s="187">
        <v>29.000000000000007</v>
      </c>
      <c r="G21" s="164">
        <f t="shared" ref="G21:G22" si="3">IF(SUM(C21:D21),SUM(C21:D21),"")</f>
        <v>110851.32999999999</v>
      </c>
      <c r="H21" s="164">
        <f t="shared" ref="H21:H22" si="4">IF(SUM(E21:F21),SUM(E21:F21),"")</f>
        <v>702.99999999999977</v>
      </c>
      <c r="J21" s="169"/>
      <c r="K21" s="169"/>
      <c r="L21" s="169"/>
    </row>
    <row r="22" spans="2:13" s="160" customFormat="1" ht="18" hidden="1" customHeight="1" x14ac:dyDescent="0.25">
      <c r="B22" s="161">
        <f t="shared" ref="B22:B27" si="5">B21+31</f>
        <v>45368</v>
      </c>
      <c r="C22" s="162">
        <v>101171.90999999996</v>
      </c>
      <c r="D22" s="162">
        <v>18247.749999999993</v>
      </c>
      <c r="E22" s="162">
        <v>1231</v>
      </c>
      <c r="F22" s="162">
        <v>31.999999999999996</v>
      </c>
      <c r="G22" s="162">
        <f t="shared" si="3"/>
        <v>119419.65999999995</v>
      </c>
      <c r="H22" s="162">
        <f t="shared" si="4"/>
        <v>1263</v>
      </c>
      <c r="J22" s="170"/>
      <c r="K22" s="170"/>
      <c r="L22" s="169"/>
    </row>
    <row r="23" spans="2:13" s="160" customFormat="1" ht="18" hidden="1" customHeight="1" x14ac:dyDescent="0.25">
      <c r="B23" s="163">
        <f t="shared" si="5"/>
        <v>45399</v>
      </c>
      <c r="C23" s="164">
        <v>95191.780000000013</v>
      </c>
      <c r="D23" s="164">
        <v>6486.440000000006</v>
      </c>
      <c r="E23" s="164">
        <v>980.00000000000011</v>
      </c>
      <c r="F23" s="164">
        <v>295</v>
      </c>
      <c r="G23" s="164">
        <f t="shared" ref="G23" si="6">IF(SUM(C23:D23),SUM(C23:D23),"")</f>
        <v>101678.22000000002</v>
      </c>
      <c r="H23" s="164">
        <f t="shared" ref="H23" si="7">IF(SUM(E23:F23),SUM(E23:F23),"")</f>
        <v>1275</v>
      </c>
      <c r="J23" s="166"/>
      <c r="K23" s="166"/>
      <c r="L23" s="166"/>
    </row>
    <row r="24" spans="2:13" s="160" customFormat="1" ht="18" hidden="1" customHeight="1" x14ac:dyDescent="0.25">
      <c r="B24" s="161">
        <f t="shared" si="5"/>
        <v>45430</v>
      </c>
      <c r="C24" s="162">
        <v>161643.82000000004</v>
      </c>
      <c r="D24" s="162">
        <v>14661.600000000008</v>
      </c>
      <c r="E24" s="162">
        <v>1873.0000000000002</v>
      </c>
      <c r="F24" s="162">
        <v>71.999999999999986</v>
      </c>
      <c r="G24" s="162">
        <f t="shared" ref="G24:G25" si="8">IF(SUM(C24:D24),SUM(C24:D24),"")</f>
        <v>176305.42000000004</v>
      </c>
      <c r="H24" s="162">
        <f t="shared" ref="H24:H25" si="9">IF(SUM(E24:F24),SUM(E24:F24),"")</f>
        <v>1945.0000000000002</v>
      </c>
      <c r="J24" s="171"/>
      <c r="K24" s="171"/>
      <c r="L24" s="171"/>
    </row>
    <row r="25" spans="2:13" s="160" customFormat="1" ht="15.75" hidden="1" customHeight="1" x14ac:dyDescent="0.25">
      <c r="B25" s="163">
        <f t="shared" si="5"/>
        <v>45461</v>
      </c>
      <c r="C25" s="164">
        <v>94805.210000000036</v>
      </c>
      <c r="D25" s="164">
        <v>25933.210000000006</v>
      </c>
      <c r="E25" s="164">
        <v>760.00000000000057</v>
      </c>
      <c r="F25" s="164">
        <v>133</v>
      </c>
      <c r="G25" s="164">
        <f t="shared" si="8"/>
        <v>120738.42000000004</v>
      </c>
      <c r="H25" s="164">
        <f t="shared" si="9"/>
        <v>893.00000000000057</v>
      </c>
      <c r="J25" s="169"/>
      <c r="K25" s="169"/>
      <c r="L25" s="169"/>
    </row>
    <row r="26" spans="2:13" s="160" customFormat="1" ht="18" hidden="1" customHeight="1" x14ac:dyDescent="0.25">
      <c r="B26" s="161">
        <f t="shared" si="5"/>
        <v>45492</v>
      </c>
      <c r="C26" s="162">
        <v>132506.31</v>
      </c>
      <c r="D26" s="162">
        <v>78240.929999999978</v>
      </c>
      <c r="E26" s="162">
        <v>1697.9999999999986</v>
      </c>
      <c r="F26" s="162">
        <v>124.99999999999999</v>
      </c>
      <c r="G26" s="162">
        <f t="shared" ref="G26:G27" si="10">IF(SUM(C26:D26),SUM(C26:D26),"")</f>
        <v>210747.24</v>
      </c>
      <c r="H26" s="162">
        <f t="shared" ref="H26:H27" si="11">IF(SUM(E26:F26),SUM(E26:F26),"")</f>
        <v>1822.9999999999986</v>
      </c>
      <c r="J26" s="169"/>
      <c r="K26" s="169"/>
      <c r="L26" s="169"/>
    </row>
    <row r="27" spans="2:13" s="160" customFormat="1" ht="18" hidden="1" customHeight="1" x14ac:dyDescent="0.25">
      <c r="B27" s="163">
        <f t="shared" si="5"/>
        <v>45523</v>
      </c>
      <c r="C27" s="164">
        <v>141720.78000000006</v>
      </c>
      <c r="D27" s="164">
        <v>19112.280000000013</v>
      </c>
      <c r="E27" s="164">
        <v>1264.0000000000011</v>
      </c>
      <c r="F27" s="164">
        <v>74.000000000000014</v>
      </c>
      <c r="G27" s="164">
        <f t="shared" si="10"/>
        <v>160833.06000000006</v>
      </c>
      <c r="H27" s="164">
        <f t="shared" si="11"/>
        <v>1338.0000000000011</v>
      </c>
      <c r="I27" s="169"/>
      <c r="J27" s="174"/>
      <c r="K27" s="174"/>
      <c r="L27" s="174"/>
      <c r="M27" s="169"/>
    </row>
    <row r="28" spans="2:13" s="160" customFormat="1" ht="18" hidden="1" customHeight="1" x14ac:dyDescent="0.25">
      <c r="B28" s="161">
        <f>B27+31</f>
        <v>45554</v>
      </c>
      <c r="C28" s="162">
        <v>131056.97000000007</v>
      </c>
      <c r="D28" s="162">
        <v>40623.090000000004</v>
      </c>
      <c r="E28" s="162">
        <v>1359.9999999999998</v>
      </c>
      <c r="F28" s="162">
        <v>197.00000000000003</v>
      </c>
      <c r="G28" s="162">
        <f t="shared" ref="G28:G29" si="12">IF(SUM(C28:D28),SUM(C28:D28),"")</f>
        <v>171680.06000000008</v>
      </c>
      <c r="H28" s="162">
        <f t="shared" ref="H28:H29" si="13">IF(SUM(E28:F28),SUM(E28:F28),"")</f>
        <v>1556.9999999999998</v>
      </c>
      <c r="I28" s="174"/>
      <c r="J28" s="174"/>
      <c r="K28" s="174"/>
      <c r="L28" s="169"/>
      <c r="M28" s="169"/>
    </row>
    <row r="29" spans="2:13" s="160" customFormat="1" ht="18" hidden="1" customHeight="1" x14ac:dyDescent="0.25">
      <c r="B29" s="163">
        <f>B28+31</f>
        <v>45585</v>
      </c>
      <c r="C29" s="164">
        <v>122659.76000000005</v>
      </c>
      <c r="D29" s="164">
        <v>46992.240000000005</v>
      </c>
      <c r="E29" s="164">
        <v>1392.9999999999998</v>
      </c>
      <c r="F29" s="164">
        <v>83</v>
      </c>
      <c r="G29" s="164">
        <f t="shared" si="12"/>
        <v>169652.00000000006</v>
      </c>
      <c r="H29" s="164">
        <f t="shared" si="13"/>
        <v>1475.9999999999998</v>
      </c>
      <c r="I29" s="169"/>
      <c r="J29" s="169"/>
      <c r="K29" s="169"/>
      <c r="L29" s="169"/>
      <c r="M29" s="169"/>
    </row>
    <row r="30" spans="2:13" s="160" customFormat="1" ht="18" hidden="1" customHeight="1" x14ac:dyDescent="0.25">
      <c r="B30" s="161">
        <f t="shared" ref="B30:B31" si="14">B29+31</f>
        <v>45616</v>
      </c>
      <c r="C30" s="162">
        <v>124605.20000000004</v>
      </c>
      <c r="D30" s="162">
        <v>21222.98</v>
      </c>
      <c r="E30" s="162">
        <v>1474</v>
      </c>
      <c r="F30" s="162">
        <v>55.000000000000007</v>
      </c>
      <c r="G30" s="162">
        <f t="shared" ref="G30" si="15">IF(SUM(C30:D30),SUM(C30:D30),"")</f>
        <v>145828.18000000005</v>
      </c>
      <c r="H30" s="162">
        <f t="shared" ref="H30" si="16">IF(SUM(E30:F30),SUM(E30:F30),"")</f>
        <v>1529</v>
      </c>
      <c r="I30" s="169"/>
      <c r="J30" s="169"/>
      <c r="K30" s="169"/>
      <c r="L30" s="169"/>
      <c r="M30" s="169"/>
    </row>
    <row r="31" spans="2:13" s="160" customFormat="1" ht="18" hidden="1" customHeight="1" thickBot="1" x14ac:dyDescent="0.3">
      <c r="B31" s="163">
        <f t="shared" si="14"/>
        <v>45647</v>
      </c>
      <c r="C31" s="164">
        <v>134900.87999999995</v>
      </c>
      <c r="D31" s="164">
        <v>29497.259999999966</v>
      </c>
      <c r="E31" s="164">
        <v>1257.0000000000002</v>
      </c>
      <c r="F31" s="164">
        <v>82</v>
      </c>
      <c r="G31" s="164">
        <f t="shared" ref="G31" si="17">IF(SUM(C31:D31),SUM(C31:D31),"")</f>
        <v>164398.1399999999</v>
      </c>
      <c r="H31" s="164">
        <f t="shared" ref="H31" si="18">IF(SUM(E31:F31),SUM(E31:F31),"")</f>
        <v>1339.0000000000002</v>
      </c>
      <c r="J31" s="169"/>
      <c r="K31" s="169"/>
      <c r="L31" s="169"/>
      <c r="M31" s="169"/>
    </row>
    <row r="32" spans="2:13" s="160" customFormat="1" ht="18" hidden="1" customHeight="1" thickBot="1" x14ac:dyDescent="0.3">
      <c r="B32" s="177" t="s">
        <v>224</v>
      </c>
      <c r="C32" s="165">
        <f>IF(SUM(C20:C31),SUM(C20:C31),"")</f>
        <v>1409671.4300000002</v>
      </c>
      <c r="D32" s="165">
        <f t="shared" ref="D32:H32" si="19">IF(SUM(D20:D31),SUM(D20:D31),"")</f>
        <v>369608.33999999997</v>
      </c>
      <c r="E32" s="165">
        <f t="shared" si="19"/>
        <v>14938.000000000002</v>
      </c>
      <c r="F32" s="165">
        <f t="shared" si="19"/>
        <v>1212</v>
      </c>
      <c r="G32" s="165">
        <f>IF(SUM(G20:G31),SUM(G20:G31),"")</f>
        <v>1779279.7700000003</v>
      </c>
      <c r="H32" s="165">
        <f t="shared" si="19"/>
        <v>16150.000000000002</v>
      </c>
    </row>
    <row r="33" spans="2:13" s="160" customFormat="1" ht="18" customHeight="1" x14ac:dyDescent="0.25">
      <c r="B33" s="161">
        <f>B31+31</f>
        <v>45678</v>
      </c>
      <c r="C33" s="162">
        <v>103461.97</v>
      </c>
      <c r="D33" s="162">
        <v>10983.309999999994</v>
      </c>
      <c r="E33" s="162">
        <v>932.00000000000034</v>
      </c>
      <c r="F33" s="162">
        <v>86.999999999999986</v>
      </c>
      <c r="G33" s="162">
        <f t="shared" ref="G33:G44" si="20">IF(SUM(C33:D33),SUM(C33:D33),"")</f>
        <v>114445.28</v>
      </c>
      <c r="H33" s="162">
        <f t="shared" ref="H33:H44" si="21">IF(SUM(E33:F33),SUM(E33:F33),"")</f>
        <v>1019.0000000000003</v>
      </c>
    </row>
    <row r="34" spans="2:13" s="160" customFormat="1" ht="18" customHeight="1" x14ac:dyDescent="0.25">
      <c r="B34" s="163">
        <f>B33+31</f>
        <v>45709</v>
      </c>
      <c r="C34" s="187">
        <v>111374.34999999999</v>
      </c>
      <c r="D34" s="187">
        <v>11838.72</v>
      </c>
      <c r="E34" s="187">
        <v>2238</v>
      </c>
      <c r="F34" s="187">
        <v>19.000000000000004</v>
      </c>
      <c r="G34" s="164">
        <f t="shared" si="20"/>
        <v>123213.06999999999</v>
      </c>
      <c r="H34" s="164">
        <f t="shared" si="21"/>
        <v>2257</v>
      </c>
      <c r="J34" s="169"/>
      <c r="K34" s="169"/>
      <c r="L34" s="169"/>
    </row>
    <row r="35" spans="2:13" s="160" customFormat="1" ht="18" customHeight="1" x14ac:dyDescent="0.25">
      <c r="B35" s="161">
        <f t="shared" ref="B35:B40" si="22">B34+31</f>
        <v>45740</v>
      </c>
      <c r="C35" s="162">
        <v>74579.569999999992</v>
      </c>
      <c r="D35" s="162">
        <v>12038.699999999999</v>
      </c>
      <c r="E35" s="162">
        <v>1383.0000000000005</v>
      </c>
      <c r="F35" s="162">
        <v>62.999999999999993</v>
      </c>
      <c r="G35" s="162">
        <f t="shared" si="20"/>
        <v>86618.26999999999</v>
      </c>
      <c r="H35" s="162">
        <f t="shared" si="21"/>
        <v>1446.0000000000005</v>
      </c>
      <c r="J35" s="170"/>
      <c r="K35" s="170"/>
      <c r="L35" s="169"/>
    </row>
    <row r="36" spans="2:13" s="160" customFormat="1" ht="18" customHeight="1" x14ac:dyDescent="0.25">
      <c r="B36" s="163">
        <f t="shared" si="22"/>
        <v>45771</v>
      </c>
      <c r="C36" s="164">
        <v>140468.77000000008</v>
      </c>
      <c r="D36" s="164">
        <v>28105.870000000017</v>
      </c>
      <c r="E36" s="164">
        <v>2118.0000000000005</v>
      </c>
      <c r="F36" s="164">
        <v>58.000000000000021</v>
      </c>
      <c r="G36" s="164">
        <f t="shared" si="20"/>
        <v>168574.6400000001</v>
      </c>
      <c r="H36" s="164">
        <f t="shared" si="21"/>
        <v>2176.0000000000005</v>
      </c>
      <c r="J36" s="166"/>
      <c r="K36" s="166"/>
      <c r="L36" s="166"/>
    </row>
    <row r="37" spans="2:13" s="160" customFormat="1" ht="18" customHeight="1" x14ac:dyDescent="0.25">
      <c r="B37" s="161">
        <f t="shared" si="22"/>
        <v>45802</v>
      </c>
      <c r="C37" s="162">
        <v>115306.14000000003</v>
      </c>
      <c r="D37" s="162">
        <v>42621.149999999987</v>
      </c>
      <c r="E37" s="162">
        <v>1824.0000000000002</v>
      </c>
      <c r="F37" s="162">
        <v>255.00000000000006</v>
      </c>
      <c r="G37" s="162">
        <f t="shared" si="20"/>
        <v>157927.29</v>
      </c>
      <c r="H37" s="162">
        <f t="shared" si="21"/>
        <v>2079.0000000000005</v>
      </c>
      <c r="J37" s="171"/>
      <c r="K37" s="171"/>
      <c r="L37" s="171"/>
    </row>
    <row r="38" spans="2:13" s="160" customFormat="1" ht="15.75" customHeight="1" x14ac:dyDescent="0.25">
      <c r="B38" s="163">
        <f t="shared" si="22"/>
        <v>45833</v>
      </c>
      <c r="C38" s="164">
        <v>113785.50000000001</v>
      </c>
      <c r="D38" s="164">
        <v>10385.08</v>
      </c>
      <c r="E38" s="164">
        <v>1921</v>
      </c>
      <c r="F38" s="164">
        <v>41.999999999999993</v>
      </c>
      <c r="G38" s="164">
        <f t="shared" si="20"/>
        <v>124170.58000000002</v>
      </c>
      <c r="H38" s="164">
        <f t="shared" si="21"/>
        <v>1963</v>
      </c>
      <c r="J38" s="169"/>
      <c r="K38" s="169"/>
      <c r="L38" s="169"/>
    </row>
    <row r="39" spans="2:13" s="160" customFormat="1" ht="18" customHeight="1" x14ac:dyDescent="0.25">
      <c r="B39" s="161">
        <f t="shared" si="22"/>
        <v>45864</v>
      </c>
      <c r="C39" s="162">
        <v>151471.80000000008</v>
      </c>
      <c r="D39" s="162">
        <v>73731.319999999963</v>
      </c>
      <c r="E39" s="162">
        <v>1413.9999999999991</v>
      </c>
      <c r="F39" s="162">
        <v>61</v>
      </c>
      <c r="G39" s="162">
        <f t="shared" si="20"/>
        <v>225203.12000000005</v>
      </c>
      <c r="H39" s="162">
        <f t="shared" si="21"/>
        <v>1474.9999999999991</v>
      </c>
      <c r="J39" s="169"/>
      <c r="K39" s="169"/>
      <c r="L39" s="169"/>
    </row>
    <row r="40" spans="2:13" s="160" customFormat="1" ht="18" customHeight="1" x14ac:dyDescent="0.25">
      <c r="B40" s="163">
        <f t="shared" si="22"/>
        <v>45895</v>
      </c>
      <c r="C40" s="164">
        <v>107052.17999999998</v>
      </c>
      <c r="D40" s="164">
        <v>24263.380000000008</v>
      </c>
      <c r="E40" s="164">
        <v>900.99999999999977</v>
      </c>
      <c r="F40" s="164">
        <v>97</v>
      </c>
      <c r="G40" s="164">
        <f t="shared" si="20"/>
        <v>131315.56</v>
      </c>
      <c r="H40" s="164">
        <f t="shared" si="21"/>
        <v>997.99999999999977</v>
      </c>
      <c r="I40" s="169"/>
      <c r="J40" s="174"/>
      <c r="K40" s="174"/>
      <c r="L40" s="174"/>
      <c r="M40" s="169"/>
    </row>
    <row r="41" spans="2:13" s="160" customFormat="1" ht="18" customHeight="1" x14ac:dyDescent="0.25">
      <c r="B41" s="161">
        <f>B40+31</f>
        <v>45926</v>
      </c>
      <c r="C41" s="162">
        <v>149897.42000000004</v>
      </c>
      <c r="D41" s="162">
        <v>11395.190000000004</v>
      </c>
      <c r="E41" s="162">
        <v>1427</v>
      </c>
      <c r="F41" s="162">
        <v>61</v>
      </c>
      <c r="G41" s="162">
        <f t="shared" si="20"/>
        <v>161292.61000000004</v>
      </c>
      <c r="H41" s="162">
        <f t="shared" si="21"/>
        <v>1488</v>
      </c>
      <c r="I41" s="174"/>
      <c r="J41" s="174"/>
      <c r="K41" s="174"/>
      <c r="L41" s="169"/>
      <c r="M41" s="169"/>
    </row>
    <row r="42" spans="2:13" s="160" customFormat="1" ht="18" customHeight="1" x14ac:dyDescent="0.25">
      <c r="B42" s="163">
        <f>B41+31</f>
        <v>45957</v>
      </c>
      <c r="C42" s="164">
        <v>177871.94999999987</v>
      </c>
      <c r="D42" s="164">
        <v>63828.560000000012</v>
      </c>
      <c r="E42" s="164">
        <v>1486.9999999999995</v>
      </c>
      <c r="F42" s="164">
        <v>78.000000000000028</v>
      </c>
      <c r="G42" s="164">
        <f t="shared" si="20"/>
        <v>241700.50999999989</v>
      </c>
      <c r="H42" s="164">
        <f t="shared" si="21"/>
        <v>1564.9999999999995</v>
      </c>
      <c r="I42" s="169"/>
      <c r="J42" s="169"/>
      <c r="K42" s="169"/>
      <c r="L42" s="169"/>
      <c r="M42" s="169"/>
    </row>
    <row r="43" spans="2:13" s="160" customFormat="1" ht="18" customHeight="1" x14ac:dyDescent="0.25">
      <c r="B43" s="161">
        <f t="shared" ref="B43:B44" si="23">B42+31</f>
        <v>45988</v>
      </c>
      <c r="C43" s="162">
        <v>95296.3</v>
      </c>
      <c r="D43" s="162">
        <v>19647.569999999992</v>
      </c>
      <c r="E43" s="162">
        <v>1303.0000000000002</v>
      </c>
      <c r="F43" s="162">
        <v>179</v>
      </c>
      <c r="G43" s="162">
        <f t="shared" si="20"/>
        <v>114943.87</v>
      </c>
      <c r="H43" s="162">
        <f t="shared" si="21"/>
        <v>1482.0000000000002</v>
      </c>
      <c r="I43" s="169"/>
      <c r="J43" s="169"/>
      <c r="K43" s="169"/>
      <c r="L43" s="169"/>
      <c r="M43" s="169"/>
    </row>
    <row r="44" spans="2:13" s="160" customFormat="1" ht="18" customHeight="1" thickBot="1" x14ac:dyDescent="0.3">
      <c r="B44" s="163">
        <f t="shared" si="23"/>
        <v>46019</v>
      </c>
      <c r="C44" s="164">
        <v>81766.520000000048</v>
      </c>
      <c r="D44" s="164">
        <v>31277.430000000008</v>
      </c>
      <c r="E44" s="164">
        <v>1046.9999999999995</v>
      </c>
      <c r="F44" s="164">
        <v>74.999999999999986</v>
      </c>
      <c r="G44" s="164">
        <f t="shared" si="20"/>
        <v>113043.95000000006</v>
      </c>
      <c r="H44" s="164">
        <f t="shared" si="21"/>
        <v>1121.9999999999995</v>
      </c>
      <c r="J44" s="169"/>
      <c r="K44" s="169"/>
      <c r="L44" s="169"/>
      <c r="M44" s="169"/>
    </row>
    <row r="45" spans="2:13" s="160" customFormat="1" ht="18" customHeight="1" thickBot="1" x14ac:dyDescent="0.3">
      <c r="B45" s="177" t="s">
        <v>225</v>
      </c>
      <c r="C45" s="165">
        <f>IF(SUM(C33:C44),SUM(C33:C44),"")</f>
        <v>1422332.4700000002</v>
      </c>
      <c r="D45" s="165">
        <f t="shared" ref="D45:F45" si="24">IF(SUM(D33:D44),SUM(D33:D44),"")</f>
        <v>340116.27999999997</v>
      </c>
      <c r="E45" s="165">
        <f t="shared" si="24"/>
        <v>17995</v>
      </c>
      <c r="F45" s="165">
        <f t="shared" si="24"/>
        <v>1075</v>
      </c>
      <c r="G45" s="165">
        <f>IF(SUM(G33:G44),SUM(G33:G44),"")</f>
        <v>1762448.7500000002</v>
      </c>
      <c r="H45" s="165">
        <f t="shared" ref="H45" si="25">IF(SUM(H33:H44),SUM(H33:H44),"")</f>
        <v>19070</v>
      </c>
    </row>
    <row r="46" spans="2:13" s="160" customFormat="1" ht="18" customHeight="1" x14ac:dyDescent="0.25">
      <c r="B46" s="161">
        <f>B44+31</f>
        <v>46050</v>
      </c>
      <c r="C46" s="162">
        <v>44999.77999999997</v>
      </c>
      <c r="D46" s="162">
        <v>20288.290000000005</v>
      </c>
      <c r="E46" s="162">
        <v>716.00000000000011</v>
      </c>
      <c r="F46" s="162">
        <v>92</v>
      </c>
      <c r="G46" s="162">
        <f t="shared" ref="G46:G57" si="26">IF(SUM(C46:D46),SUM(C46:D46),"")</f>
        <v>65288.069999999978</v>
      </c>
      <c r="H46" s="162">
        <f t="shared" ref="H46:H57" si="27">IF(SUM(E46:F46),SUM(E46:F46),"")</f>
        <v>808.00000000000011</v>
      </c>
    </row>
    <row r="47" spans="2:13" s="160" customFormat="1" ht="18" customHeight="1" x14ac:dyDescent="0.25">
      <c r="B47" s="163">
        <f>B46+31</f>
        <v>46081</v>
      </c>
      <c r="C47" s="187">
        <v>78988.09</v>
      </c>
      <c r="D47" s="187">
        <v>32936.519999999997</v>
      </c>
      <c r="E47" s="187">
        <v>1244</v>
      </c>
      <c r="F47" s="187">
        <v>41.999999999999993</v>
      </c>
      <c r="G47" s="164">
        <f t="shared" si="26"/>
        <v>111924.60999999999</v>
      </c>
      <c r="H47" s="164">
        <f t="shared" si="27"/>
        <v>1286</v>
      </c>
      <c r="J47" s="169"/>
      <c r="K47" s="169"/>
      <c r="L47" s="169"/>
    </row>
    <row r="48" spans="2:13" s="160" customFormat="1" ht="18" customHeight="1" x14ac:dyDescent="0.25">
      <c r="B48" s="161">
        <f t="shared" ref="B48:B54" si="28">B47+31</f>
        <v>46112</v>
      </c>
      <c r="C48" s="162">
        <v>196872.93999999997</v>
      </c>
      <c r="D48" s="162">
        <v>12508.54999999999</v>
      </c>
      <c r="E48" s="162">
        <v>2133.9999999999973</v>
      </c>
      <c r="F48" s="162">
        <v>57.999999999999993</v>
      </c>
      <c r="G48" s="162">
        <f t="shared" si="26"/>
        <v>209381.48999999996</v>
      </c>
      <c r="H48" s="162">
        <f t="shared" si="27"/>
        <v>2191.9999999999973</v>
      </c>
      <c r="J48" s="170"/>
      <c r="K48" s="170"/>
      <c r="L48" s="169"/>
    </row>
    <row r="49" spans="2:13" s="160" customFormat="1" ht="18" customHeight="1" x14ac:dyDescent="0.25">
      <c r="B49" s="163">
        <f>B48+30</f>
        <v>46142</v>
      </c>
      <c r="C49" s="164">
        <v>73798.640000000014</v>
      </c>
      <c r="D49" s="164">
        <v>78882.60000000002</v>
      </c>
      <c r="E49" s="164">
        <v>695.99999999999943</v>
      </c>
      <c r="F49" s="164">
        <v>515</v>
      </c>
      <c r="G49" s="164">
        <f t="shared" si="26"/>
        <v>152681.24000000005</v>
      </c>
      <c r="H49" s="164">
        <f t="shared" si="27"/>
        <v>1210.9999999999995</v>
      </c>
      <c r="J49" s="166"/>
      <c r="K49" s="166"/>
      <c r="L49" s="166"/>
    </row>
    <row r="50" spans="2:13" s="160" customFormat="1" ht="18" customHeight="1" x14ac:dyDescent="0.25">
      <c r="B50" s="161">
        <f t="shared" si="28"/>
        <v>46173</v>
      </c>
      <c r="C50" s="162">
        <v>71767.369999999981</v>
      </c>
      <c r="D50" s="162">
        <v>34701.450000000004</v>
      </c>
      <c r="E50" s="162">
        <v>630.00000000000057</v>
      </c>
      <c r="F50" s="162">
        <v>48.999999999999993</v>
      </c>
      <c r="G50" s="162">
        <f t="shared" si="26"/>
        <v>106468.81999999998</v>
      </c>
      <c r="H50" s="162">
        <f t="shared" si="27"/>
        <v>679.00000000000057</v>
      </c>
      <c r="J50" s="171"/>
      <c r="K50" s="171"/>
      <c r="L50" s="171"/>
    </row>
    <row r="51" spans="2:13" s="160" customFormat="1" ht="18" customHeight="1" x14ac:dyDescent="0.25">
      <c r="B51" s="163">
        <f>B50+30</f>
        <v>46203</v>
      </c>
      <c r="C51" s="164">
        <v>151289.18000000008</v>
      </c>
      <c r="D51" s="164">
        <v>102140.63999999997</v>
      </c>
      <c r="E51" s="164">
        <v>1944</v>
      </c>
      <c r="F51" s="164">
        <v>49.000000000000007</v>
      </c>
      <c r="G51" s="164">
        <f t="shared" ref="G51" si="29">IF(SUM(C51:D51),SUM(C51:D51),"")</f>
        <v>253429.82000000007</v>
      </c>
      <c r="H51" s="164">
        <f t="shared" ref="H51" si="30">IF(SUM(E51:F51),SUM(E51:F51),"")</f>
        <v>1993</v>
      </c>
      <c r="J51" s="171"/>
      <c r="K51" s="171"/>
      <c r="L51" s="171"/>
    </row>
    <row r="52" spans="2:13" s="160" customFormat="1" ht="15.75" customHeight="1" x14ac:dyDescent="0.25">
      <c r="B52" s="161">
        <f>B50+31</f>
        <v>46204</v>
      </c>
      <c r="C52" s="162"/>
      <c r="D52" s="162"/>
      <c r="E52" s="162"/>
      <c r="F52" s="162"/>
      <c r="G52" s="162" t="str">
        <f t="shared" si="26"/>
        <v/>
      </c>
      <c r="H52" s="162" t="str">
        <f t="shared" si="27"/>
        <v/>
      </c>
      <c r="J52" s="169"/>
      <c r="K52" s="169"/>
      <c r="L52" s="169"/>
    </row>
    <row r="53" spans="2:13" s="160" customFormat="1" ht="18" customHeight="1" x14ac:dyDescent="0.25">
      <c r="B53" s="163">
        <f t="shared" si="28"/>
        <v>46235</v>
      </c>
      <c r="C53" s="164"/>
      <c r="D53" s="164"/>
      <c r="E53" s="164"/>
      <c r="F53" s="164"/>
      <c r="G53" s="164" t="str">
        <f t="shared" si="26"/>
        <v/>
      </c>
      <c r="H53" s="164" t="str">
        <f t="shared" si="27"/>
        <v/>
      </c>
      <c r="J53" s="169"/>
      <c r="K53" s="169"/>
      <c r="L53" s="169"/>
    </row>
    <row r="54" spans="2:13" s="160" customFormat="1" ht="18" customHeight="1" x14ac:dyDescent="0.25">
      <c r="B54" s="161">
        <f t="shared" si="28"/>
        <v>46266</v>
      </c>
      <c r="C54" s="162"/>
      <c r="D54" s="162"/>
      <c r="E54" s="162"/>
      <c r="F54" s="162"/>
      <c r="G54" s="162" t="str">
        <f t="shared" si="26"/>
        <v/>
      </c>
      <c r="H54" s="162" t="str">
        <f t="shared" si="27"/>
        <v/>
      </c>
      <c r="I54" s="169"/>
      <c r="J54" s="174"/>
      <c r="K54" s="174"/>
      <c r="L54" s="174"/>
      <c r="M54" s="169"/>
    </row>
    <row r="55" spans="2:13" s="160" customFormat="1" ht="18" customHeight="1" x14ac:dyDescent="0.25">
      <c r="B55" s="163">
        <f>B54+31</f>
        <v>46297</v>
      </c>
      <c r="C55" s="164"/>
      <c r="D55" s="164"/>
      <c r="E55" s="164"/>
      <c r="F55" s="164"/>
      <c r="G55" s="164" t="str">
        <f t="shared" si="26"/>
        <v/>
      </c>
      <c r="H55" s="164" t="str">
        <f t="shared" si="27"/>
        <v/>
      </c>
      <c r="I55" s="174"/>
      <c r="J55" s="174"/>
      <c r="K55" s="174"/>
      <c r="L55" s="169"/>
      <c r="M55" s="169"/>
    </row>
    <row r="56" spans="2:13" s="160" customFormat="1" ht="18" customHeight="1" x14ac:dyDescent="0.25">
      <c r="B56" s="161">
        <f>B55+31</f>
        <v>46328</v>
      </c>
      <c r="C56" s="162"/>
      <c r="D56" s="162"/>
      <c r="E56" s="162"/>
      <c r="F56" s="162"/>
      <c r="G56" s="162" t="str">
        <f t="shared" si="26"/>
        <v/>
      </c>
      <c r="H56" s="162" t="str">
        <f t="shared" si="27"/>
        <v/>
      </c>
      <c r="I56" s="169"/>
      <c r="J56" s="169"/>
      <c r="K56" s="169"/>
      <c r="L56" s="169"/>
      <c r="M56" s="169"/>
    </row>
    <row r="57" spans="2:13" s="160" customFormat="1" ht="18" customHeight="1" thickBot="1" x14ac:dyDescent="0.3">
      <c r="B57" s="163">
        <f t="shared" ref="B57" si="31">B56+31</f>
        <v>46359</v>
      </c>
      <c r="C57" s="164"/>
      <c r="D57" s="164"/>
      <c r="E57" s="164"/>
      <c r="F57" s="164"/>
      <c r="G57" s="164" t="str">
        <f t="shared" si="26"/>
        <v/>
      </c>
      <c r="H57" s="164" t="str">
        <f t="shared" si="27"/>
        <v/>
      </c>
      <c r="I57" s="169"/>
      <c r="J57" s="169"/>
      <c r="K57" s="169"/>
      <c r="L57" s="169"/>
      <c r="M57" s="169"/>
    </row>
    <row r="58" spans="2:13" s="160" customFormat="1" ht="18" customHeight="1" thickBot="1" x14ac:dyDescent="0.3">
      <c r="B58" s="177" t="s">
        <v>232</v>
      </c>
      <c r="C58" s="165">
        <f t="shared" ref="C58:H58" si="32">IF(SUM(C46:C57),SUM(C46:C57),"")</f>
        <v>617716</v>
      </c>
      <c r="D58" s="165">
        <f t="shared" si="32"/>
        <v>281458.05</v>
      </c>
      <c r="E58" s="165">
        <f t="shared" si="32"/>
        <v>7363.9999999999973</v>
      </c>
      <c r="F58" s="165">
        <f t="shared" si="32"/>
        <v>805</v>
      </c>
      <c r="G58" s="165">
        <f t="shared" si="32"/>
        <v>899174.04999999993</v>
      </c>
      <c r="H58" s="165">
        <f t="shared" si="32"/>
        <v>8168.9999999999973</v>
      </c>
    </row>
    <row r="59" spans="2:13" x14ac:dyDescent="0.2">
      <c r="J59" s="169"/>
      <c r="K59" s="169"/>
      <c r="L59" s="169"/>
      <c r="M59" s="169"/>
    </row>
    <row r="60" spans="2:13" x14ac:dyDescent="0.2">
      <c r="C60" s="166"/>
      <c r="D60" s="166"/>
      <c r="E60" s="167"/>
      <c r="F60" s="167"/>
      <c r="G60" s="166"/>
    </row>
    <row r="61" spans="2:13" x14ac:dyDescent="0.2">
      <c r="C61" s="168"/>
      <c r="D61" s="168"/>
      <c r="E61" s="168"/>
      <c r="F61" s="168"/>
      <c r="G61" s="168"/>
    </row>
    <row r="89" spans="3:5" x14ac:dyDescent="0.2">
      <c r="C89" s="162"/>
      <c r="D89" s="162"/>
      <c r="E89" s="162"/>
    </row>
  </sheetData>
  <mergeCells count="8">
    <mergeCell ref="B4:H4"/>
    <mergeCell ref="B5:B6"/>
    <mergeCell ref="C5:C6"/>
    <mergeCell ref="D5:D6"/>
    <mergeCell ref="E5:E6"/>
    <mergeCell ref="F5:F6"/>
    <mergeCell ref="G5:G6"/>
    <mergeCell ref="H5:H6"/>
  </mergeCells>
  <phoneticPr fontId="0" type="noConversion"/>
  <printOptions horizontalCentered="1" gridLinesSet="0"/>
  <pageMargins left="0.39370078740157483" right="0.15748031496062992" top="0.31496062992125984" bottom="0" header="0" footer="0"/>
  <pageSetup paperSize="9" scale="80" orientation="portrait" r:id="rId1"/>
  <headerFooter alignWithMargins="0"/>
  <ignoredErrors>
    <ignoredError sqref="C59:H59 G20:H20 G21:H21 G22:H22 G23:H23 G24:H24 G25:H25 G26:H26 G27:H27 G28:H28 G29:H29 G30:H30 G31:H31 G33:H33 G34:H34 G35:H35 G36:H36 G37:H37 G38:H38 G39:H39 G40:H40 G41:H41 G42:H42 G43:H43 G44:H44 G46:H46 G47:H47 G48:H48 G49:H49 G50:H50 G51:H51" formulaRange="1"/>
    <ignoredError sqref="G19:H19 G32:H32 G45:H45 B49:B50" formula="1"/>
  </ignoredErrors>
  <drawing r:id="rId2"/>
  <legacyDrawing r:id="rId3"/>
  <oleObjects>
    <mc:AlternateContent xmlns:mc="http://schemas.openxmlformats.org/markup-compatibility/2006">
      <mc:Choice Requires="x14">
        <oleObject shapeId="74756" r:id="rId4">
          <objectPr defaultSize="0" autoPict="0" r:id="rId5">
            <anchor moveWithCells="1" sizeWithCells="1">
              <from>
                <xdr:col>1</xdr:col>
                <xdr:colOff>85725</xdr:colOff>
                <xdr:row>0</xdr:row>
                <xdr:rowOff>381000</xdr:rowOff>
              </from>
              <to>
                <xdr:col>2</xdr:col>
                <xdr:colOff>9525</xdr:colOff>
                <xdr:row>0</xdr:row>
                <xdr:rowOff>971550</xdr:rowOff>
              </to>
            </anchor>
          </objectPr>
        </oleObject>
      </mc:Choice>
      <mc:Fallback>
        <oleObject shapeId="7475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8</vt:i4>
      </vt:variant>
    </vt:vector>
  </HeadingPairs>
  <TitlesOfParts>
    <vt:vector size="17" baseType="lpstr">
      <vt:lpstr>Mapa</vt:lpstr>
      <vt:lpstr>Folha 03 Resid-area </vt:lpstr>
      <vt:lpstr>Folha 04 Resid-Pav </vt:lpstr>
      <vt:lpstr>Folha 05 Resid-zona </vt:lpstr>
      <vt:lpstr>Folha 06 Resid-area </vt:lpstr>
      <vt:lpstr>Folha 07 Resid-Pav </vt:lpstr>
      <vt:lpstr>Folha 08 Resid-zona</vt:lpstr>
      <vt:lpstr>Folha 9 area por bairro </vt:lpstr>
      <vt:lpstr>Folha 10 serie hist </vt:lpstr>
      <vt:lpstr>'Folha 03 Resid-area '!Area_de_impressao</vt:lpstr>
      <vt:lpstr>'Folha 04 Resid-Pav '!Area_de_impressao</vt:lpstr>
      <vt:lpstr>'Folha 05 Resid-zona '!Area_de_impressao</vt:lpstr>
      <vt:lpstr>'Folha 06 Resid-area '!Area_de_impressao</vt:lpstr>
      <vt:lpstr>'Folha 07 Resid-Pav '!Area_de_impressao</vt:lpstr>
      <vt:lpstr>'Folha 08 Resid-zona'!Area_de_impressao</vt:lpstr>
      <vt:lpstr>'Folha 10 serie hist '!Area_de_impressao</vt:lpstr>
      <vt:lpstr>'Folha 9 area por bairro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Kellen</dc:creator>
  <cp:lastModifiedBy>BR-59-2015</cp:lastModifiedBy>
  <cp:lastPrinted>2026-07-23T17:53:43Z</cp:lastPrinted>
  <dcterms:created xsi:type="dcterms:W3CDTF">1999-04-03T22:56:06Z</dcterms:created>
  <dcterms:modified xsi:type="dcterms:W3CDTF">2026-08-27T20:34:23Z</dcterms:modified>
</cp:coreProperties>
</file>