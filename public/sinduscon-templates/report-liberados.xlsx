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embeddings/oleObject2.bin" ContentType="application/vnd.openxmlformats-officedocument.oleObject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embeddings/oleObject3.bin" ContentType="application/vnd.openxmlformats-officedocument.oleObject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embeddings/oleObject4.bin" ContentType="application/vnd.openxmlformats-officedocument.oleObject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embeddings/oleObject5.bin" ContentType="application/vnd.openxmlformats-officedocument.oleObject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embeddings/oleObject6.bin" ContentType="application/vnd.openxmlformats-officedocument.oleObject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8.xml" ContentType="application/vnd.openxmlformats-officedocument.drawing+xml"/>
  <Override PartName="/xl/embeddings/oleObject7.bin" ContentType="application/vnd.openxmlformats-officedocument.oleObject"/>
  <Override PartName="/xl/charts/chart13.xml" ContentType="application/vnd.openxmlformats-officedocument.drawingml.chart+xml"/>
  <Override PartName="/xl/drawings/drawing9.xml" ContentType="application/vnd.openxmlformats-officedocument.drawing+xml"/>
  <Override PartName="/xl/embeddings/oleObject8.bin" ContentType="application/vnd.openxmlformats-officedocument.oleObject"/>
  <Override PartName="/xl/charts/chart14.xml" ContentType="application/vnd.openxmlformats-officedocument.drawingml.chart+xml"/>
  <Override PartName="/xl/drawings/drawing1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\\192.168.1.20\reBRAIN\1. CLIENTES\CLIENTES INSTITUCIONAIS\SINDUSCON - PARANÁ\2026\6.JUNHO\3.Relatórios\"/>
    </mc:Choice>
  </mc:AlternateContent>
  <xr:revisionPtr revIDLastSave="0" documentId="13_ncr:1_{467B7873-102A-4FB1-B7C5-AB69C88CA27B}" xr6:coauthVersionLast="47" xr6:coauthVersionMax="47" xr10:uidLastSave="{00000000-0000-0000-0000-000000000000}"/>
  <bookViews>
    <workbookView xWindow="-120" yWindow="-120" windowWidth="20730" windowHeight="11160" tabRatio="938" firstSheet="1" activeTab="8" xr2:uid="{00000000-000D-0000-FFFF-FFFF00000000}"/>
  </bookViews>
  <sheets>
    <sheet name="Plan1" sheetId="50769" state="hidden" r:id="rId1"/>
    <sheet name="Folha 03 Resid-area" sheetId="50764" r:id="rId2"/>
    <sheet name="Folha 04 Resid-Pav" sheetId="50762" r:id="rId3"/>
    <sheet name="Folha 05 Resid-zona" sheetId="50750" r:id="rId4"/>
    <sheet name="Folha 06 Resid-area" sheetId="50767" r:id="rId5"/>
    <sheet name="Folha 07 Resid-Pav" sheetId="50768" r:id="rId6"/>
    <sheet name="Folha 08 Resid-zona" sheetId="50751" r:id="rId7"/>
    <sheet name="Folha 09 area por bairro" sheetId="50761" r:id="rId8"/>
    <sheet name="Folha 10 serie hist" sheetId="50758" r:id="rId9"/>
  </sheets>
  <definedNames>
    <definedName name="_xlnm.Print_Area" localSheetId="1">'Folha 03 Resid-area'!$A$1:$U$87</definedName>
    <definedName name="_xlnm.Print_Area" localSheetId="2">'Folha 04 Resid-Pav'!$A$1:$K$86</definedName>
    <definedName name="_xlnm.Print_Area" localSheetId="3">'Folha 05 Resid-zona'!$B$1:$P$68</definedName>
    <definedName name="_xlnm.Print_Area" localSheetId="4">'Folha 06 Resid-area'!$A$1:$U$87</definedName>
    <definedName name="_xlnm.Print_Area" localSheetId="5">'Folha 07 Resid-Pav'!$A$1:$K$86</definedName>
    <definedName name="_xlnm.Print_Area" localSheetId="6">'Folha 08 Resid-zona'!$B$1:$P$66</definedName>
    <definedName name="_xlnm.Print_Area" localSheetId="7">'Folha 09 area por bairro'!$A$1:$K$87</definedName>
    <definedName name="_xlnm.Print_Area" localSheetId="8">'Folha 10 serie hist'!$B$1:$H$87</definedName>
  </definedNames>
  <calcPr calcId="181029"/>
</workbook>
</file>

<file path=xl/calcChain.xml><?xml version="1.0" encoding="utf-8"?>
<calcChain xmlns="http://schemas.openxmlformats.org/spreadsheetml/2006/main">
  <c r="H51" i="50758" l="1"/>
  <c r="G51" i="50758"/>
  <c r="O30" i="50751"/>
  <c r="I29" i="50761"/>
  <c r="O29" i="50751"/>
  <c r="B51" i="50758"/>
  <c r="H49" i="50758"/>
  <c r="G49" i="50758"/>
  <c r="O28" i="50751"/>
  <c r="D58" i="50758"/>
  <c r="E58" i="50758"/>
  <c r="F58" i="50758"/>
  <c r="C58" i="50758"/>
  <c r="G7" i="50758"/>
  <c r="H7" i="50758"/>
  <c r="G8" i="50758"/>
  <c r="H8" i="50758"/>
  <c r="G9" i="50758"/>
  <c r="H9" i="50758"/>
  <c r="G10" i="50758"/>
  <c r="H10" i="50758"/>
  <c r="G11" i="50758"/>
  <c r="H11" i="50758"/>
  <c r="G12" i="50758"/>
  <c r="H12" i="50758"/>
  <c r="G13" i="50758"/>
  <c r="H13" i="50758"/>
  <c r="G14" i="50758"/>
  <c r="H14" i="50758"/>
  <c r="G15" i="50758"/>
  <c r="H15" i="50758"/>
  <c r="G16" i="50758"/>
  <c r="H16" i="50758"/>
  <c r="G17" i="50758"/>
  <c r="H17" i="50758"/>
  <c r="G18" i="50758"/>
  <c r="H18" i="50758"/>
  <c r="C19" i="50758"/>
  <c r="D19" i="50758"/>
  <c r="E19" i="50758"/>
  <c r="F19" i="50758"/>
  <c r="H57" i="50758"/>
  <c r="G57" i="50758"/>
  <c r="H56" i="50758"/>
  <c r="G56" i="50758"/>
  <c r="H55" i="50758"/>
  <c r="G55" i="50758"/>
  <c r="H54" i="50758"/>
  <c r="G54" i="50758"/>
  <c r="H53" i="50758"/>
  <c r="G53" i="50758"/>
  <c r="H52" i="50758"/>
  <c r="G52" i="50758"/>
  <c r="H50" i="50758"/>
  <c r="G50" i="50758"/>
  <c r="H48" i="50758"/>
  <c r="G48" i="50758"/>
  <c r="H47" i="50758"/>
  <c r="G47" i="50758"/>
  <c r="H46" i="50758"/>
  <c r="G46" i="50758"/>
  <c r="B20" i="50758"/>
  <c r="B21" i="50758" s="1"/>
  <c r="B22" i="50758" s="1"/>
  <c r="B23" i="50758" s="1"/>
  <c r="B24" i="50758" s="1"/>
  <c r="B25" i="50758" s="1"/>
  <c r="B26" i="50758" s="1"/>
  <c r="B27" i="50758" s="1"/>
  <c r="B28" i="50758" s="1"/>
  <c r="B29" i="50758" s="1"/>
  <c r="B30" i="50758" s="1"/>
  <c r="B31" i="50758" s="1"/>
  <c r="H44" i="50758"/>
  <c r="G44" i="50758"/>
  <c r="G58" i="50758" l="1"/>
  <c r="H58" i="50758"/>
  <c r="G19" i="50758"/>
  <c r="H19" i="50758"/>
  <c r="O20" i="50750"/>
  <c r="G43" i="50758"/>
  <c r="E7" i="50768" l="1"/>
  <c r="E8" i="50768"/>
  <c r="E9" i="50768"/>
  <c r="T50" i="50764"/>
  <c r="S50" i="50764"/>
  <c r="R50" i="50764"/>
  <c r="Q50" i="50764"/>
  <c r="P50" i="50764"/>
  <c r="O50" i="50764"/>
  <c r="N50" i="50764"/>
  <c r="M50" i="50764"/>
  <c r="F45" i="50758"/>
  <c r="E45" i="50758"/>
  <c r="D45" i="50758"/>
  <c r="C45" i="50758"/>
  <c r="H43" i="50758"/>
  <c r="H42" i="50758"/>
  <c r="G42" i="50758"/>
  <c r="H41" i="50758"/>
  <c r="G41" i="50758"/>
  <c r="H40" i="50758"/>
  <c r="G40" i="50758"/>
  <c r="H39" i="50758"/>
  <c r="G39" i="50758"/>
  <c r="H38" i="50758"/>
  <c r="G38" i="50758"/>
  <c r="H37" i="50758"/>
  <c r="G37" i="50758"/>
  <c r="H36" i="50758"/>
  <c r="G36" i="50758"/>
  <c r="H35" i="50758"/>
  <c r="G35" i="50758"/>
  <c r="H34" i="50758"/>
  <c r="G34" i="50758"/>
  <c r="H33" i="50758"/>
  <c r="H26" i="50758"/>
  <c r="G26" i="50758"/>
  <c r="H25" i="50758"/>
  <c r="G25" i="50758"/>
  <c r="H45" i="50758" l="1"/>
  <c r="H68" i="50761"/>
  <c r="I68" i="50761"/>
  <c r="E49" i="50768"/>
  <c r="H23" i="50758"/>
  <c r="G23" i="50758"/>
  <c r="B50" i="50768"/>
  <c r="C50" i="50768"/>
  <c r="D50" i="50768"/>
  <c r="D63" i="50762"/>
  <c r="H68" i="50768"/>
  <c r="H22" i="50758"/>
  <c r="H21" i="50758"/>
  <c r="G22" i="50758"/>
  <c r="G21" i="50758"/>
  <c r="E67" i="50768"/>
  <c r="E36" i="50768"/>
  <c r="E37" i="50768"/>
  <c r="E38" i="50768"/>
  <c r="G20" i="50758"/>
  <c r="H20" i="50758"/>
  <c r="O9" i="50750"/>
  <c r="O10" i="50750"/>
  <c r="O11" i="50750"/>
  <c r="O12" i="50750"/>
  <c r="O13" i="50750"/>
  <c r="O15" i="50750"/>
  <c r="O16" i="50750"/>
  <c r="O17" i="50750"/>
  <c r="O18" i="50750"/>
  <c r="O19" i="50750"/>
  <c r="M22" i="50767"/>
  <c r="N22" i="50767"/>
  <c r="O22" i="50767"/>
  <c r="P22" i="50767"/>
  <c r="Q22" i="50767"/>
  <c r="R22" i="50767"/>
  <c r="S22" i="50767"/>
  <c r="T22" i="50767"/>
  <c r="O35" i="50751"/>
  <c r="H50" i="50768"/>
  <c r="I50" i="50768"/>
  <c r="J50" i="50768"/>
  <c r="H9" i="50761"/>
  <c r="H16" i="50761"/>
  <c r="H22" i="50761"/>
  <c r="H29" i="50761"/>
  <c r="H36" i="50761"/>
  <c r="H44" i="50761"/>
  <c r="H50" i="50761"/>
  <c r="H58" i="50761"/>
  <c r="H64" i="50761"/>
  <c r="C70" i="50761"/>
  <c r="C63" i="50761"/>
  <c r="C56" i="50761"/>
  <c r="C50" i="50761"/>
  <c r="C39" i="50761"/>
  <c r="C33" i="50761"/>
  <c r="C25" i="50761"/>
  <c r="C17" i="50761"/>
  <c r="C10" i="50761"/>
  <c r="O34" i="50751"/>
  <c r="O26" i="50751"/>
  <c r="C70" i="50767"/>
  <c r="D70" i="50767"/>
  <c r="E70" i="50767"/>
  <c r="F70" i="50767"/>
  <c r="H50" i="50762"/>
  <c r="I50" i="50762"/>
  <c r="E21" i="50768"/>
  <c r="I68" i="50762"/>
  <c r="E61" i="50768" l="1"/>
  <c r="J9" i="50768"/>
  <c r="J16" i="50768"/>
  <c r="I16" i="50768"/>
  <c r="J22" i="50768"/>
  <c r="I22" i="50768"/>
  <c r="J29" i="50768"/>
  <c r="I29" i="50768"/>
  <c r="H36" i="50768"/>
  <c r="J44" i="50768"/>
  <c r="I44" i="50768"/>
  <c r="J58" i="50768"/>
  <c r="I58" i="50768"/>
  <c r="D63" i="50768"/>
  <c r="C63" i="50768"/>
  <c r="D56" i="50768"/>
  <c r="C56" i="50768"/>
  <c r="C39" i="50768"/>
  <c r="D33" i="50768"/>
  <c r="C33" i="50768"/>
  <c r="D25" i="50768"/>
  <c r="C25" i="50768"/>
  <c r="D17" i="50768"/>
  <c r="C17" i="50768"/>
  <c r="D10" i="50768"/>
  <c r="C10" i="50768"/>
  <c r="E22" i="50768"/>
  <c r="E77" i="50768"/>
  <c r="E68" i="50768"/>
  <c r="E47" i="50768" l="1"/>
  <c r="E46" i="50768"/>
  <c r="I29" i="50762"/>
  <c r="H16" i="50768"/>
  <c r="E69" i="50768"/>
  <c r="E66" i="50768"/>
  <c r="E60" i="50768"/>
  <c r="E48" i="50768"/>
  <c r="E20" i="50768"/>
  <c r="U48" i="50767"/>
  <c r="F32" i="50758"/>
  <c r="E32" i="50758"/>
  <c r="D32" i="50758"/>
  <c r="C32" i="50758"/>
  <c r="E70" i="50768" l="1"/>
  <c r="H70" i="50761"/>
  <c r="I16" i="50761"/>
  <c r="E69" i="50761"/>
  <c r="E68" i="50761"/>
  <c r="E67" i="50761"/>
  <c r="E66" i="50761"/>
  <c r="E62" i="50761"/>
  <c r="E61" i="50761"/>
  <c r="E60" i="50761"/>
  <c r="E59" i="50761"/>
  <c r="E55" i="50761"/>
  <c r="E54" i="50761"/>
  <c r="E53" i="50761"/>
  <c r="E49" i="50761"/>
  <c r="E48" i="50761"/>
  <c r="E47" i="50761"/>
  <c r="E46" i="50761"/>
  <c r="E45" i="50761"/>
  <c r="E44" i="50761"/>
  <c r="E43" i="50761"/>
  <c r="E42" i="50761"/>
  <c r="E32" i="50761"/>
  <c r="E31" i="50761"/>
  <c r="E30" i="50761"/>
  <c r="E29" i="50761"/>
  <c r="E28" i="50761"/>
  <c r="E24" i="50761"/>
  <c r="E23" i="50761"/>
  <c r="E22" i="50761"/>
  <c r="E21" i="50761"/>
  <c r="E20" i="50761"/>
  <c r="E16" i="50761"/>
  <c r="E15" i="50761"/>
  <c r="E14" i="50761"/>
  <c r="E13" i="50761"/>
  <c r="N20" i="50751"/>
  <c r="O19" i="50751"/>
  <c r="O18" i="50751"/>
  <c r="O17" i="50751"/>
  <c r="O16" i="50751"/>
  <c r="O15" i="50751"/>
  <c r="O14" i="50751"/>
  <c r="O13" i="50751"/>
  <c r="O12" i="50751"/>
  <c r="O11" i="50751"/>
  <c r="O10" i="50751"/>
  <c r="O9" i="50751"/>
  <c r="O8" i="50751"/>
  <c r="E20" i="50751"/>
  <c r="F20" i="50751"/>
  <c r="G20" i="50751"/>
  <c r="H20" i="50751"/>
  <c r="I20" i="50751"/>
  <c r="J20" i="50751"/>
  <c r="K20" i="50751"/>
  <c r="L20" i="50751"/>
  <c r="M20" i="50751"/>
  <c r="C20" i="50751"/>
  <c r="H29" i="50768"/>
  <c r="E59" i="50768"/>
  <c r="E53" i="50768"/>
  <c r="E42" i="50768"/>
  <c r="E32" i="50768"/>
  <c r="E31" i="50768"/>
  <c r="E30" i="50768"/>
  <c r="E29" i="50768"/>
  <c r="E28" i="50768"/>
  <c r="E16" i="50768"/>
  <c r="E15" i="50768"/>
  <c r="E14" i="50768"/>
  <c r="E13" i="50768"/>
  <c r="E70" i="50761" l="1"/>
  <c r="E33" i="50768"/>
  <c r="E17" i="50768"/>
  <c r="O20" i="50751"/>
  <c r="D38" i="50750"/>
  <c r="E38" i="50750"/>
  <c r="F38" i="50750"/>
  <c r="G38" i="50750"/>
  <c r="H38" i="50750"/>
  <c r="I38" i="50750"/>
  <c r="J38" i="50750"/>
  <c r="K38" i="50750"/>
  <c r="L38" i="50750"/>
  <c r="M38" i="50750"/>
  <c r="N38" i="50750"/>
  <c r="D21" i="50750"/>
  <c r="E21" i="50750"/>
  <c r="F21" i="50750"/>
  <c r="G21" i="50750"/>
  <c r="H21" i="50750"/>
  <c r="I21" i="50750"/>
  <c r="J21" i="50750"/>
  <c r="K21" i="50750"/>
  <c r="L21" i="50750"/>
  <c r="M21" i="50750"/>
  <c r="N21" i="50750"/>
  <c r="I16" i="50762"/>
  <c r="H16" i="50762"/>
  <c r="H29" i="50762"/>
  <c r="H68" i="50762"/>
  <c r="E69" i="50762"/>
  <c r="E68" i="50762"/>
  <c r="E67" i="50762"/>
  <c r="E66" i="50762"/>
  <c r="E62" i="50762"/>
  <c r="E61" i="50762"/>
  <c r="E60" i="50762"/>
  <c r="E59" i="50762"/>
  <c r="E55" i="50762"/>
  <c r="E54" i="50762"/>
  <c r="E53" i="50762"/>
  <c r="E49" i="50762"/>
  <c r="E48" i="50762"/>
  <c r="E47" i="50762"/>
  <c r="E46" i="50762"/>
  <c r="E45" i="50762"/>
  <c r="E44" i="50762"/>
  <c r="E43" i="50762"/>
  <c r="E42" i="50762"/>
  <c r="E38" i="50762"/>
  <c r="E37" i="50762"/>
  <c r="E36" i="50762"/>
  <c r="E32" i="50762"/>
  <c r="E31" i="50762"/>
  <c r="E30" i="50762"/>
  <c r="E29" i="50762"/>
  <c r="E28" i="50762"/>
  <c r="E24" i="50762"/>
  <c r="E23" i="50762"/>
  <c r="E22" i="50762"/>
  <c r="E21" i="50762"/>
  <c r="E20" i="50762"/>
  <c r="E16" i="50762"/>
  <c r="E15" i="50762"/>
  <c r="E14" i="50762"/>
  <c r="E13" i="50762"/>
  <c r="I22" i="50761"/>
  <c r="O27" i="50751"/>
  <c r="E63" i="50762" l="1"/>
  <c r="B17" i="50767"/>
  <c r="C17" i="50767"/>
  <c r="D17" i="50767"/>
  <c r="E17" i="50767"/>
  <c r="F17" i="50767"/>
  <c r="G17" i="50767"/>
  <c r="H17" i="50767"/>
  <c r="I17" i="50767"/>
  <c r="M68" i="50767" l="1"/>
  <c r="N68" i="50767"/>
  <c r="O68" i="50767"/>
  <c r="P68" i="50767"/>
  <c r="Q68" i="50767"/>
  <c r="R68" i="50767"/>
  <c r="S68" i="50767"/>
  <c r="T68" i="50767"/>
  <c r="J15" i="50764" l="1"/>
  <c r="J14" i="50764"/>
  <c r="J13" i="50764"/>
  <c r="J8" i="50764" l="1"/>
  <c r="E76" i="50762"/>
  <c r="O25" i="50751" l="1"/>
  <c r="O36" i="50751"/>
  <c r="O33" i="50751"/>
  <c r="O32" i="50751"/>
  <c r="D70" i="50761"/>
  <c r="J69" i="50761"/>
  <c r="J67" i="50761"/>
  <c r="J68" i="50761" s="1"/>
  <c r="I64" i="50761"/>
  <c r="J63" i="50761"/>
  <c r="D63" i="50761"/>
  <c r="J62" i="50761"/>
  <c r="J61" i="50761"/>
  <c r="I58" i="50761"/>
  <c r="J57" i="50761"/>
  <c r="J56" i="50761"/>
  <c r="D56" i="50761"/>
  <c r="J55" i="50761"/>
  <c r="J54" i="50761"/>
  <c r="J53" i="50761"/>
  <c r="I50" i="50761"/>
  <c r="D50" i="50761"/>
  <c r="J49" i="50761"/>
  <c r="J48" i="50761"/>
  <c r="J47" i="50761"/>
  <c r="I44" i="50761"/>
  <c r="J43" i="50761"/>
  <c r="J42" i="50761"/>
  <c r="J41" i="50761"/>
  <c r="J40" i="50761"/>
  <c r="J39" i="50761"/>
  <c r="D39" i="50761"/>
  <c r="E38" i="50761"/>
  <c r="E37" i="50761"/>
  <c r="I36" i="50761"/>
  <c r="E36" i="50761"/>
  <c r="J35" i="50761"/>
  <c r="J34" i="50761"/>
  <c r="J33" i="50761"/>
  <c r="D33" i="50761"/>
  <c r="J32" i="50761"/>
  <c r="J28" i="50761"/>
  <c r="J27" i="50761"/>
  <c r="J26" i="50761"/>
  <c r="J25" i="50761"/>
  <c r="D25" i="50761"/>
  <c r="J21" i="50761"/>
  <c r="J20" i="50761"/>
  <c r="J19" i="50761"/>
  <c r="D17" i="50761"/>
  <c r="J15" i="50761"/>
  <c r="J14" i="50761"/>
  <c r="J13" i="50761"/>
  <c r="J12" i="50761"/>
  <c r="D10" i="50761"/>
  <c r="I9" i="50761"/>
  <c r="E9" i="50761"/>
  <c r="J8" i="50761"/>
  <c r="E8" i="50761"/>
  <c r="J7" i="50761"/>
  <c r="E7" i="50761"/>
  <c r="J6" i="50761"/>
  <c r="E6" i="50761"/>
  <c r="E75" i="50768"/>
  <c r="K67" i="50768"/>
  <c r="K68" i="50768" s="1"/>
  <c r="J64" i="50768"/>
  <c r="J68" i="50768" s="1"/>
  <c r="I64" i="50768"/>
  <c r="I68" i="50768" s="1"/>
  <c r="H64" i="50768"/>
  <c r="K63" i="50768"/>
  <c r="B63" i="50768"/>
  <c r="K62" i="50768"/>
  <c r="E62" i="50768"/>
  <c r="K61" i="50768"/>
  <c r="H58" i="50768"/>
  <c r="K57" i="50768"/>
  <c r="K56" i="50768"/>
  <c r="B56" i="50768"/>
  <c r="K55" i="50768"/>
  <c r="E55" i="50768"/>
  <c r="K54" i="50768"/>
  <c r="E54" i="50768"/>
  <c r="K53" i="50768"/>
  <c r="K49" i="50768"/>
  <c r="K48" i="50768"/>
  <c r="K47" i="50768"/>
  <c r="E45" i="50768"/>
  <c r="H44" i="50768"/>
  <c r="E44" i="50768"/>
  <c r="K43" i="50768"/>
  <c r="E43" i="50768"/>
  <c r="K42" i="50768"/>
  <c r="K41" i="50768"/>
  <c r="K40" i="50768"/>
  <c r="K39" i="50768"/>
  <c r="D39" i="50768"/>
  <c r="B39" i="50768"/>
  <c r="J36" i="50768"/>
  <c r="I36" i="50768"/>
  <c r="K35" i="50768"/>
  <c r="K34" i="50768"/>
  <c r="K33" i="50768"/>
  <c r="B33" i="50768"/>
  <c r="K32" i="50768"/>
  <c r="K28" i="50768"/>
  <c r="K27" i="50768"/>
  <c r="K26" i="50768"/>
  <c r="K25" i="50768"/>
  <c r="B25" i="50768"/>
  <c r="E24" i="50768"/>
  <c r="E23" i="50768"/>
  <c r="H22" i="50768"/>
  <c r="K21" i="50768"/>
  <c r="K20" i="50768"/>
  <c r="K19" i="50768"/>
  <c r="B17" i="50768"/>
  <c r="K15" i="50768"/>
  <c r="K14" i="50768"/>
  <c r="K13" i="50768"/>
  <c r="K12" i="50768"/>
  <c r="B10" i="50768"/>
  <c r="K8" i="50768"/>
  <c r="E10" i="50768"/>
  <c r="K7" i="50768"/>
  <c r="K6" i="50768"/>
  <c r="I70" i="50767"/>
  <c r="H70" i="50767"/>
  <c r="G70" i="50767"/>
  <c r="B70" i="50767"/>
  <c r="J69" i="50767"/>
  <c r="J68" i="50767"/>
  <c r="U67" i="50767"/>
  <c r="U68" i="50767" s="1"/>
  <c r="J67" i="50767"/>
  <c r="J66" i="50767"/>
  <c r="T64" i="50767"/>
  <c r="S64" i="50767"/>
  <c r="R64" i="50767"/>
  <c r="Q64" i="50767"/>
  <c r="P64" i="50767"/>
  <c r="O64" i="50767"/>
  <c r="N64" i="50767"/>
  <c r="M64" i="50767"/>
  <c r="U63" i="50767"/>
  <c r="I63" i="50767"/>
  <c r="H63" i="50767"/>
  <c r="G63" i="50767"/>
  <c r="F63" i="50767"/>
  <c r="E63" i="50767"/>
  <c r="D63" i="50767"/>
  <c r="C63" i="50767"/>
  <c r="B63" i="50767"/>
  <c r="J62" i="50767"/>
  <c r="J61" i="50767"/>
  <c r="J60" i="50767"/>
  <c r="J59" i="50767"/>
  <c r="T58" i="50767"/>
  <c r="S58" i="50767"/>
  <c r="R58" i="50767"/>
  <c r="Q58" i="50767"/>
  <c r="P58" i="50767"/>
  <c r="O58" i="50767"/>
  <c r="N58" i="50767"/>
  <c r="M58" i="50767"/>
  <c r="U57" i="50767"/>
  <c r="U56" i="50767"/>
  <c r="I56" i="50767"/>
  <c r="H56" i="50767"/>
  <c r="G56" i="50767"/>
  <c r="F56" i="50767"/>
  <c r="E56" i="50767"/>
  <c r="D56" i="50767"/>
  <c r="C56" i="50767"/>
  <c r="B56" i="50767"/>
  <c r="U55" i="50767"/>
  <c r="J55" i="50767"/>
  <c r="U54" i="50767"/>
  <c r="J54" i="50767"/>
  <c r="U53" i="50767"/>
  <c r="J53" i="50767"/>
  <c r="T50" i="50767"/>
  <c r="S50" i="50767"/>
  <c r="R50" i="50767"/>
  <c r="Q50" i="50767"/>
  <c r="P50" i="50767"/>
  <c r="O50" i="50767"/>
  <c r="N50" i="50767"/>
  <c r="M50" i="50767"/>
  <c r="I50" i="50767"/>
  <c r="H50" i="50767"/>
  <c r="G50" i="50767"/>
  <c r="F50" i="50767"/>
  <c r="E50" i="50767"/>
  <c r="D50" i="50767"/>
  <c r="C50" i="50767"/>
  <c r="B50" i="50767"/>
  <c r="U49" i="50767"/>
  <c r="J49" i="50767"/>
  <c r="J48" i="50767"/>
  <c r="U47" i="50767"/>
  <c r="J47" i="50767"/>
  <c r="J46" i="50767"/>
  <c r="J45" i="50767"/>
  <c r="T44" i="50767"/>
  <c r="S44" i="50767"/>
  <c r="R44" i="50767"/>
  <c r="Q44" i="50767"/>
  <c r="P44" i="50767"/>
  <c r="O44" i="50767"/>
  <c r="N44" i="50767"/>
  <c r="M44" i="50767"/>
  <c r="J44" i="50767"/>
  <c r="U43" i="50767"/>
  <c r="J43" i="50767"/>
  <c r="U42" i="50767"/>
  <c r="J42" i="50767"/>
  <c r="U41" i="50767"/>
  <c r="U40" i="50767"/>
  <c r="U39" i="50767"/>
  <c r="I39" i="50767"/>
  <c r="H39" i="50767"/>
  <c r="G39" i="50767"/>
  <c r="F39" i="50767"/>
  <c r="E39" i="50767"/>
  <c r="D39" i="50767"/>
  <c r="C39" i="50767"/>
  <c r="B39" i="50767"/>
  <c r="J38" i="50767"/>
  <c r="J37" i="50767"/>
  <c r="T36" i="50767"/>
  <c r="S36" i="50767"/>
  <c r="R36" i="50767"/>
  <c r="Q36" i="50767"/>
  <c r="P36" i="50767"/>
  <c r="O36" i="50767"/>
  <c r="N36" i="50767"/>
  <c r="M36" i="50767"/>
  <c r="J36" i="50767"/>
  <c r="U35" i="50767"/>
  <c r="U34" i="50767"/>
  <c r="U33" i="50767"/>
  <c r="I33" i="50767"/>
  <c r="H33" i="50767"/>
  <c r="G33" i="50767"/>
  <c r="F33" i="50767"/>
  <c r="E33" i="50767"/>
  <c r="D33" i="50767"/>
  <c r="C33" i="50767"/>
  <c r="B33" i="50767"/>
  <c r="U32" i="50767"/>
  <c r="J32" i="50767"/>
  <c r="J31" i="50767"/>
  <c r="J30" i="50767"/>
  <c r="T29" i="50767"/>
  <c r="S29" i="50767"/>
  <c r="R29" i="50767"/>
  <c r="Q29" i="50767"/>
  <c r="P29" i="50767"/>
  <c r="O29" i="50767"/>
  <c r="N29" i="50767"/>
  <c r="M29" i="50767"/>
  <c r="J29" i="50767"/>
  <c r="U28" i="50767"/>
  <c r="J28" i="50767"/>
  <c r="U27" i="50767"/>
  <c r="U26" i="50767"/>
  <c r="U25" i="50767"/>
  <c r="I25" i="50767"/>
  <c r="H25" i="50767"/>
  <c r="G25" i="50767"/>
  <c r="F25" i="50767"/>
  <c r="E25" i="50767"/>
  <c r="D25" i="50767"/>
  <c r="C25" i="50767"/>
  <c r="B25" i="50767"/>
  <c r="J24" i="50767"/>
  <c r="J23" i="50767"/>
  <c r="J22" i="50767"/>
  <c r="U21" i="50767"/>
  <c r="J21" i="50767"/>
  <c r="U20" i="50767"/>
  <c r="J20" i="50767"/>
  <c r="U19" i="50767"/>
  <c r="T16" i="50767"/>
  <c r="S16" i="50767"/>
  <c r="R16" i="50767"/>
  <c r="Q16" i="50767"/>
  <c r="P16" i="50767"/>
  <c r="O16" i="50767"/>
  <c r="N16" i="50767"/>
  <c r="M16" i="50767"/>
  <c r="J16" i="50767"/>
  <c r="U15" i="50767"/>
  <c r="J15" i="50767"/>
  <c r="U14" i="50767"/>
  <c r="J14" i="50767"/>
  <c r="U13" i="50767"/>
  <c r="J13" i="50767"/>
  <c r="U12" i="50767"/>
  <c r="I10" i="50767"/>
  <c r="H10" i="50767"/>
  <c r="G10" i="50767"/>
  <c r="F10" i="50767"/>
  <c r="E10" i="50767"/>
  <c r="D10" i="50767"/>
  <c r="C10" i="50767"/>
  <c r="B10" i="50767"/>
  <c r="T9" i="50767"/>
  <c r="S9" i="50767"/>
  <c r="R9" i="50767"/>
  <c r="Q9" i="50767"/>
  <c r="P9" i="50767"/>
  <c r="O9" i="50767"/>
  <c r="N9" i="50767"/>
  <c r="M9" i="50767"/>
  <c r="J9" i="50767"/>
  <c r="U8" i="50767"/>
  <c r="J8" i="50767"/>
  <c r="U7" i="50767"/>
  <c r="J7" i="50767"/>
  <c r="U6" i="50767"/>
  <c r="J6" i="50767"/>
  <c r="E75" i="50762"/>
  <c r="E74" i="50762"/>
  <c r="D70" i="50762"/>
  <c r="C70" i="50762"/>
  <c r="B70" i="50762"/>
  <c r="J68" i="50762"/>
  <c r="K67" i="50762"/>
  <c r="K68" i="50762" s="1"/>
  <c r="J64" i="50762"/>
  <c r="I64" i="50762"/>
  <c r="H64" i="50762"/>
  <c r="K63" i="50762"/>
  <c r="C63" i="50762"/>
  <c r="B63" i="50762"/>
  <c r="K62" i="50762"/>
  <c r="K61" i="50762"/>
  <c r="J58" i="50762"/>
  <c r="I58" i="50762"/>
  <c r="H58" i="50762"/>
  <c r="K57" i="50762"/>
  <c r="K56" i="50762"/>
  <c r="D56" i="50762"/>
  <c r="C56" i="50762"/>
  <c r="B56" i="50762"/>
  <c r="K55" i="50762"/>
  <c r="K54" i="50762"/>
  <c r="K53" i="50762"/>
  <c r="J50" i="50762"/>
  <c r="D50" i="50762"/>
  <c r="C50" i="50762"/>
  <c r="B50" i="50762"/>
  <c r="K49" i="50762"/>
  <c r="K48" i="50762"/>
  <c r="K47" i="50762"/>
  <c r="J44" i="50762"/>
  <c r="I44" i="50762"/>
  <c r="H44" i="50762"/>
  <c r="K43" i="50762"/>
  <c r="K42" i="50762"/>
  <c r="K41" i="50762"/>
  <c r="K40" i="50762"/>
  <c r="K39" i="50762"/>
  <c r="D39" i="50762"/>
  <c r="C39" i="50762"/>
  <c r="B39" i="50762"/>
  <c r="J36" i="50762"/>
  <c r="I36" i="50762"/>
  <c r="H36" i="50762"/>
  <c r="K35" i="50762"/>
  <c r="K34" i="50762"/>
  <c r="K33" i="50762"/>
  <c r="D33" i="50762"/>
  <c r="C33" i="50762"/>
  <c r="B33" i="50762"/>
  <c r="K32" i="50762"/>
  <c r="J29" i="50762"/>
  <c r="K28" i="50762"/>
  <c r="K27" i="50762"/>
  <c r="K26" i="50762"/>
  <c r="K25" i="50762"/>
  <c r="D25" i="50762"/>
  <c r="C25" i="50762"/>
  <c r="B25" i="50762"/>
  <c r="J22" i="50762"/>
  <c r="I22" i="50762"/>
  <c r="H22" i="50762"/>
  <c r="K21" i="50762"/>
  <c r="K20" i="50762"/>
  <c r="K19" i="50762"/>
  <c r="D17" i="50762"/>
  <c r="C17" i="50762"/>
  <c r="B17" i="50762"/>
  <c r="J16" i="50762"/>
  <c r="K15" i="50762"/>
  <c r="K14" i="50762"/>
  <c r="K13" i="50762"/>
  <c r="K12" i="50762"/>
  <c r="D10" i="50762"/>
  <c r="C10" i="50762"/>
  <c r="B10" i="50762"/>
  <c r="J9" i="50762"/>
  <c r="I9" i="50762"/>
  <c r="H9" i="50762"/>
  <c r="E9" i="50762"/>
  <c r="K8" i="50762"/>
  <c r="E8" i="50762"/>
  <c r="K7" i="50762"/>
  <c r="E7" i="50762"/>
  <c r="K6" i="50762"/>
  <c r="E6" i="50762"/>
  <c r="I70" i="50764"/>
  <c r="H70" i="50764"/>
  <c r="G70" i="50764"/>
  <c r="F70" i="50764"/>
  <c r="E70" i="50764"/>
  <c r="D70" i="50764"/>
  <c r="C70" i="50764"/>
  <c r="B70" i="50764"/>
  <c r="J69" i="50764"/>
  <c r="T68" i="50764"/>
  <c r="S68" i="50764"/>
  <c r="R68" i="50764"/>
  <c r="Q68" i="50764"/>
  <c r="P68" i="50764"/>
  <c r="O68" i="50764"/>
  <c r="N68" i="50764"/>
  <c r="M68" i="50764"/>
  <c r="J68" i="50764"/>
  <c r="U67" i="50764"/>
  <c r="U68" i="50764" s="1"/>
  <c r="J67" i="50764"/>
  <c r="J66" i="50764"/>
  <c r="T64" i="50764"/>
  <c r="S64" i="50764"/>
  <c r="R64" i="50764"/>
  <c r="Q64" i="50764"/>
  <c r="P64" i="50764"/>
  <c r="O64" i="50764"/>
  <c r="N64" i="50764"/>
  <c r="M64" i="50764"/>
  <c r="U63" i="50764"/>
  <c r="I63" i="50764"/>
  <c r="H63" i="50764"/>
  <c r="G63" i="50764"/>
  <c r="F63" i="50764"/>
  <c r="E63" i="50764"/>
  <c r="D63" i="50764"/>
  <c r="C63" i="50764"/>
  <c r="B63" i="50764"/>
  <c r="U62" i="50764"/>
  <c r="J62" i="50764"/>
  <c r="U61" i="50764"/>
  <c r="J61" i="50764"/>
  <c r="J60" i="50764"/>
  <c r="J59" i="50764"/>
  <c r="T58" i="50764"/>
  <c r="S58" i="50764"/>
  <c r="R58" i="50764"/>
  <c r="Q58" i="50764"/>
  <c r="P58" i="50764"/>
  <c r="O58" i="50764"/>
  <c r="N58" i="50764"/>
  <c r="M58" i="50764"/>
  <c r="U57" i="50764"/>
  <c r="U56" i="50764"/>
  <c r="I56" i="50764"/>
  <c r="H56" i="50764"/>
  <c r="G56" i="50764"/>
  <c r="F56" i="50764"/>
  <c r="E56" i="50764"/>
  <c r="D56" i="50764"/>
  <c r="C56" i="50764"/>
  <c r="B56" i="50764"/>
  <c r="U55" i="50764"/>
  <c r="J55" i="50764"/>
  <c r="U54" i="50764"/>
  <c r="J54" i="50764"/>
  <c r="U53" i="50764"/>
  <c r="J53" i="50764"/>
  <c r="I50" i="50764"/>
  <c r="H50" i="50764"/>
  <c r="G50" i="50764"/>
  <c r="F50" i="50764"/>
  <c r="E50" i="50764"/>
  <c r="D50" i="50764"/>
  <c r="C50" i="50764"/>
  <c r="B50" i="50764"/>
  <c r="U49" i="50764"/>
  <c r="J49" i="50764"/>
  <c r="U48" i="50764"/>
  <c r="J48" i="50764"/>
  <c r="U47" i="50764"/>
  <c r="J47" i="50764"/>
  <c r="J46" i="50764"/>
  <c r="J45" i="50764"/>
  <c r="T44" i="50764"/>
  <c r="S44" i="50764"/>
  <c r="R44" i="50764"/>
  <c r="Q44" i="50764"/>
  <c r="P44" i="50764"/>
  <c r="O44" i="50764"/>
  <c r="N44" i="50764"/>
  <c r="M44" i="50764"/>
  <c r="J44" i="50764"/>
  <c r="U43" i="50764"/>
  <c r="J43" i="50764"/>
  <c r="U42" i="50764"/>
  <c r="J42" i="50764"/>
  <c r="U41" i="50764"/>
  <c r="U40" i="50764"/>
  <c r="U39" i="50764"/>
  <c r="I39" i="50764"/>
  <c r="H39" i="50764"/>
  <c r="G39" i="50764"/>
  <c r="F39" i="50764"/>
  <c r="E39" i="50764"/>
  <c r="D39" i="50764"/>
  <c r="C39" i="50764"/>
  <c r="B39" i="50764"/>
  <c r="J38" i="50764"/>
  <c r="J37" i="50764"/>
  <c r="T36" i="50764"/>
  <c r="S36" i="50764"/>
  <c r="R36" i="50764"/>
  <c r="Q36" i="50764"/>
  <c r="P36" i="50764"/>
  <c r="O36" i="50764"/>
  <c r="N36" i="50764"/>
  <c r="M36" i="50764"/>
  <c r="J36" i="50764"/>
  <c r="U35" i="50764"/>
  <c r="U34" i="50764"/>
  <c r="U33" i="50764"/>
  <c r="I33" i="50764"/>
  <c r="H33" i="50764"/>
  <c r="G33" i="50764"/>
  <c r="F33" i="50764"/>
  <c r="E33" i="50764"/>
  <c r="D33" i="50764"/>
  <c r="C33" i="50764"/>
  <c r="B33" i="50764"/>
  <c r="U32" i="50764"/>
  <c r="J32" i="50764"/>
  <c r="J31" i="50764"/>
  <c r="J30" i="50764"/>
  <c r="T29" i="50764"/>
  <c r="S29" i="50764"/>
  <c r="R29" i="50764"/>
  <c r="Q29" i="50764"/>
  <c r="P29" i="50764"/>
  <c r="O29" i="50764"/>
  <c r="N29" i="50764"/>
  <c r="M29" i="50764"/>
  <c r="J29" i="50764"/>
  <c r="U28" i="50764"/>
  <c r="J28" i="50764"/>
  <c r="U27" i="50764"/>
  <c r="U26" i="50764"/>
  <c r="U25" i="50764"/>
  <c r="I25" i="50764"/>
  <c r="H25" i="50764"/>
  <c r="G25" i="50764"/>
  <c r="F25" i="50764"/>
  <c r="E25" i="50764"/>
  <c r="D25" i="50764"/>
  <c r="C25" i="50764"/>
  <c r="B25" i="50764"/>
  <c r="J24" i="50764"/>
  <c r="J23" i="50764"/>
  <c r="T22" i="50764"/>
  <c r="S22" i="50764"/>
  <c r="R22" i="50764"/>
  <c r="Q22" i="50764"/>
  <c r="P22" i="50764"/>
  <c r="O22" i="50764"/>
  <c r="N22" i="50764"/>
  <c r="M22" i="50764"/>
  <c r="J22" i="50764"/>
  <c r="U21" i="50764"/>
  <c r="J21" i="50764"/>
  <c r="U20" i="50764"/>
  <c r="J20" i="50764"/>
  <c r="U19" i="50764"/>
  <c r="I17" i="50764"/>
  <c r="H17" i="50764"/>
  <c r="G17" i="50764"/>
  <c r="F17" i="50764"/>
  <c r="E17" i="50764"/>
  <c r="D17" i="50764"/>
  <c r="C17" i="50764"/>
  <c r="B17" i="50764"/>
  <c r="T16" i="50764"/>
  <c r="S16" i="50764"/>
  <c r="R16" i="50764"/>
  <c r="Q16" i="50764"/>
  <c r="P16" i="50764"/>
  <c r="O16" i="50764"/>
  <c r="N16" i="50764"/>
  <c r="M16" i="50764"/>
  <c r="J16" i="50764"/>
  <c r="U15" i="50764"/>
  <c r="U14" i="50764"/>
  <c r="U13" i="50764"/>
  <c r="U12" i="50764"/>
  <c r="I10" i="50764"/>
  <c r="H10" i="50764"/>
  <c r="G10" i="50764"/>
  <c r="F10" i="50764"/>
  <c r="E10" i="50764"/>
  <c r="D10" i="50764"/>
  <c r="C10" i="50764"/>
  <c r="B10" i="50764"/>
  <c r="T9" i="50764"/>
  <c r="S9" i="50764"/>
  <c r="R9" i="50764"/>
  <c r="Q9" i="50764"/>
  <c r="P9" i="50764"/>
  <c r="O9" i="50764"/>
  <c r="N9" i="50764"/>
  <c r="M9" i="50764"/>
  <c r="J9" i="50764"/>
  <c r="U8" i="50764"/>
  <c r="U7" i="50764"/>
  <c r="J7" i="50764"/>
  <c r="U6" i="50764"/>
  <c r="J6" i="50764"/>
  <c r="O37" i="50751" l="1"/>
  <c r="E10" i="50761"/>
  <c r="I70" i="50762"/>
  <c r="E25" i="50768"/>
  <c r="J64" i="50761"/>
  <c r="K16" i="50768"/>
  <c r="K29" i="50768"/>
  <c r="K44" i="50768"/>
  <c r="E39" i="50768"/>
  <c r="E50" i="50768"/>
  <c r="P70" i="50767"/>
  <c r="S70" i="50767"/>
  <c r="R70" i="50767"/>
  <c r="Q70" i="50767"/>
  <c r="N70" i="50767"/>
  <c r="O70" i="50767"/>
  <c r="T70" i="50767"/>
  <c r="H70" i="50762"/>
  <c r="J70" i="50764"/>
  <c r="J63" i="50764"/>
  <c r="J50" i="50764"/>
  <c r="J33" i="50764"/>
  <c r="M70" i="50767"/>
  <c r="K64" i="50768"/>
  <c r="K58" i="50762"/>
  <c r="E50" i="50762"/>
  <c r="J56" i="50764"/>
  <c r="E63" i="50768"/>
  <c r="K36" i="50762"/>
  <c r="E56" i="50762"/>
  <c r="U64" i="50764"/>
  <c r="J39" i="50764"/>
  <c r="J17" i="50764"/>
  <c r="U22" i="50764"/>
  <c r="E10" i="50762"/>
  <c r="J17" i="50767"/>
  <c r="J25" i="50767"/>
  <c r="U29" i="50767"/>
  <c r="K58" i="50768"/>
  <c r="J29" i="50761"/>
  <c r="E63" i="50761"/>
  <c r="U16" i="50764"/>
  <c r="K9" i="50762"/>
  <c r="K64" i="50762"/>
  <c r="E17" i="50761"/>
  <c r="J50" i="50761"/>
  <c r="U9" i="50764"/>
  <c r="U44" i="50764"/>
  <c r="J70" i="50767"/>
  <c r="E39" i="50761"/>
  <c r="K50" i="50762"/>
  <c r="U9" i="50767"/>
  <c r="E56" i="50768"/>
  <c r="J39" i="50767"/>
  <c r="U58" i="50767"/>
  <c r="K22" i="50768"/>
  <c r="K36" i="50768"/>
  <c r="E56" i="50761"/>
  <c r="J58" i="50761"/>
  <c r="J44" i="50761"/>
  <c r="J36" i="50761"/>
  <c r="J22" i="50761"/>
  <c r="J16" i="50761"/>
  <c r="J9" i="50761"/>
  <c r="I70" i="50761"/>
  <c r="E50" i="50761"/>
  <c r="E33" i="50761"/>
  <c r="E25" i="50761"/>
  <c r="K50" i="50768"/>
  <c r="K9" i="50768"/>
  <c r="U50" i="50767"/>
  <c r="U44" i="50767"/>
  <c r="U36" i="50767"/>
  <c r="U22" i="50767"/>
  <c r="U16" i="50767"/>
  <c r="J63" i="50767"/>
  <c r="J56" i="50767"/>
  <c r="J50" i="50767"/>
  <c r="J33" i="50767"/>
  <c r="J10" i="50767"/>
  <c r="K44" i="50762"/>
  <c r="K29" i="50762"/>
  <c r="K22" i="50762"/>
  <c r="K16" i="50762"/>
  <c r="E70" i="50762"/>
  <c r="E39" i="50762"/>
  <c r="E33" i="50762"/>
  <c r="E25" i="50762"/>
  <c r="E17" i="50762"/>
  <c r="J70" i="50762"/>
  <c r="U58" i="50764"/>
  <c r="U50" i="50764"/>
  <c r="U36" i="50764"/>
  <c r="U29" i="50764"/>
  <c r="O70" i="50764"/>
  <c r="S70" i="50764"/>
  <c r="N70" i="50764"/>
  <c r="P70" i="50764"/>
  <c r="T70" i="50764"/>
  <c r="M70" i="50764"/>
  <c r="Q70" i="50764"/>
  <c r="J25" i="50764"/>
  <c r="J10" i="50764"/>
  <c r="R70" i="50764"/>
  <c r="J70" i="50761" l="1"/>
  <c r="U70" i="50764"/>
  <c r="K70" i="50762"/>
  <c r="O26" i="50750"/>
  <c r="F93" i="50750"/>
  <c r="F92" i="50750"/>
  <c r="F91" i="50750"/>
  <c r="F90" i="50750"/>
  <c r="F89" i="50750"/>
  <c r="F88" i="50750"/>
  <c r="F87" i="50750"/>
  <c r="F86" i="50750"/>
  <c r="F85" i="50750"/>
  <c r="F84" i="50750"/>
  <c r="F83" i="50750"/>
  <c r="C38" i="50750"/>
  <c r="F82" i="50750" s="1"/>
  <c r="C93" i="50750"/>
  <c r="C92" i="50750"/>
  <c r="C91" i="50750"/>
  <c r="C90" i="50750"/>
  <c r="C89" i="50750"/>
  <c r="C88" i="50750"/>
  <c r="C87" i="50750"/>
  <c r="C86" i="50750"/>
  <c r="C85" i="50750"/>
  <c r="C84" i="50750"/>
  <c r="C83" i="50750"/>
  <c r="C21" i="50750"/>
  <c r="C82" i="50750" s="1"/>
  <c r="I37" i="50751"/>
  <c r="F85" i="50751" s="1"/>
  <c r="N37" i="50751"/>
  <c r="F90" i="50751" s="1"/>
  <c r="M37" i="50751"/>
  <c r="F89" i="50751" s="1"/>
  <c r="L37" i="50751"/>
  <c r="F88" i="50751" s="1"/>
  <c r="K37" i="50751"/>
  <c r="F87" i="50751" s="1"/>
  <c r="J37" i="50751"/>
  <c r="F86" i="50751" s="1"/>
  <c r="H37" i="50751"/>
  <c r="F84" i="50751" s="1"/>
  <c r="G37" i="50751"/>
  <c r="F83" i="50751" s="1"/>
  <c r="F37" i="50751"/>
  <c r="F82" i="50751" s="1"/>
  <c r="E37" i="50751"/>
  <c r="F81" i="50751" s="1"/>
  <c r="D37" i="50751"/>
  <c r="F80" i="50751" s="1"/>
  <c r="C37" i="50751"/>
  <c r="F79" i="50751" s="1"/>
  <c r="D20" i="50751"/>
  <c r="C84" i="50751"/>
  <c r="C85" i="50751"/>
  <c r="C86" i="50751"/>
  <c r="C87" i="50751"/>
  <c r="C88" i="50751"/>
  <c r="C89" i="50751"/>
  <c r="C90" i="50751"/>
  <c r="C83" i="50751"/>
  <c r="F91" i="50751" l="1"/>
  <c r="G85" i="50751" s="1"/>
  <c r="C94" i="50750"/>
  <c r="D93" i="50750" s="1"/>
  <c r="F94" i="50750"/>
  <c r="G92" i="50750" s="1"/>
  <c r="G88" i="50751" l="1"/>
  <c r="G86" i="50751"/>
  <c r="G89" i="50751"/>
  <c r="G91" i="50750"/>
  <c r="G88" i="50750"/>
  <c r="G89" i="50750"/>
  <c r="G82" i="50750"/>
  <c r="G86" i="50750"/>
  <c r="G85" i="50750"/>
  <c r="D86" i="50750"/>
  <c r="D85" i="50750"/>
  <c r="D88" i="50750"/>
  <c r="D90" i="50750"/>
  <c r="D89" i="50750"/>
  <c r="D83" i="50750"/>
  <c r="D84" i="50750"/>
  <c r="G80" i="50751"/>
  <c r="G79" i="50751"/>
  <c r="G84" i="50751"/>
  <c r="G93" i="50750"/>
  <c r="G83" i="50750"/>
  <c r="G90" i="50750"/>
  <c r="G87" i="50750"/>
  <c r="D92" i="50750"/>
  <c r="G90" i="50751"/>
  <c r="D91" i="50750"/>
  <c r="G84" i="50750"/>
  <c r="G81" i="50751"/>
  <c r="D82" i="50750"/>
  <c r="D87" i="50750"/>
  <c r="G83" i="50751"/>
  <c r="G87" i="50751"/>
  <c r="G82" i="50751"/>
  <c r="E79" i="50768" l="1"/>
  <c r="E79" i="50762"/>
  <c r="C101" i="50761" l="1"/>
  <c r="E85" i="50762"/>
  <c r="E84" i="50762" l="1"/>
  <c r="B95" i="50764" l="1"/>
  <c r="D119" i="50761" l="1"/>
  <c r="D118" i="50761"/>
  <c r="D117" i="50761"/>
  <c r="D116" i="50761"/>
  <c r="D115" i="50761"/>
  <c r="D114" i="50761"/>
  <c r="D113" i="50761"/>
  <c r="D112" i="50761"/>
  <c r="D111" i="50761"/>
  <c r="D102" i="50761"/>
  <c r="D103" i="50761"/>
  <c r="D104" i="50761"/>
  <c r="D105" i="50761"/>
  <c r="D106" i="50761"/>
  <c r="D107" i="50761"/>
  <c r="D108" i="50761"/>
  <c r="C113" i="50761"/>
  <c r="O27" i="50750"/>
  <c r="O28" i="50750"/>
  <c r="C119" i="50761"/>
  <c r="C118" i="50761"/>
  <c r="C117" i="50761"/>
  <c r="C116" i="50761"/>
  <c r="C114" i="50761"/>
  <c r="C111" i="50761"/>
  <c r="D110" i="50761"/>
  <c r="C110" i="50761"/>
  <c r="D109" i="50761"/>
  <c r="C109" i="50761"/>
  <c r="C108" i="50761"/>
  <c r="C107" i="50761"/>
  <c r="C106" i="50761"/>
  <c r="C105" i="50761"/>
  <c r="C104" i="50761"/>
  <c r="C103" i="50761"/>
  <c r="C102" i="50761"/>
  <c r="D101" i="50761"/>
  <c r="D86" i="50768"/>
  <c r="C86" i="50768"/>
  <c r="B86" i="50768"/>
  <c r="E85" i="50768"/>
  <c r="E84" i="50768"/>
  <c r="E83" i="50768"/>
  <c r="E82" i="50768"/>
  <c r="E81" i="50768"/>
  <c r="E80" i="50768"/>
  <c r="E78" i="50768"/>
  <c r="E76" i="50768"/>
  <c r="E74" i="50768"/>
  <c r="C86" i="50762"/>
  <c r="D86" i="50762"/>
  <c r="B86" i="50762"/>
  <c r="E83" i="50762"/>
  <c r="E81" i="50762"/>
  <c r="E80" i="50762"/>
  <c r="E78" i="50762"/>
  <c r="E77" i="50762"/>
  <c r="B113" i="50764"/>
  <c r="C79" i="50751"/>
  <c r="C80" i="50751"/>
  <c r="C81" i="50751"/>
  <c r="C82" i="50751"/>
  <c r="O29" i="50750"/>
  <c r="P38" i="50750"/>
  <c r="C91" i="50751" l="1"/>
  <c r="D81" i="50751" s="1"/>
  <c r="N96" i="50767"/>
  <c r="N99" i="50767"/>
  <c r="N97" i="50767"/>
  <c r="N100" i="50767"/>
  <c r="N101" i="50767"/>
  <c r="N98" i="50767"/>
  <c r="N102" i="50767"/>
  <c r="N95" i="50767"/>
  <c r="N96" i="50764"/>
  <c r="N98" i="50764"/>
  <c r="N95" i="50764"/>
  <c r="N97" i="50764"/>
  <c r="N99" i="50764"/>
  <c r="B110" i="50767"/>
  <c r="B105" i="50767"/>
  <c r="B107" i="50767"/>
  <c r="B104" i="50767"/>
  <c r="B106" i="50767"/>
  <c r="B102" i="50767"/>
  <c r="B111" i="50767"/>
  <c r="B103" i="50767"/>
  <c r="B97" i="50767"/>
  <c r="B109" i="50767"/>
  <c r="C112" i="50761"/>
  <c r="E112" i="50761" s="1"/>
  <c r="N100" i="50764"/>
  <c r="N102" i="50764"/>
  <c r="N101" i="50764"/>
  <c r="B112" i="50764"/>
  <c r="E111" i="50761"/>
  <c r="B99" i="50767"/>
  <c r="E118" i="50761"/>
  <c r="B110" i="50764"/>
  <c r="B103" i="50764"/>
  <c r="B105" i="50764"/>
  <c r="B109" i="50764"/>
  <c r="B101" i="50767"/>
  <c r="E108" i="50761"/>
  <c r="E105" i="50761"/>
  <c r="E102" i="50761"/>
  <c r="E119" i="50761"/>
  <c r="E110" i="50761"/>
  <c r="E109" i="50761"/>
  <c r="E107" i="50761"/>
  <c r="E103" i="50761"/>
  <c r="E86" i="50768"/>
  <c r="E113" i="50761"/>
  <c r="B107" i="50764"/>
  <c r="E114" i="50761"/>
  <c r="B104" i="50764"/>
  <c r="B106" i="50764"/>
  <c r="E106" i="50761"/>
  <c r="E117" i="50761"/>
  <c r="E116" i="50761"/>
  <c r="E104" i="50761"/>
  <c r="B111" i="50764"/>
  <c r="B98" i="50764"/>
  <c r="E101" i="50761"/>
  <c r="C115" i="50761"/>
  <c r="E115" i="50761" s="1"/>
  <c r="B102" i="50764"/>
  <c r="B101" i="50764"/>
  <c r="B99" i="50764"/>
  <c r="D79" i="50751" l="1"/>
  <c r="D82" i="50751"/>
  <c r="D88" i="50751"/>
  <c r="D85" i="50751"/>
  <c r="D84" i="50751"/>
  <c r="D86" i="50751"/>
  <c r="D89" i="50751"/>
  <c r="D87" i="50751"/>
  <c r="D90" i="50751"/>
  <c r="D83" i="50751"/>
  <c r="D80" i="50751"/>
  <c r="B96" i="50764"/>
  <c r="B113" i="50767"/>
  <c r="AC23" i="50767"/>
  <c r="AD39" i="50767"/>
  <c r="AC33" i="50767"/>
  <c r="AC20" i="50767"/>
  <c r="N103" i="50767"/>
  <c r="O102" i="50767" s="1"/>
  <c r="AC59" i="50767"/>
  <c r="B100" i="50767"/>
  <c r="B95" i="50767"/>
  <c r="AC10" i="50767"/>
  <c r="B98" i="50767"/>
  <c r="B100" i="50764"/>
  <c r="N103" i="50764"/>
  <c r="O97" i="50764" s="1"/>
  <c r="B97" i="50764"/>
  <c r="B108" i="50764"/>
  <c r="AC31" i="50767"/>
  <c r="AD20" i="50767"/>
  <c r="AD57" i="50767"/>
  <c r="AC50" i="50767"/>
  <c r="AD6" i="50767"/>
  <c r="AD7" i="50767"/>
  <c r="AD44" i="50767"/>
  <c r="AD42" i="50767"/>
  <c r="AF65" i="50767"/>
  <c r="AD16" i="50767"/>
  <c r="AC15" i="50767"/>
  <c r="AD11" i="50767"/>
  <c r="AI65" i="50767"/>
  <c r="AD19" i="50767"/>
  <c r="AC34" i="50767"/>
  <c r="AC17" i="50767"/>
  <c r="AC13" i="50767"/>
  <c r="AC22" i="50767"/>
  <c r="AC57" i="50767"/>
  <c r="AD15" i="50767"/>
  <c r="AC27" i="50767"/>
  <c r="AD61" i="50767"/>
  <c r="AD24" i="50767"/>
  <c r="AC42" i="50767"/>
  <c r="AC35" i="50767"/>
  <c r="AC45" i="50767"/>
  <c r="AD29" i="50767"/>
  <c r="AD58" i="50767"/>
  <c r="AD26" i="50767"/>
  <c r="AD38" i="50767"/>
  <c r="AC6" i="50767"/>
  <c r="AD25" i="50767"/>
  <c r="AC46" i="50767"/>
  <c r="AD35" i="50767"/>
  <c r="AC49" i="50767"/>
  <c r="AH65" i="50767"/>
  <c r="AG65" i="50767"/>
  <c r="AD12" i="50767"/>
  <c r="AD32" i="50767"/>
  <c r="AD10" i="50767"/>
  <c r="AC52" i="50767"/>
  <c r="AC53" i="50767"/>
  <c r="AD34" i="50767"/>
  <c r="AC14" i="50767"/>
  <c r="AC16" i="50767"/>
  <c r="AC36" i="50767"/>
  <c r="AD33" i="50767"/>
  <c r="AD21" i="50767"/>
  <c r="AD31" i="50767"/>
  <c r="AD40" i="50767"/>
  <c r="AD55" i="50767"/>
  <c r="AD13" i="50767"/>
  <c r="AE65" i="50767"/>
  <c r="B96" i="50767"/>
  <c r="AD49" i="50767"/>
  <c r="AC24" i="50767"/>
  <c r="AC21" i="50767"/>
  <c r="AD47" i="50767"/>
  <c r="AD22" i="50767"/>
  <c r="B108" i="50767"/>
  <c r="AC41" i="50767"/>
  <c r="AD14" i="50767"/>
  <c r="AC51" i="50767"/>
  <c r="AD23" i="50767"/>
  <c r="AJ65" i="50767"/>
  <c r="AD56" i="50767"/>
  <c r="AD43" i="50767"/>
  <c r="AC25" i="50767"/>
  <c r="AD30" i="50767"/>
  <c r="AC38" i="50767"/>
  <c r="AC28" i="50767"/>
  <c r="E120" i="50761"/>
  <c r="AD41" i="50767"/>
  <c r="AC56" i="50767"/>
  <c r="AC65" i="50767"/>
  <c r="AC58" i="50767"/>
  <c r="AC48" i="50767"/>
  <c r="AC43" i="50767"/>
  <c r="AD65" i="50767"/>
  <c r="AC26" i="50767"/>
  <c r="O95" i="50767" l="1"/>
  <c r="O97" i="50767"/>
  <c r="O96" i="50767"/>
  <c r="O101" i="50767"/>
  <c r="O100" i="50767"/>
  <c r="O99" i="50767"/>
  <c r="O98" i="50767"/>
  <c r="O95" i="50764"/>
  <c r="O96" i="50764"/>
  <c r="O99" i="50764"/>
  <c r="O98" i="50764"/>
  <c r="O102" i="50764"/>
  <c r="O100" i="50764"/>
  <c r="O101" i="50764"/>
  <c r="B114" i="50764"/>
  <c r="C100" i="50764" s="1"/>
  <c r="C101" i="50764" l="1"/>
  <c r="C104" i="50764"/>
  <c r="C103" i="50764"/>
  <c r="C106" i="50764"/>
  <c r="C107" i="50764"/>
  <c r="C110" i="50764"/>
  <c r="C109" i="50764"/>
  <c r="C105" i="50764"/>
  <c r="C102" i="50764"/>
  <c r="C108" i="50764"/>
  <c r="C113" i="50764"/>
  <c r="C97" i="50764"/>
  <c r="C99" i="50764"/>
  <c r="C111" i="50764"/>
  <c r="C96" i="50764"/>
  <c r="C98" i="50764"/>
  <c r="C112" i="50764"/>
  <c r="C95" i="50764"/>
  <c r="G33" i="50758"/>
  <c r="B70" i="50768"/>
  <c r="C70" i="50768"/>
  <c r="D70" i="50768"/>
  <c r="J70" i="50768" s="1"/>
  <c r="H24" i="50758"/>
  <c r="G24" i="50758"/>
  <c r="B33" i="50758"/>
  <c r="B34" i="50758" s="1"/>
  <c r="B35" i="50758" s="1"/>
  <c r="B36" i="50758" s="1"/>
  <c r="B37" i="50758" s="1"/>
  <c r="B38" i="50758" s="1"/>
  <c r="B39" i="50758" s="1"/>
  <c r="B40" i="50758" s="1"/>
  <c r="B41" i="50758" s="1"/>
  <c r="B42" i="50758" s="1"/>
  <c r="B43" i="50758" s="1"/>
  <c r="B44" i="50758" s="1"/>
  <c r="B46" i="50758" s="1"/>
  <c r="B47" i="50758" s="1"/>
  <c r="B48" i="50758" s="1"/>
  <c r="B49" i="50758" s="1"/>
  <c r="B50" i="50758" s="1"/>
  <c r="B52" i="50758" s="1"/>
  <c r="B53" i="50758" s="1"/>
  <c r="B54" i="50758" s="1"/>
  <c r="B55" i="50758" s="1"/>
  <c r="B56" i="50758" s="1"/>
  <c r="B57" i="50758" s="1"/>
  <c r="H9" i="50768"/>
  <c r="I9" i="50768"/>
  <c r="O37" i="50750"/>
  <c r="O36" i="50750"/>
  <c r="O35" i="50750"/>
  <c r="O34" i="50750"/>
  <c r="O33" i="50750"/>
  <c r="O32" i="50750"/>
  <c r="O31" i="50750"/>
  <c r="O30" i="50750"/>
  <c r="O14" i="50750"/>
  <c r="O21" i="50750" s="1"/>
  <c r="E82" i="50762"/>
  <c r="E86" i="50762" s="1"/>
  <c r="H31" i="50758"/>
  <c r="G31" i="50758"/>
  <c r="H30" i="50758"/>
  <c r="G30" i="50758"/>
  <c r="H29" i="50758"/>
  <c r="G29" i="50758"/>
  <c r="H28" i="50758"/>
  <c r="G28" i="50758"/>
  <c r="U61" i="50767"/>
  <c r="U62" i="50767"/>
  <c r="H27" i="50758"/>
  <c r="G27" i="50758"/>
  <c r="O38" i="50750" l="1"/>
  <c r="U64" i="50767"/>
  <c r="G32" i="50758"/>
  <c r="H32" i="50758"/>
  <c r="I70" i="50768"/>
  <c r="H70" i="50768"/>
  <c r="G45" i="50758"/>
  <c r="K70" i="50768" l="1"/>
  <c r="U70" i="50767"/>
  <c r="B112" i="50767"/>
  <c r="B114" i="50767" l="1"/>
  <c r="C112" i="50767" s="1"/>
  <c r="C99" i="50767" l="1"/>
  <c r="C107" i="50767"/>
  <c r="C101" i="50767"/>
  <c r="C104" i="50767"/>
  <c r="C108" i="50767"/>
  <c r="C100" i="50767"/>
  <c r="C103" i="50767"/>
  <c r="C109" i="50767"/>
  <c r="C110" i="50767"/>
  <c r="C106" i="50767"/>
  <c r="C102" i="50767"/>
  <c r="C105" i="50767"/>
  <c r="C95" i="50767"/>
  <c r="C113" i="50767"/>
  <c r="C96" i="50767"/>
  <c r="C111" i="50767"/>
  <c r="C97" i="50767"/>
  <c r="C98" i="50767"/>
</calcChain>
</file>

<file path=xl/sharedStrings.xml><?xml version="1.0" encoding="utf-8"?>
<sst xmlns="http://schemas.openxmlformats.org/spreadsheetml/2006/main" count="970" uniqueCount="238">
  <si>
    <t>TOTAIS</t>
  </si>
  <si>
    <t>Abranches</t>
  </si>
  <si>
    <t>Água Verde</t>
  </si>
  <si>
    <t>Ahú</t>
  </si>
  <si>
    <t>Alto Boqueirão</t>
  </si>
  <si>
    <t>Alto da Glória</t>
  </si>
  <si>
    <t>Atuba</t>
  </si>
  <si>
    <t>Augusta</t>
  </si>
  <si>
    <t>Bacacheri</t>
  </si>
  <si>
    <t>Bairro Alto</t>
  </si>
  <si>
    <t>Batel</t>
  </si>
  <si>
    <t>Bigorrilho</t>
  </si>
  <si>
    <t>Boa Vista</t>
  </si>
  <si>
    <t>Bom Retiro</t>
  </si>
  <si>
    <t>Boqueirão</t>
  </si>
  <si>
    <t>Butiatuvinha</t>
  </si>
  <si>
    <t>Cabral</t>
  </si>
  <si>
    <t>Cachoeira</t>
  </si>
  <si>
    <t>Cajuru</t>
  </si>
  <si>
    <t>Campo Comprido</t>
  </si>
  <si>
    <t>Capão da Imbuía</t>
  </si>
  <si>
    <t>Capão Raso</t>
  </si>
  <si>
    <t>Cascatinha</t>
  </si>
  <si>
    <t>Caximba</t>
  </si>
  <si>
    <t>Centro</t>
  </si>
  <si>
    <t>Centro Cívico</t>
  </si>
  <si>
    <t>Cristo Rei</t>
  </si>
  <si>
    <t>Fanny</t>
  </si>
  <si>
    <t>Fazendinha</t>
  </si>
  <si>
    <t>Ganchinho</t>
  </si>
  <si>
    <t>Guabirotuba</t>
  </si>
  <si>
    <t>Guaíra</t>
  </si>
  <si>
    <t>Hauer</t>
  </si>
  <si>
    <t>Hugo Lange</t>
  </si>
  <si>
    <t>Jardim Botânico</t>
  </si>
  <si>
    <t>Jardim Social</t>
  </si>
  <si>
    <t>Juvevê</t>
  </si>
  <si>
    <t>Lindóia</t>
  </si>
  <si>
    <t>Mercês</t>
  </si>
  <si>
    <t>Mossunguê</t>
  </si>
  <si>
    <t>Novo Mundo</t>
  </si>
  <si>
    <t>Orleans</t>
  </si>
  <si>
    <t>Parolin</t>
  </si>
  <si>
    <t>Pilarzinho</t>
  </si>
  <si>
    <t>Pinheirinho</t>
  </si>
  <si>
    <t>Portão</t>
  </si>
  <si>
    <t>Prado Velho</t>
  </si>
  <si>
    <t>Rebouças</t>
  </si>
  <si>
    <t>Riviera</t>
  </si>
  <si>
    <t>Santa Cândida</t>
  </si>
  <si>
    <t>Santa Felicidade</t>
  </si>
  <si>
    <t>Santa Quitéria</t>
  </si>
  <si>
    <t>Santo Inácio</t>
  </si>
  <si>
    <t>São Braz</t>
  </si>
  <si>
    <t>São Francisco</t>
  </si>
  <si>
    <t>São João</t>
  </si>
  <si>
    <t>São Lourenço</t>
  </si>
  <si>
    <t>São Miguel</t>
  </si>
  <si>
    <t>Seminário</t>
  </si>
  <si>
    <t>Sítio Cercado</t>
  </si>
  <si>
    <t>Taboão</t>
  </si>
  <si>
    <t>Tarumã</t>
  </si>
  <si>
    <t>Tatuquara</t>
  </si>
  <si>
    <t>Tingui</t>
  </si>
  <si>
    <t>Uberaba</t>
  </si>
  <si>
    <t>Umbará</t>
  </si>
  <si>
    <t>Vila Izabel</t>
  </si>
  <si>
    <t>Vista Alegre</t>
  </si>
  <si>
    <t>Xaxim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</si>
  <si>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</si>
  <si>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</si>
  <si>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</si>
  <si>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</si>
  <si>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</si>
  <si>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</si>
  <si>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</si>
  <si>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</si>
  <si>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</si>
  <si>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</si>
  <si>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</si>
  <si>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</si>
  <si>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</si>
  <si>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SETOR I</t>
  </si>
  <si>
    <t>SETOR II</t>
  </si>
  <si>
    <t>SETOR III</t>
  </si>
  <si>
    <t>SETOR IV</t>
  </si>
  <si>
    <t>SETOR V</t>
  </si>
  <si>
    <t>SETORES</t>
  </si>
  <si>
    <t>SubTotal (Setor II)</t>
  </si>
  <si>
    <t>SubTotal (Setor III)</t>
  </si>
  <si>
    <t>SubTotal (Setor IV)</t>
  </si>
  <si>
    <t>SubTotal (Setor V)</t>
  </si>
  <si>
    <t>Até 3 pav.</t>
  </si>
  <si>
    <t>De 4 à 8 pav.</t>
  </si>
  <si>
    <t>ZR-1</t>
  </si>
  <si>
    <t>ZR-2</t>
  </si>
  <si>
    <t>ZR-3</t>
  </si>
  <si>
    <t>Cidade Industrial</t>
  </si>
  <si>
    <t>Campo de Santana</t>
  </si>
  <si>
    <t>Campina do Siqueira</t>
  </si>
  <si>
    <t>Jardim das Américas</t>
  </si>
  <si>
    <t>Lamenha Pequena</t>
  </si>
  <si>
    <t>ZR-4</t>
  </si>
  <si>
    <t>ZC</t>
  </si>
  <si>
    <t>CONEC</t>
  </si>
  <si>
    <r>
      <t>(*)</t>
    </r>
    <r>
      <rPr>
        <b/>
        <sz val="10"/>
        <rFont val="Arial"/>
        <family val="2"/>
      </rPr>
      <t>ZR</t>
    </r>
  </si>
  <si>
    <r>
      <t>(**)</t>
    </r>
    <r>
      <rPr>
        <b/>
        <sz val="10"/>
        <rFont val="Arial"/>
        <family val="2"/>
      </rPr>
      <t>SE</t>
    </r>
  </si>
  <si>
    <t>SubTotal (Setor I)</t>
  </si>
  <si>
    <t>SETOR VI</t>
  </si>
  <si>
    <t>SubTotal (Setor VI)</t>
  </si>
  <si>
    <t>SETOR VII</t>
  </si>
  <si>
    <t>SubTotal (Setor VII)</t>
  </si>
  <si>
    <t>SETOR VIII</t>
  </si>
  <si>
    <t>SubTotal (Setor VIII)</t>
  </si>
  <si>
    <t>SETOR IX</t>
  </si>
  <si>
    <t>SubTotal (Setor IX)</t>
  </si>
  <si>
    <t>SETOR X</t>
  </si>
  <si>
    <t>SubTotal (Setor X)</t>
  </si>
  <si>
    <t>SETOR XI</t>
  </si>
  <si>
    <t>SubTotal (Setor XI)</t>
  </si>
  <si>
    <t>SETOR XII</t>
  </si>
  <si>
    <t>TOTAL (SETORES)</t>
  </si>
  <si>
    <t>Setor I</t>
  </si>
  <si>
    <t>Setor III</t>
  </si>
  <si>
    <t>Setor II</t>
  </si>
  <si>
    <t>Setor IV</t>
  </si>
  <si>
    <t>Setor V</t>
  </si>
  <si>
    <t>Setor VI</t>
  </si>
  <si>
    <t>Setor VII</t>
  </si>
  <si>
    <t>Setor VIII</t>
  </si>
  <si>
    <t>Setor IX</t>
  </si>
  <si>
    <t>Setor X</t>
  </si>
  <si>
    <t>Setor XI</t>
  </si>
  <si>
    <t>Setor XII</t>
  </si>
  <si>
    <t>Totais</t>
  </si>
  <si>
    <t>Até 50</t>
  </si>
  <si>
    <t>50 --| 75</t>
  </si>
  <si>
    <t>75 --| 100</t>
  </si>
  <si>
    <t>100 --| 150</t>
  </si>
  <si>
    <t>150 --| 200</t>
  </si>
  <si>
    <t>200 --| 250</t>
  </si>
  <si>
    <t>250 --| 300</t>
  </si>
  <si>
    <t>acima de 300</t>
  </si>
  <si>
    <t>Área (m²)</t>
  </si>
  <si>
    <t>Notas:</t>
  </si>
  <si>
    <t>50-75</t>
  </si>
  <si>
    <t>75-100</t>
  </si>
  <si>
    <t>100-150</t>
  </si>
  <si>
    <t>150-200</t>
  </si>
  <si>
    <t>200-250</t>
  </si>
  <si>
    <t>250-300</t>
  </si>
  <si>
    <r>
      <t>(**)</t>
    </r>
    <r>
      <rPr>
        <b/>
        <sz val="10"/>
        <color indexed="22"/>
        <rFont val="Arial"/>
        <family val="2"/>
      </rPr>
      <t>SE</t>
    </r>
  </si>
  <si>
    <r>
      <t>(*)</t>
    </r>
    <r>
      <rPr>
        <b/>
        <sz val="10"/>
        <color indexed="22"/>
        <rFont val="Arial"/>
        <family val="2"/>
      </rPr>
      <t>ZR</t>
    </r>
  </si>
  <si>
    <t>Mais de          8 pav.</t>
  </si>
  <si>
    <t>Meses</t>
  </si>
  <si>
    <t xml:space="preserve">Área (m²) Residencial </t>
  </si>
  <si>
    <t>Área (m²) Não Residencial</t>
  </si>
  <si>
    <t>Total de Unidades</t>
  </si>
  <si>
    <t>Global</t>
  </si>
  <si>
    <t>Unid.</t>
  </si>
  <si>
    <t xml:space="preserve">Número de Unidades Residencial </t>
  </si>
  <si>
    <t xml:space="preserve">Número de Unidades Não Residencial </t>
  </si>
  <si>
    <t>Total Área (m²)</t>
  </si>
  <si>
    <t>_____________________________________</t>
  </si>
  <si>
    <t>Pavimentos</t>
  </si>
  <si>
    <t>ZONEAMENTOS DE BAIXA DENSIDADE</t>
  </si>
  <si>
    <t>ZONEAMENTOS DE ALTA DENSIDADE</t>
  </si>
  <si>
    <t xml:space="preserve">SÉRIE TEMPORAL PARA INTENÇÃO DE CONSTRUÇÃO EM CURITIBA </t>
  </si>
  <si>
    <t>Residencial</t>
  </si>
  <si>
    <t>Não Residencial</t>
  </si>
  <si>
    <t>residencial</t>
  </si>
  <si>
    <t>comercial</t>
  </si>
  <si>
    <t>SubTotal (Setor XII)</t>
  </si>
  <si>
    <t>SETOR XIII</t>
  </si>
  <si>
    <t>SubTotal (Setor XIII)</t>
  </si>
  <si>
    <t>SETOR XIV</t>
  </si>
  <si>
    <t>SETOR XV</t>
  </si>
  <si>
    <t>SubTotal (Setor XIV)</t>
  </si>
  <si>
    <t>SubTotal (Setor XV)</t>
  </si>
  <si>
    <t>SETOR XVI</t>
  </si>
  <si>
    <t>SubTotal (Setor XVI)</t>
  </si>
  <si>
    <t>SETOR XVII</t>
  </si>
  <si>
    <t>SubTotal (Setor XVII)</t>
  </si>
  <si>
    <t>SETOR XVIII</t>
  </si>
  <si>
    <t>SubTotal (Setor XVIII)</t>
  </si>
  <si>
    <t>SETOR XIX</t>
  </si>
  <si>
    <t>SubTotal (Setor XIX)</t>
  </si>
  <si>
    <t>Setor XIII</t>
  </si>
  <si>
    <t>Setor XIV</t>
  </si>
  <si>
    <t>Setor XIX</t>
  </si>
  <si>
    <t>Setor        I</t>
  </si>
  <si>
    <t>Setor            II</t>
  </si>
  <si>
    <t>Setor          III</t>
  </si>
  <si>
    <t>Setor      IV</t>
  </si>
  <si>
    <t>Setor      VI</t>
  </si>
  <si>
    <t>Setor      VII</t>
  </si>
  <si>
    <t>Setor      VIII</t>
  </si>
  <si>
    <t>Setor      IX</t>
  </si>
  <si>
    <t>Setor      XI</t>
  </si>
  <si>
    <t>Setor      XII</t>
  </si>
  <si>
    <t>Setor      XIII</t>
  </si>
  <si>
    <t>Setor      XIV</t>
  </si>
  <si>
    <t>Setor      XV</t>
  </si>
  <si>
    <t>Setor      XVI</t>
  </si>
  <si>
    <t>Setor      XVII</t>
  </si>
  <si>
    <t>Setor      XVIII</t>
  </si>
  <si>
    <t>Setor    XIX</t>
  </si>
  <si>
    <t>total</t>
  </si>
  <si>
    <t>Alto da Rua XV</t>
  </si>
  <si>
    <t>Barreirinha</t>
  </si>
  <si>
    <t>Setor          V</t>
  </si>
  <si>
    <t>Setor          X</t>
  </si>
  <si>
    <t xml:space="preserve"> </t>
  </si>
  <si>
    <t>OUTROS ZONEAMENTOS</t>
  </si>
  <si>
    <t>SEHIS</t>
  </si>
  <si>
    <t>PÓLO-LV</t>
  </si>
  <si>
    <t>ZT</t>
  </si>
  <si>
    <t>Outros</t>
  </si>
  <si>
    <r>
      <t>(**)</t>
    </r>
    <r>
      <rPr>
        <sz val="9"/>
        <rFont val="Arial"/>
        <family val="2"/>
      </rPr>
      <t xml:space="preserve"> SE (Setor Especial) - agrupamento das correspondentes zonas: SE, SE-NC, SE-CC, SE-MF, SE-AC, SE-CF, SE-WB, SE-LE, SE-BR116, SE-OS.</t>
    </r>
  </si>
  <si>
    <r>
      <t>(*)</t>
    </r>
    <r>
      <rPr>
        <sz val="9"/>
        <rFont val="Arial"/>
        <family val="2"/>
      </rPr>
      <t xml:space="preserve"> ZR (Zona Residencial) - agrupamento das correspondentes zonas: ZR-SF, ZR-B, ZR-M, ZR-AG, ZR-U, ZR-P, ZROC.</t>
    </r>
  </si>
  <si>
    <t>Mais de 8 pav.</t>
  </si>
  <si>
    <t>NÚMERO DE UNIDADES RESIDENCIAIS LIBERADAS PARA CONSTRUÇÃO -  JANEIRO DE 2022</t>
  </si>
  <si>
    <t>Setor XVIII</t>
  </si>
  <si>
    <t>Total em 2023</t>
  </si>
  <si>
    <t>Total em 2024</t>
  </si>
  <si>
    <t>UNIDADES NÃO RESIDENCIAIS LICENCIADAS - 2025</t>
  </si>
  <si>
    <t>UNIDADES RESIDENCIAIS LICENCIADAS - 2026</t>
  </si>
  <si>
    <t>NÚMERO DE UNIDADES RESIDENCIAIS LICENCIADAS POR ZONA - 2026</t>
  </si>
  <si>
    <t>SOMA DAS ÁREAS (m²) DAS UNIDADES RESIDENCIAIS LICENCIADAS POR ZONA - 2026</t>
  </si>
  <si>
    <t>NÚMERO DE UNIDADES NÃO RESIDENCIAIS LICENCIADAS POR ZONA - 2026</t>
  </si>
  <si>
    <t>SOMA DAS ÁREAS (m²) DAS UNIDADES NÃO RESIDENCIAIS LICENCIADAS POR ZONA - 2026</t>
  </si>
  <si>
    <t>Total em 2025</t>
  </si>
  <si>
    <t>Total em 2026</t>
  </si>
  <si>
    <t>NÚMERO DE UNIDADES RESIDENCIAIS LIBERADAS PARA CONSTRUÇÃO - JANEIRO A JUNHO DE 2026</t>
  </si>
  <si>
    <t>NÚMERO DE UNIDADES RESIDENCIAIS LIBERADAS PARA CONSTRUÇÃO -  JANEIRO A JUNHO DE 2026</t>
  </si>
  <si>
    <t>NÚMERO DE UNIDADES NÃO RESIDENCIAIS LIBERADAS PARA CONSTRUÇÃO - JANEIRO A JUNHO DE 2026</t>
  </si>
  <si>
    <t>NÚMERO DE UNIDADES NÃO RESIDENCIAIS LIBERADAS PARA CONSTRUÇÃO -  JANEIRO A JUNHO DE 2026</t>
  </si>
  <si>
    <t>SOMA DAS ÁREAS LICENCIADAS POR BAIRRO - JANEIRO A JUNHO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</si>
</sst>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[$-416]mmmm\-yy;@"/>
    <numFmt numFmtId="167" formatCode="###0"/>
  </numFmts>
  <fonts count="26" x14ac:knownFonts="1">
    <font>
      <sz val="12"/>
      <name val="Times New Roman"/>
    </font>
    <font>
      <sz val="12"/>
      <name val="Times New Roman"/>
      <family val="1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color indexed="22"/>
      <name val="Arial"/>
      <family val="2"/>
    </font>
    <font>
      <b/>
      <vertAlign val="superscript"/>
      <sz val="10"/>
      <name val="Arial"/>
      <family val="2"/>
    </font>
    <font>
      <sz val="10"/>
      <color indexed="22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8"/>
      <name val="Arial"/>
      <family val="2"/>
    </font>
    <font>
      <sz val="10"/>
      <name val="Times New Roman"/>
      <family val="1"/>
    </font>
    <font>
      <b/>
      <sz val="11"/>
      <color indexed="8"/>
      <name val="Arial"/>
      <family val="2"/>
    </font>
    <font>
      <b/>
      <sz val="10"/>
      <color indexed="22"/>
      <name val="Arial"/>
      <family val="2"/>
    </font>
    <font>
      <sz val="12"/>
      <color indexed="22"/>
      <name val="Times New Roman"/>
      <family val="1"/>
    </font>
    <font>
      <sz val="10"/>
      <color indexed="22"/>
      <name val="Times New Roman"/>
      <family val="1"/>
    </font>
    <font>
      <vertAlign val="superscript"/>
      <sz val="9"/>
      <name val="Arial"/>
      <family val="2"/>
    </font>
    <font>
      <sz val="10"/>
      <color indexed="10"/>
      <name val="Arial"/>
      <family val="2"/>
    </font>
    <font>
      <sz val="10"/>
      <color indexed="55"/>
      <name val="Arial"/>
      <family val="2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8"/>
      <color theme="1"/>
      <name val="Courier New"/>
      <family val="3"/>
    </font>
    <font>
      <b/>
      <sz val="11"/>
      <color theme="1"/>
      <name val="Calibri"/>
      <family val="2"/>
      <scheme val="minor"/>
    </font>
    <font>
      <b/>
      <sz val="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47"/>
      </right>
      <top/>
      <bottom/>
      <diagonal/>
    </border>
    <border>
      <left style="thin">
        <color indexed="47"/>
      </left>
      <right style="thin">
        <color indexed="47"/>
      </right>
      <top/>
      <bottom/>
      <diagonal/>
    </border>
    <border>
      <left style="thin">
        <color indexed="47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9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/>
    <xf numFmtId="165" fontId="7" fillId="0" borderId="0" xfId="0" applyNumberFormat="1" applyFont="1"/>
    <xf numFmtId="0" fontId="7" fillId="0" borderId="0" xfId="0" applyFont="1"/>
    <xf numFmtId="3" fontId="4" fillId="0" borderId="0" xfId="0" applyNumberFormat="1" applyFont="1"/>
    <xf numFmtId="3" fontId="0" fillId="0" borderId="0" xfId="0" applyNumberFormat="1"/>
    <xf numFmtId="0" fontId="8" fillId="0" borderId="0" xfId="0" applyFont="1" applyAlignment="1">
      <alignment horizontal="left"/>
    </xf>
    <xf numFmtId="0" fontId="8" fillId="0" borderId="0" xfId="0" applyFont="1"/>
    <xf numFmtId="3" fontId="4" fillId="0" borderId="0" xfId="2" applyNumberFormat="1" applyFont="1" applyAlignment="1">
      <alignment vertical="center"/>
    </xf>
    <xf numFmtId="3" fontId="9" fillId="0" borderId="0" xfId="2" applyNumberFormat="1" applyFont="1" applyAlignment="1">
      <alignment vertical="center"/>
    </xf>
    <xf numFmtId="3" fontId="3" fillId="0" borderId="0" xfId="2" applyNumberFormat="1" applyFont="1" applyAlignment="1">
      <alignment horizontal="right" vertical="center" indent="2"/>
    </xf>
    <xf numFmtId="164" fontId="3" fillId="0" borderId="0" xfId="2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3" fontId="4" fillId="0" borderId="0" xfId="2" applyNumberFormat="1" applyFont="1" applyAlignment="1">
      <alignment horizontal="right" vertical="center"/>
    </xf>
    <xf numFmtId="0" fontId="4" fillId="0" borderId="0" xfId="0" applyFont="1"/>
    <xf numFmtId="0" fontId="12" fillId="0" borderId="0" xfId="0" applyFont="1" applyAlignment="1">
      <alignment horizontal="center"/>
    </xf>
    <xf numFmtId="3" fontId="8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9" fontId="3" fillId="0" borderId="0" xfId="1" applyFont="1" applyAlignment="1">
      <alignment horizontal="center"/>
    </xf>
    <xf numFmtId="9" fontId="4" fillId="0" borderId="0" xfId="1" applyFont="1" applyAlignment="1">
      <alignment horizontal="center"/>
    </xf>
    <xf numFmtId="9" fontId="3" fillId="0" borderId="0" xfId="1" applyFont="1"/>
    <xf numFmtId="9" fontId="7" fillId="0" borderId="0" xfId="1" applyFont="1"/>
    <xf numFmtId="3" fontId="14" fillId="0" borderId="0" xfId="2" applyNumberFormat="1" applyFont="1" applyAlignment="1">
      <alignment vertical="center"/>
    </xf>
    <xf numFmtId="0" fontId="7" fillId="0" borderId="0" xfId="0" applyFont="1" applyAlignment="1">
      <alignment horizontal="left"/>
    </xf>
    <xf numFmtId="0" fontId="15" fillId="0" borderId="0" xfId="0" applyFont="1"/>
    <xf numFmtId="0" fontId="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8" fillId="0" borderId="2" xfId="0" applyFont="1" applyBorder="1" applyAlignment="1">
      <alignment horizontal="right"/>
    </xf>
    <xf numFmtId="3" fontId="8" fillId="0" borderId="3" xfId="0" applyNumberFormat="1" applyFont="1" applyBorder="1" applyAlignment="1">
      <alignment horizontal="center" vertical="center"/>
    </xf>
    <xf numFmtId="0" fontId="9" fillId="2" borderId="2" xfId="0" applyFont="1" applyFill="1" applyBorder="1" applyAlignment="1">
      <alignment horizontal="right"/>
    </xf>
    <xf numFmtId="3" fontId="9" fillId="2" borderId="3" xfId="0" applyNumberFormat="1" applyFont="1" applyFill="1" applyBorder="1" applyAlignment="1">
      <alignment horizontal="center" vertical="center"/>
    </xf>
    <xf numFmtId="3" fontId="9" fillId="2" borderId="3" xfId="2" applyNumberFormat="1" applyFont="1" applyFill="1" applyBorder="1" applyAlignment="1">
      <alignment horizontal="center" vertical="center"/>
    </xf>
    <xf numFmtId="3" fontId="4" fillId="0" borderId="4" xfId="2" applyNumberFormat="1" applyFont="1" applyBorder="1" applyAlignment="1">
      <alignment horizontal="center" vertical="center"/>
    </xf>
    <xf numFmtId="3" fontId="8" fillId="0" borderId="2" xfId="0" applyNumberFormat="1" applyFont="1" applyBorder="1" applyAlignment="1">
      <alignment horizontal="right"/>
    </xf>
    <xf numFmtId="3" fontId="10" fillId="2" borderId="5" xfId="0" applyNumberFormat="1" applyFont="1" applyFill="1" applyBorder="1" applyAlignment="1">
      <alignment horizontal="center" vertical="center" wrapText="1"/>
    </xf>
    <xf numFmtId="3" fontId="10" fillId="2" borderId="6" xfId="0" applyNumberFormat="1" applyFont="1" applyFill="1" applyBorder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right"/>
    </xf>
    <xf numFmtId="3" fontId="8" fillId="3" borderId="8" xfId="0" applyNumberFormat="1" applyFont="1" applyFill="1" applyBorder="1" applyAlignment="1">
      <alignment horizontal="center" vertical="center"/>
    </xf>
    <xf numFmtId="3" fontId="4" fillId="3" borderId="9" xfId="2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3" fontId="4" fillId="2" borderId="8" xfId="2" applyNumberFormat="1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/>
    </xf>
    <xf numFmtId="3" fontId="3" fillId="0" borderId="3" xfId="2" applyNumberFormat="1" applyFont="1" applyBorder="1" applyAlignment="1">
      <alignment horizontal="center" vertical="center"/>
    </xf>
    <xf numFmtId="3" fontId="3" fillId="3" borderId="8" xfId="2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17" fillId="0" borderId="0" xfId="0" applyFont="1"/>
    <xf numFmtId="3" fontId="8" fillId="0" borderId="4" xfId="0" applyNumberFormat="1" applyFont="1" applyBorder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18" fillId="0" borderId="0" xfId="0" applyFont="1"/>
    <xf numFmtId="3" fontId="3" fillId="0" borderId="3" xfId="0" applyNumberFormat="1" applyFont="1" applyBorder="1" applyAlignment="1">
      <alignment horizontal="center" vertical="center"/>
    </xf>
    <xf numFmtId="3" fontId="4" fillId="2" borderId="9" xfId="2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3" fontId="7" fillId="0" borderId="0" xfId="0" applyNumberFormat="1" applyFont="1" applyAlignment="1">
      <alignment horizontal="left"/>
    </xf>
    <xf numFmtId="9" fontId="7" fillId="0" borderId="0" xfId="1" applyFont="1" applyAlignment="1">
      <alignment horizontal="left"/>
    </xf>
    <xf numFmtId="3" fontId="7" fillId="0" borderId="0" xfId="0" applyNumberFormat="1" applyFont="1"/>
    <xf numFmtId="3" fontId="4" fillId="0" borderId="8" xfId="2" applyNumberFormat="1" applyFont="1" applyBorder="1" applyAlignment="1">
      <alignment horizontal="center" vertical="center"/>
    </xf>
    <xf numFmtId="3" fontId="3" fillId="0" borderId="0" xfId="0" applyNumberFormat="1" applyFont="1"/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3" fontId="3" fillId="3" borderId="0" xfId="0" applyNumberFormat="1" applyFont="1" applyFill="1" applyAlignment="1">
      <alignment horizontal="center" vertical="center" wrapText="1"/>
    </xf>
    <xf numFmtId="166" fontId="4" fillId="2" borderId="16" xfId="0" applyNumberFormat="1" applyFont="1" applyFill="1" applyBorder="1" applyAlignment="1">
      <alignment horizontal="right" vertical="center" wrapText="1"/>
    </xf>
    <xf numFmtId="3" fontId="4" fillId="2" borderId="16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Alignment="1">
      <alignment horizontal="right" vertical="center" wrapText="1"/>
    </xf>
    <xf numFmtId="166" fontId="4" fillId="3" borderId="0" xfId="0" applyNumberFormat="1" applyFont="1" applyFill="1" applyAlignment="1">
      <alignment horizontal="right" vertical="center" wrapText="1"/>
    </xf>
    <xf numFmtId="0" fontId="19" fillId="0" borderId="17" xfId="0" applyFont="1" applyBorder="1"/>
    <xf numFmtId="3" fontId="14" fillId="0" borderId="0" xfId="2" applyNumberFormat="1" applyFont="1" applyAlignment="1">
      <alignment horizontal="right" vertical="center"/>
    </xf>
    <xf numFmtId="3" fontId="5" fillId="0" borderId="0" xfId="0" applyNumberFormat="1" applyFont="1" applyAlignment="1">
      <alignment horizontal="right" vertical="center" wrapText="1"/>
    </xf>
    <xf numFmtId="3" fontId="3" fillId="0" borderId="0" xfId="0" applyNumberFormat="1" applyFont="1" applyAlignment="1">
      <alignment horizontal="right"/>
    </xf>
    <xf numFmtId="3" fontId="19" fillId="0" borderId="17" xfId="0" applyNumberFormat="1" applyFont="1" applyBorder="1" applyAlignment="1">
      <alignment horizontal="right"/>
    </xf>
    <xf numFmtId="3" fontId="19" fillId="0" borderId="17" xfId="2" applyNumberFormat="1" applyFont="1" applyBorder="1" applyAlignment="1">
      <alignment horizontal="right"/>
    </xf>
    <xf numFmtId="3" fontId="7" fillId="0" borderId="0" xfId="0" applyNumberFormat="1" applyFont="1" applyAlignment="1">
      <alignment horizontal="right"/>
    </xf>
    <xf numFmtId="9" fontId="3" fillId="0" borderId="0" xfId="1" applyFont="1" applyAlignment="1">
      <alignment horizontal="center" vertical="center" wrapText="1"/>
    </xf>
    <xf numFmtId="4" fontId="0" fillId="0" borderId="0" xfId="0" applyNumberFormat="1"/>
    <xf numFmtId="0" fontId="8" fillId="0" borderId="3" xfId="0" applyFont="1" applyBorder="1" applyAlignment="1">
      <alignment horizontal="center" vertical="center"/>
    </xf>
    <xf numFmtId="0" fontId="8" fillId="0" borderId="3" xfId="2" applyNumberFormat="1" applyFont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3" xfId="2" applyNumberFormat="1" applyFont="1" applyBorder="1" applyAlignment="1">
      <alignment horizontal="center" vertical="center"/>
    </xf>
    <xf numFmtId="3" fontId="18" fillId="0" borderId="0" xfId="0" applyNumberFormat="1" applyFont="1"/>
    <xf numFmtId="3" fontId="3" fillId="0" borderId="0" xfId="1" applyNumberFormat="1" applyFont="1" applyAlignment="1">
      <alignment horizontal="center" vertical="center" wrapText="1"/>
    </xf>
    <xf numFmtId="3" fontId="3" fillId="0" borderId="0" xfId="0" applyNumberFormat="1" applyFont="1" applyAlignment="1">
      <alignment horizontal="left"/>
    </xf>
    <xf numFmtId="9" fontId="3" fillId="0" borderId="0" xfId="1" applyFont="1" applyAlignment="1">
      <alignment horizontal="left"/>
    </xf>
    <xf numFmtId="0" fontId="8" fillId="3" borderId="0" xfId="0" applyFont="1" applyFill="1" applyAlignment="1">
      <alignment horizontal="center" vertical="center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right"/>
    </xf>
    <xf numFmtId="3" fontId="4" fillId="0" borderId="9" xfId="2" applyNumberFormat="1" applyFont="1" applyBorder="1" applyAlignment="1">
      <alignment horizontal="center" vertical="center"/>
    </xf>
    <xf numFmtId="3" fontId="8" fillId="0" borderId="8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left" indent="2"/>
    </xf>
    <xf numFmtId="0" fontId="20" fillId="0" borderId="0" xfId="0" applyFont="1"/>
    <xf numFmtId="165" fontId="21" fillId="0" borderId="0" xfId="2" applyNumberFormat="1" applyFont="1"/>
    <xf numFmtId="165" fontId="22" fillId="0" borderId="0" xfId="0" applyNumberFormat="1" applyFont="1"/>
    <xf numFmtId="0" fontId="21" fillId="0" borderId="0" xfId="0" applyFont="1"/>
    <xf numFmtId="0" fontId="21" fillId="0" borderId="0" xfId="0" applyFont="1" applyAlignment="1">
      <alignment horizontal="right"/>
    </xf>
    <xf numFmtId="9" fontId="21" fillId="0" borderId="0" xfId="1" applyFont="1"/>
    <xf numFmtId="3" fontId="21" fillId="0" borderId="0" xfId="0" applyNumberFormat="1" applyFont="1"/>
    <xf numFmtId="3" fontId="22" fillId="0" borderId="0" xfId="0" applyNumberFormat="1" applyFont="1"/>
    <xf numFmtId="0" fontId="22" fillId="0" borderId="0" xfId="0" applyFont="1"/>
    <xf numFmtId="3" fontId="9" fillId="0" borderId="3" xfId="0" applyNumberFormat="1" applyFont="1" applyBorder="1" applyAlignment="1">
      <alignment horizontal="left" indent="2"/>
    </xf>
    <xf numFmtId="0" fontId="9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3" fontId="21" fillId="0" borderId="0" xfId="0" applyNumberFormat="1" applyFont="1" applyAlignment="1">
      <alignment horizontal="center" vertical="center" wrapText="1"/>
    </xf>
    <xf numFmtId="165" fontId="21" fillId="0" borderId="0" xfId="0" applyNumberFormat="1" applyFont="1"/>
    <xf numFmtId="0" fontId="9" fillId="3" borderId="22" xfId="0" applyFont="1" applyFill="1" applyBorder="1"/>
    <xf numFmtId="0" fontId="9" fillId="3" borderId="2" xfId="0" applyFont="1" applyFill="1" applyBorder="1"/>
    <xf numFmtId="0" fontId="9" fillId="3" borderId="3" xfId="0" applyFont="1" applyFill="1" applyBorder="1"/>
    <xf numFmtId="0" fontId="9" fillId="3" borderId="4" xfId="0" applyFont="1" applyFill="1" applyBorder="1"/>
    <xf numFmtId="0" fontId="9" fillId="3" borderId="0" xfId="0" applyFont="1" applyFill="1"/>
    <xf numFmtId="3" fontId="8" fillId="0" borderId="0" xfId="0" applyNumberFormat="1" applyFont="1" applyAlignment="1">
      <alignment horizontal="left"/>
    </xf>
    <xf numFmtId="3" fontId="9" fillId="3" borderId="22" xfId="0" applyNumberFormat="1" applyFont="1" applyFill="1" applyBorder="1"/>
    <xf numFmtId="3" fontId="8" fillId="3" borderId="0" xfId="0" applyNumberFormat="1" applyFont="1" applyFill="1" applyAlignment="1">
      <alignment horizontal="right"/>
    </xf>
    <xf numFmtId="3" fontId="9" fillId="0" borderId="0" xfId="0" applyNumberFormat="1" applyFont="1" applyAlignment="1">
      <alignment horizontal="center" vertical="center"/>
    </xf>
    <xf numFmtId="3" fontId="8" fillId="3" borderId="0" xfId="0" applyNumberFormat="1" applyFont="1" applyFill="1" applyAlignment="1">
      <alignment horizontal="center" vertical="center"/>
    </xf>
    <xf numFmtId="3" fontId="9" fillId="3" borderId="0" xfId="0" applyNumberFormat="1" applyFont="1" applyFill="1" applyAlignment="1">
      <alignment horizontal="center" vertical="center"/>
    </xf>
    <xf numFmtId="3" fontId="9" fillId="2" borderId="2" xfId="0" applyNumberFormat="1" applyFont="1" applyFill="1" applyBorder="1" applyAlignment="1">
      <alignment horizontal="right"/>
    </xf>
    <xf numFmtId="3" fontId="8" fillId="0" borderId="0" xfId="0" applyNumberFormat="1" applyFont="1"/>
    <xf numFmtId="3" fontId="9" fillId="3" borderId="2" xfId="0" applyNumberFormat="1" applyFont="1" applyFill="1" applyBorder="1"/>
    <xf numFmtId="0" fontId="9" fillId="0" borderId="3" xfId="0" applyFont="1" applyBorder="1" applyAlignment="1">
      <alignment horizontal="center" vertical="center"/>
    </xf>
    <xf numFmtId="0" fontId="3" fillId="3" borderId="8" xfId="2" applyNumberFormat="1" applyFont="1" applyFill="1" applyBorder="1" applyAlignment="1">
      <alignment horizontal="center" vertical="center"/>
    </xf>
    <xf numFmtId="3" fontId="8" fillId="0" borderId="3" xfId="0" applyNumberFormat="1" applyFont="1" applyBorder="1" applyAlignment="1">
      <alignment horizontal="right" vertical="center"/>
    </xf>
    <xf numFmtId="3" fontId="8" fillId="3" borderId="8" xfId="0" applyNumberFormat="1" applyFont="1" applyFill="1" applyBorder="1" applyAlignment="1">
      <alignment horizontal="right" vertical="center"/>
    </xf>
    <xf numFmtId="3" fontId="8" fillId="0" borderId="0" xfId="0" applyNumberFormat="1" applyFont="1" applyAlignment="1">
      <alignment horizontal="right" vertical="center"/>
    </xf>
    <xf numFmtId="3" fontId="9" fillId="0" borderId="0" xfId="0" applyNumberFormat="1" applyFont="1" applyAlignment="1">
      <alignment horizontal="right" vertical="center"/>
    </xf>
    <xf numFmtId="3" fontId="8" fillId="3" borderId="0" xfId="0" applyNumberFormat="1" applyFont="1" applyFill="1" applyAlignment="1">
      <alignment horizontal="right" vertical="center"/>
    </xf>
    <xf numFmtId="3" fontId="9" fillId="3" borderId="0" xfId="0" applyNumberFormat="1" applyFont="1" applyFill="1" applyAlignment="1">
      <alignment horizontal="right" vertical="center"/>
    </xf>
    <xf numFmtId="3" fontId="9" fillId="2" borderId="3" xfId="0" applyNumberFormat="1" applyFont="1" applyFill="1" applyBorder="1" applyAlignment="1">
      <alignment horizontal="right" vertical="center"/>
    </xf>
    <xf numFmtId="3" fontId="4" fillId="0" borderId="4" xfId="2" applyNumberFormat="1" applyFont="1" applyBorder="1" applyAlignment="1">
      <alignment horizontal="right" vertical="center"/>
    </xf>
    <xf numFmtId="3" fontId="9" fillId="3" borderId="3" xfId="0" applyNumberFormat="1" applyFont="1" applyFill="1" applyBorder="1" applyAlignment="1">
      <alignment horizontal="right"/>
    </xf>
    <xf numFmtId="3" fontId="9" fillId="3" borderId="4" xfId="0" applyNumberFormat="1" applyFont="1" applyFill="1" applyBorder="1" applyAlignment="1">
      <alignment horizontal="right"/>
    </xf>
    <xf numFmtId="3" fontId="9" fillId="2" borderId="3" xfId="2" applyNumberFormat="1" applyFont="1" applyFill="1" applyBorder="1" applyAlignment="1">
      <alignment horizontal="right" vertical="center"/>
    </xf>
    <xf numFmtId="3" fontId="9" fillId="3" borderId="0" xfId="0" applyNumberFormat="1" applyFont="1" applyFill="1" applyAlignment="1">
      <alignment horizontal="right"/>
    </xf>
    <xf numFmtId="3" fontId="3" fillId="3" borderId="8" xfId="0" applyNumberFormat="1" applyFont="1" applyFill="1" applyBorder="1" applyAlignment="1">
      <alignment horizontal="right" vertical="center"/>
    </xf>
    <xf numFmtId="3" fontId="4" fillId="3" borderId="9" xfId="2" applyNumberFormat="1" applyFont="1" applyFill="1" applyBorder="1" applyAlignment="1">
      <alignment horizontal="right" vertical="center"/>
    </xf>
    <xf numFmtId="3" fontId="4" fillId="0" borderId="0" xfId="0" applyNumberFormat="1" applyFont="1" applyAlignment="1">
      <alignment horizontal="right"/>
    </xf>
    <xf numFmtId="3" fontId="9" fillId="0" borderId="0" xfId="2" applyNumberFormat="1" applyFont="1" applyAlignment="1">
      <alignment horizontal="right" vertical="center"/>
    </xf>
    <xf numFmtId="3" fontId="4" fillId="0" borderId="9" xfId="2" applyNumberFormat="1" applyFont="1" applyBorder="1" applyAlignment="1">
      <alignment horizontal="right" vertical="center"/>
    </xf>
    <xf numFmtId="3" fontId="4" fillId="0" borderId="9" xfId="2" applyNumberFormat="1" applyFont="1" applyBorder="1" applyAlignment="1">
      <alignment horizontal="right"/>
    </xf>
    <xf numFmtId="3" fontId="8" fillId="3" borderId="8" xfId="0" applyNumberFormat="1" applyFont="1" applyFill="1" applyBorder="1" applyAlignment="1">
      <alignment horizontal="right"/>
    </xf>
    <xf numFmtId="3" fontId="4" fillId="3" borderId="9" xfId="2" applyNumberFormat="1" applyFont="1" applyFill="1" applyBorder="1" applyAlignment="1">
      <alignment horizontal="right"/>
    </xf>
    <xf numFmtId="4" fontId="3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3" fontId="8" fillId="0" borderId="3" xfId="2" applyNumberFormat="1" applyFont="1" applyBorder="1" applyAlignment="1">
      <alignment horizontal="center" vertical="center"/>
    </xf>
    <xf numFmtId="0" fontId="23" fillId="0" borderId="0" xfId="0" applyFont="1" applyAlignment="1">
      <alignment wrapText="1"/>
    </xf>
    <xf numFmtId="4" fontId="11" fillId="0" borderId="0" xfId="0" applyNumberFormat="1" applyFont="1" applyAlignment="1">
      <alignment wrapText="1"/>
    </xf>
    <xf numFmtId="3" fontId="8" fillId="4" borderId="0" xfId="0" applyNumberFormat="1" applyFont="1" applyFill="1"/>
    <xf numFmtId="3" fontId="4" fillId="4" borderId="0" xfId="2" applyNumberFormat="1" applyFont="1" applyFill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3" fontId="9" fillId="2" borderId="4" xfId="2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3" fontId="9" fillId="0" borderId="4" xfId="0" applyNumberFormat="1" applyFont="1" applyBorder="1" applyAlignment="1">
      <alignment horizontal="center" vertical="center"/>
    </xf>
    <xf numFmtId="3" fontId="9" fillId="2" borderId="4" xfId="0" applyNumberFormat="1" applyFont="1" applyFill="1" applyBorder="1" applyAlignment="1">
      <alignment horizontal="center" vertical="center"/>
    </xf>
    <xf numFmtId="3" fontId="9" fillId="4" borderId="0" xfId="2" applyNumberFormat="1" applyFont="1" applyFill="1" applyAlignment="1">
      <alignment horizontal="center" vertical="center"/>
    </xf>
    <xf numFmtId="3" fontId="9" fillId="0" borderId="4" xfId="0" applyNumberFormat="1" applyFont="1" applyBorder="1" applyAlignment="1">
      <alignment horizontal="right" vertical="center"/>
    </xf>
    <xf numFmtId="3" fontId="9" fillId="3" borderId="9" xfId="0" applyNumberFormat="1" applyFont="1" applyFill="1" applyBorder="1" applyAlignment="1">
      <alignment horizontal="right" vertical="center"/>
    </xf>
    <xf numFmtId="3" fontId="9" fillId="2" borderId="4" xfId="0" applyNumberFormat="1" applyFont="1" applyFill="1" applyBorder="1" applyAlignment="1">
      <alignment horizontal="right" vertical="center"/>
    </xf>
    <xf numFmtId="3" fontId="9" fillId="2" borderId="4" xfId="2" applyNumberFormat="1" applyFont="1" applyFill="1" applyBorder="1" applyAlignment="1">
      <alignment horizontal="right" vertical="center"/>
    </xf>
    <xf numFmtId="3" fontId="9" fillId="0" borderId="0" xfId="0" applyNumberFormat="1" applyFont="1" applyAlignment="1">
      <alignment horizontal="left"/>
    </xf>
    <xf numFmtId="3" fontId="9" fillId="3" borderId="9" xfId="0" applyNumberFormat="1" applyFont="1" applyFill="1" applyBorder="1" applyAlignment="1">
      <alignment horizontal="center" vertical="center"/>
    </xf>
    <xf numFmtId="0" fontId="1" fillId="0" borderId="0" xfId="0" applyFont="1"/>
    <xf numFmtId="3" fontId="22" fillId="0" borderId="0" xfId="0" applyNumberFormat="1" applyFont="1" applyAlignment="1">
      <alignment horizontal="center" vertical="center" wrapText="1"/>
    </xf>
    <xf numFmtId="9" fontId="22" fillId="0" borderId="0" xfId="1" applyFont="1"/>
    <xf numFmtId="0" fontId="22" fillId="0" borderId="0" xfId="0" applyFont="1" applyAlignment="1">
      <alignment horizontal="right"/>
    </xf>
    <xf numFmtId="165" fontId="22" fillId="0" borderId="0" xfId="2" applyNumberFormat="1" applyFont="1"/>
    <xf numFmtId="3" fontId="8" fillId="0" borderId="3" xfId="0" quotePrefix="1" applyNumberFormat="1" applyFont="1" applyBorder="1" applyAlignment="1">
      <alignment horizontal="right" vertical="center"/>
    </xf>
    <xf numFmtId="0" fontId="0" fillId="0" borderId="0" xfId="0" applyAlignment="1">
      <alignment horizontal="left"/>
    </xf>
    <xf numFmtId="0" fontId="24" fillId="5" borderId="24" xfId="0" applyFont="1" applyFill="1" applyBorder="1" applyAlignment="1">
      <alignment horizontal="left"/>
    </xf>
    <xf numFmtId="0" fontId="24" fillId="5" borderId="24" xfId="0" applyFont="1" applyFill="1" applyBorder="1"/>
    <xf numFmtId="167" fontId="8" fillId="0" borderId="3" xfId="0" applyNumberFormat="1" applyFont="1" applyBorder="1" applyAlignment="1">
      <alignment horizontal="center" vertical="center"/>
    </xf>
    <xf numFmtId="167" fontId="8" fillId="3" borderId="8" xfId="0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1" fontId="8" fillId="0" borderId="3" xfId="0" applyNumberFormat="1" applyFont="1" applyBorder="1" applyAlignment="1">
      <alignment horizontal="center" vertical="center"/>
    </xf>
    <xf numFmtId="3" fontId="4" fillId="0" borderId="3" xfId="2" applyNumberFormat="1" applyFont="1" applyBorder="1" applyAlignment="1">
      <alignment horizontal="center" vertical="center"/>
    </xf>
    <xf numFmtId="3" fontId="4" fillId="3" borderId="8" xfId="2" applyNumberFormat="1" applyFont="1" applyFill="1" applyBorder="1" applyAlignment="1">
      <alignment horizontal="center" vertical="center"/>
    </xf>
    <xf numFmtId="3" fontId="9" fillId="2" borderId="15" xfId="0" applyNumberFormat="1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3" fontId="4" fillId="2" borderId="20" xfId="2" applyNumberFormat="1" applyFont="1" applyFill="1" applyBorder="1" applyAlignment="1">
      <alignment horizontal="center" vertical="center"/>
    </xf>
    <xf numFmtId="3" fontId="4" fillId="2" borderId="21" xfId="2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indent="2"/>
    </xf>
    <xf numFmtId="0" fontId="9" fillId="3" borderId="22" xfId="0" applyFont="1" applyFill="1" applyBorder="1" applyAlignment="1">
      <alignment horizontal="left" indent="2"/>
    </xf>
    <xf numFmtId="0" fontId="4" fillId="2" borderId="16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center" vertical="center"/>
    </xf>
    <xf numFmtId="0" fontId="25" fillId="2" borderId="14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left" indent="2"/>
    </xf>
    <xf numFmtId="0" fontId="9" fillId="3" borderId="4" xfId="0" applyFont="1" applyFill="1" applyBorder="1" applyAlignment="1">
      <alignment horizontal="left" indent="2"/>
    </xf>
    <xf numFmtId="0" fontId="9" fillId="3" borderId="0" xfId="0" applyFont="1" applyFill="1" applyAlignment="1">
      <alignment horizontal="left" indent="2"/>
    </xf>
    <xf numFmtId="0" fontId="0" fillId="0" borderId="19" xfId="0" applyBorder="1"/>
    <xf numFmtId="3" fontId="9" fillId="2" borderId="15" xfId="0" applyNumberFormat="1" applyFont="1" applyFill="1" applyBorder="1" applyAlignment="1">
      <alignment horizontal="center" vertical="center"/>
    </xf>
    <xf numFmtId="3" fontId="0" fillId="0" borderId="14" xfId="0" applyNumberFormat="1" applyBorder="1"/>
    <xf numFmtId="3" fontId="0" fillId="0" borderId="21" xfId="0" applyNumberFormat="1" applyBorder="1"/>
    <xf numFmtId="3" fontId="9" fillId="2" borderId="18" xfId="0" applyNumberFormat="1" applyFont="1" applyFill="1" applyBorder="1" applyAlignment="1">
      <alignment horizontal="center" vertical="center"/>
    </xf>
    <xf numFmtId="3" fontId="0" fillId="0" borderId="19" xfId="0" applyNumberFormat="1" applyBorder="1"/>
    <xf numFmtId="0" fontId="13" fillId="2" borderId="16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</cellXfs>
  <cellStyles count="4">
    <cellStyle name="Normal" xfId="0" builtinId="0"/>
    <cellStyle name="Porcentagem" xfId="1" builtinId="5"/>
    <cellStyle name="Vírgula" xfId="2" builtinId="3"/>
    <cellStyle name="Vírgula 2" xfId="3" xr:uid="{00000000-0005-0000-0000-000003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80"/>
      <color rgb="FF5877B4"/>
      <color rgb="FFCC0000"/>
      <color rgb="FF110A3C"/>
      <color rgb="FF283214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900"/>
              <a:t>CLASSIFICAÇÃO POR FAIXA DE ÁREA (m²)</a:t>
            </a:r>
          </a:p>
        </c:rich>
      </c:tx>
      <c:layout>
        <c:manualLayout>
          <c:xMode val="edge"/>
          <c:yMode val="edge"/>
          <c:x val="0.23886391467664675"/>
          <c:y val="2.360827009753823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7061708450415679E-2"/>
          <c:y val="0.10424574426534729"/>
          <c:w val="0.90359251645990002"/>
          <c:h val="0.7435568395427204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33CC"/>
            </a:solidFill>
            <a:ln w="25400">
              <a:noFill/>
            </a:ln>
          </c:spPr>
          <c:invertIfNegative val="0"/>
          <c:dLbls>
            <c:dLbl>
              <c:idx val="0"/>
              <c:layout>
                <c:manualLayout>
                  <c:x val="-4.7913487407137672E-3"/>
                  <c:y val="9.673689864009129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E79-46A6-AACB-EDCE0EF9A745}"/>
                </c:ext>
              </c:extLst>
            </c:dLbl>
            <c:dLbl>
              <c:idx val="1"/>
              <c:layout>
                <c:manualLayout>
                  <c:x val="-9.1035626073561742E-4"/>
                  <c:y val="1.07063938183644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79-46A6-AACB-EDCE0EF9A745}"/>
                </c:ext>
              </c:extLst>
            </c:dLbl>
            <c:dLbl>
              <c:idx val="2"/>
              <c:layout>
                <c:manualLayout>
                  <c:x val="6.2550901748722309E-3"/>
                  <c:y val="1.26908268958493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79-46A6-AACB-EDCE0EF9A745}"/>
                </c:ext>
              </c:extLst>
            </c:dLbl>
            <c:dLbl>
              <c:idx val="3"/>
              <c:layout>
                <c:manualLayout>
                  <c:x val="-3.1117813675627286E-3"/>
                  <c:y val="1.94465043454299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E79-46A6-AACB-EDCE0EF9A745}"/>
                </c:ext>
              </c:extLst>
            </c:dLbl>
            <c:dLbl>
              <c:idx val="4"/>
              <c:layout>
                <c:manualLayout>
                  <c:x val="3.4589204969972492E-3"/>
                  <c:y val="1.65166270104087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E79-46A6-AACB-EDCE0EF9A745}"/>
                </c:ext>
              </c:extLst>
            </c:dLbl>
            <c:dLbl>
              <c:idx val="5"/>
              <c:layout>
                <c:manualLayout>
                  <c:x val="2.3973587079448772E-3"/>
                  <c:y val="1.81787556929215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E79-46A6-AACB-EDCE0EF9A745}"/>
                </c:ext>
              </c:extLst>
            </c:dLbl>
            <c:dLbl>
              <c:idx val="6"/>
              <c:layout>
                <c:manualLayout>
                  <c:x val="6.3378413881297422E-4"/>
                  <c:y val="1.7064838504019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E79-46A6-AACB-EDCE0EF9A745}"/>
                </c:ext>
              </c:extLst>
            </c:dLbl>
            <c:dLbl>
              <c:idx val="7"/>
              <c:layout>
                <c:manualLayout>
                  <c:x val="7.0797550460054703E-3"/>
                  <c:y val="1.88476282735952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E79-46A6-AACB-EDCE0EF9A74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'Folha 03 Resid-area'!$M$95:$M$102</c:f>
              <c:strCache>
                <c:ptCount val="8"/>
                <c:pt idx="0">
                  <c:v>Até 50</c:v>
                </c:pt>
                <c:pt idx="1">
                  <c:v>50 --| 75</c:v>
                </c:pt>
                <c:pt idx="2">
                  <c:v>75 --| 100</c:v>
                </c:pt>
                <c:pt idx="3">
                  <c:v>100 --| 150</c:v>
                </c:pt>
                <c:pt idx="4">
                  <c:v>150 --| 200</c:v>
                </c:pt>
                <c:pt idx="5">
                  <c:v>200 --| 250</c:v>
                </c:pt>
                <c:pt idx="6">
                  <c:v>250 --| 300</c:v>
                </c:pt>
                <c:pt idx="7">
                  <c:v>acima de 300</c:v>
                </c:pt>
              </c:strCache>
            </c:strRef>
          </c:cat>
          <c:val>
            <c:numRef>
              <c:f>'Folha 03 Resid-area'!$O$95:$O$102</c:f>
              <c:numCache>
                <c:formatCode>0%</c:formatCode>
                <c:ptCount val="8"/>
                <c:pt idx="0">
                  <c:v>0.55113689529334708</c:v>
                </c:pt>
                <c:pt idx="1">
                  <c:v>0.15879105455225975</c:v>
                </c:pt>
                <c:pt idx="2">
                  <c:v>5.6610835594647704E-2</c:v>
                </c:pt>
                <c:pt idx="3">
                  <c:v>9.6378777954524195E-2</c:v>
                </c:pt>
                <c:pt idx="4">
                  <c:v>6.0260129128848136E-2</c:v>
                </c:pt>
                <c:pt idx="5">
                  <c:v>3.3311499953214183E-2</c:v>
                </c:pt>
                <c:pt idx="6">
                  <c:v>1.1415738748011602E-2</c:v>
                </c:pt>
                <c:pt idx="7">
                  <c:v>3.2095068775147374E-2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E79-46A6-AACB-EDCE0EF9A7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6"/>
        <c:axId val="227648512"/>
        <c:axId val="228003776"/>
      </c:barChart>
      <c:catAx>
        <c:axId val="227648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 pitchFamily="34" charset="0"/>
                <a:ea typeface="Arial"/>
                <a:cs typeface="Arial" pitchFamily="34" charset="0"/>
              </a:defRPr>
            </a:pPr>
            <a:endParaRPr lang="pt-BR"/>
          </a:p>
        </c:txPr>
        <c:crossAx val="2280037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28003776"/>
        <c:scaling>
          <c:orientation val="minMax"/>
          <c:max val="0.8"/>
          <c:min val="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227648512"/>
        <c:crosses val="autoZero"/>
        <c:crossBetween val="between"/>
        <c:majorUnit val="0.1"/>
      </c:valAx>
      <c:spPr>
        <a:gradFill rotWithShape="0">
          <a:gsLst>
            <a:gs pos="0">
              <a:srgbClr val="C0C0C0">
                <a:gamma/>
                <a:tint val="9020"/>
                <a:invGamma/>
              </a:srgbClr>
            </a:gs>
            <a:gs pos="100000">
              <a:srgbClr val="C0C0C0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1242" footer="0.4921259850000124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900"/>
              <a:t>CLASSIFICAÇÃO POR SETOR</a:t>
            </a:r>
          </a:p>
        </c:rich>
      </c:tx>
      <c:layout>
        <c:manualLayout>
          <c:xMode val="edge"/>
          <c:yMode val="edge"/>
          <c:x val="0.39771806652709502"/>
          <c:y val="1.951078423500449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994335254989037E-2"/>
          <c:y val="8.4962141195519564E-2"/>
          <c:w val="0.90421952239143732"/>
          <c:h val="0.7255520504732000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33CC"/>
            </a:solidFill>
            <a:ln w="25400">
              <a:noFill/>
            </a:ln>
          </c:spPr>
          <c:invertIfNegative val="0"/>
          <c:dLbls>
            <c:dLbl>
              <c:idx val="1"/>
              <c:layout>
                <c:manualLayout>
                  <c:x val="7.7768196990925078E-3"/>
                  <c:y val="1.33774866926684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D8D-4A49-8BE8-E8F7F8C7790E}"/>
                </c:ext>
              </c:extLst>
            </c:dLbl>
            <c:dLbl>
              <c:idx val="2"/>
              <c:layout>
                <c:manualLayout>
                  <c:x val="4.9744395439474415E-3"/>
                  <c:y val="1.63236604770198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8D-4A49-8BE8-E8F7F8C7790E}"/>
                </c:ext>
              </c:extLst>
            </c:dLbl>
            <c:dLbl>
              <c:idx val="3"/>
              <c:layout>
                <c:manualLayout>
                  <c:x val="3.7093158359284852E-3"/>
                  <c:y val="1.08154787632310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8D-4A49-8BE8-E8F7F8C7790E}"/>
                </c:ext>
              </c:extLst>
            </c:dLbl>
            <c:dLbl>
              <c:idx val="5"/>
              <c:layout>
                <c:manualLayout>
                  <c:x val="2.7511338189253323E-3"/>
                  <c:y val="9.93897844788333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8D-4A49-8BE8-E8F7F8C7790E}"/>
                </c:ext>
              </c:extLst>
            </c:dLbl>
            <c:dLbl>
              <c:idx val="6"/>
              <c:layout>
                <c:manualLayout>
                  <c:x val="-1.852932588565851E-4"/>
                  <c:y val="1.68928451155467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D8D-4A49-8BE8-E8F7F8C7790E}"/>
                </c:ext>
              </c:extLst>
            </c:dLbl>
            <c:dLbl>
              <c:idx val="7"/>
              <c:layout>
                <c:manualLayout>
                  <c:x val="-1.5597622388236101E-3"/>
                  <c:y val="1.27676627172392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8D-4A49-8BE8-E8F7F8C7790E}"/>
                </c:ext>
              </c:extLst>
            </c:dLbl>
            <c:dLbl>
              <c:idx val="8"/>
              <c:layout>
                <c:manualLayout>
                  <c:x val="4.2492148767704855E-3"/>
                  <c:y val="7.61270240013115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D8D-4A49-8BE8-E8F7F8C7790E}"/>
                </c:ext>
              </c:extLst>
            </c:dLbl>
            <c:dLbl>
              <c:idx val="9"/>
              <c:layout>
                <c:manualLayout>
                  <c:x val="4.3122905896155828E-3"/>
                  <c:y val="1.19006102155215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D8D-4A49-8BE8-E8F7F8C7790E}"/>
                </c:ext>
              </c:extLst>
            </c:dLbl>
            <c:dLbl>
              <c:idx val="10"/>
              <c:layout>
                <c:manualLayout>
                  <c:x val="1.9193799662295844E-4"/>
                  <c:y val="1.01193239221254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D8D-4A49-8BE8-E8F7F8C7790E}"/>
                </c:ext>
              </c:extLst>
            </c:dLbl>
            <c:dLbl>
              <c:idx val="11"/>
              <c:layout>
                <c:manualLayout>
                  <c:x val="3.2614271453865634E-3"/>
                  <c:y val="2.11876568155409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D8D-4A49-8BE8-E8F7F8C7790E}"/>
                </c:ext>
              </c:extLst>
            </c:dLbl>
            <c:dLbl>
              <c:idx val="12"/>
              <c:layout>
                <c:manualLayout>
                  <c:x val="1.0760678188515697E-3"/>
                  <c:y val="1.92653675437718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D8D-4A49-8BE8-E8F7F8C7790E}"/>
                </c:ext>
              </c:extLst>
            </c:dLbl>
            <c:dLbl>
              <c:idx val="13"/>
              <c:layout>
                <c:manualLayout>
                  <c:x val="-4.8221811218823393E-3"/>
                  <c:y val="1.92653675437718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D8D-4A49-8BE8-E8F7F8C7790E}"/>
                </c:ext>
              </c:extLst>
            </c:dLbl>
            <c:dLbl>
              <c:idx val="14"/>
              <c:layout>
                <c:manualLayout>
                  <c:x val="1.7435791898963633E-3"/>
                  <c:y val="1.89619759289092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D8D-4A49-8BE8-E8F7F8C7790E}"/>
                </c:ext>
              </c:extLst>
            </c:dLbl>
            <c:dLbl>
              <c:idx val="15"/>
              <c:layout>
                <c:manualLayout>
                  <c:x val="2.4110905609411692E-3"/>
                  <c:y val="1.92653675437718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D8D-4A49-8BE8-E8F7F8C7790E}"/>
                </c:ext>
              </c:extLst>
            </c:dLbl>
            <c:dLbl>
              <c:idx val="16"/>
              <c:layout>
                <c:manualLayout>
                  <c:x val="4.1414446363335824E-3"/>
                  <c:y val="1.50465066729582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D8D-4A49-8BE8-E8F7F8C7790E}"/>
                </c:ext>
              </c:extLst>
            </c:dLbl>
            <c:dLbl>
              <c:idx val="18"/>
              <c:layout>
                <c:manualLayout>
                  <c:x val="1.7435898703194736E-3"/>
                  <c:y val="7.402871556389632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D8D-4A49-8BE8-E8F7F8C7790E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'Folha 03 Resid-area'!$A$95:$A$113</c:f>
              <c:strCache>
                <c:ptCount val="19"/>
                <c:pt idx="0">
                  <c:v>Setor I</c:v>
                </c:pt>
                <c:pt idx="1">
                  <c:v>Setor II</c:v>
                </c:pt>
                <c:pt idx="2">
                  <c:v>Setor III</c:v>
                </c:pt>
                <c:pt idx="3">
                  <c:v>Setor IV</c:v>
                </c:pt>
                <c:pt idx="4">
                  <c:v>Setor V</c:v>
                </c:pt>
                <c:pt idx="5">
                  <c:v>Setor VI</c:v>
                </c:pt>
                <c:pt idx="6">
                  <c:v>Setor VII</c:v>
                </c:pt>
                <c:pt idx="7">
                  <c:v>Setor VIII</c:v>
                </c:pt>
                <c:pt idx="8">
                  <c:v>Setor IX</c:v>
                </c:pt>
                <c:pt idx="9">
                  <c:v>Setor X</c:v>
                </c:pt>
                <c:pt idx="10">
                  <c:v>Setor XI</c:v>
                </c:pt>
                <c:pt idx="11">
                  <c:v>Setor XII</c:v>
                </c:pt>
                <c:pt idx="12">
                  <c:v>Setor XIII</c:v>
                </c:pt>
                <c:pt idx="13">
                  <c:v>Setor XIV</c:v>
                </c:pt>
                <c:pt idx="14">
                  <c:v>Setor X</c:v>
                </c:pt>
                <c:pt idx="15">
                  <c:v>Setor XI</c:v>
                </c:pt>
                <c:pt idx="16">
                  <c:v>Setor XII</c:v>
                </c:pt>
                <c:pt idx="17">
                  <c:v>Setor XIII</c:v>
                </c:pt>
                <c:pt idx="18">
                  <c:v>Setor XIX</c:v>
                </c:pt>
              </c:strCache>
            </c:strRef>
          </c:cat>
          <c:val>
            <c:numRef>
              <c:f>'Folha 03 Resid-area'!$C$95:$C$113</c:f>
              <c:numCache>
                <c:formatCode>0%</c:formatCode>
                <c:ptCount val="19"/>
                <c:pt idx="0">
                  <c:v>0.21343688593618415</c:v>
                </c:pt>
                <c:pt idx="1">
                  <c:v>6.5312997099279499E-2</c:v>
                </c:pt>
                <c:pt idx="2">
                  <c:v>3.0878637597080566E-2</c:v>
                </c:pt>
                <c:pt idx="3">
                  <c:v>8.3091606624871334E-2</c:v>
                </c:pt>
                <c:pt idx="4">
                  <c:v>1.9462898849068964E-2</c:v>
                </c:pt>
                <c:pt idx="5">
                  <c:v>3.9955085618040613E-2</c:v>
                </c:pt>
                <c:pt idx="6">
                  <c:v>3.5650790680265741E-2</c:v>
                </c:pt>
                <c:pt idx="7">
                  <c:v>3.7802938149153177E-2</c:v>
                </c:pt>
                <c:pt idx="8">
                  <c:v>2.3580050528679706E-2</c:v>
                </c:pt>
                <c:pt idx="9">
                  <c:v>4.5101525217554041E-2</c:v>
                </c:pt>
                <c:pt idx="10">
                  <c:v>6.0821558903340504E-2</c:v>
                </c:pt>
                <c:pt idx="11">
                  <c:v>2.1334331430710209E-2</c:v>
                </c:pt>
                <c:pt idx="12">
                  <c:v>4.790867409001591E-2</c:v>
                </c:pt>
                <c:pt idx="13">
                  <c:v>2.1708617947038458E-2</c:v>
                </c:pt>
                <c:pt idx="14">
                  <c:v>0.12819313184242537</c:v>
                </c:pt>
                <c:pt idx="15">
                  <c:v>2.7229344062880134E-2</c:v>
                </c:pt>
                <c:pt idx="16">
                  <c:v>4.3510807523158973E-2</c:v>
                </c:pt>
                <c:pt idx="17">
                  <c:v>5.6142977449237389E-4</c:v>
                </c:pt>
                <c:pt idx="18">
                  <c:v>5.4458688125760282E-2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D8D-4A49-8BE8-E8F7F8C779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6"/>
        <c:axId val="227649536"/>
        <c:axId val="228005504"/>
      </c:barChart>
      <c:catAx>
        <c:axId val="227649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2280055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28005504"/>
        <c:scaling>
          <c:orientation val="minMax"/>
          <c:max val="0.8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227649536"/>
        <c:crosses val="autoZero"/>
        <c:crossBetween val="between"/>
        <c:majorUnit val="0.1"/>
      </c:valAx>
      <c:spPr>
        <a:gradFill rotWithShape="0">
          <a:gsLst>
            <a:gs pos="0">
              <a:srgbClr val="C0C0C0">
                <a:gamma/>
                <a:tint val="9020"/>
                <a:invGamma/>
              </a:srgbClr>
            </a:gs>
            <a:gs pos="100000">
              <a:srgbClr val="C0C0C0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1242" footer="0.49212598500001242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PARTICIPAÇÃO DE UNIDADES POR PAVIMENTO</a:t>
            </a:r>
          </a:p>
        </c:rich>
      </c:tx>
      <c:layout>
        <c:manualLayout>
          <c:xMode val="edge"/>
          <c:yMode val="edge"/>
          <c:x val="0.13128380831077852"/>
          <c:y val="2.5772012145954719E-3"/>
        </c:manualLayout>
      </c:layout>
      <c:overlay val="0"/>
      <c:spPr>
        <a:noFill/>
        <a:ln w="25400">
          <a:noFill/>
        </a:ln>
      </c:spPr>
    </c:title>
    <c:autoTitleDeleted val="0"/>
    <c:view3D>
      <c:rotX val="80"/>
      <c:rotY val="18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8319095685400416"/>
          <c:y val="1.5190430527992764E-2"/>
          <c:w val="0.57935768189778658"/>
          <c:h val="0.90832703976510043"/>
        </c:manualLayout>
      </c:layout>
      <c:pie3DChart>
        <c:varyColors val="1"/>
        <c:ser>
          <c:idx val="0"/>
          <c:order val="0"/>
          <c:spPr>
            <a:solidFill>
              <a:srgbClr val="8080FF"/>
            </a:solidFill>
            <a:ln w="25400">
              <a:noFill/>
            </a:ln>
          </c:spPr>
          <c:explosion val="25"/>
          <c:dPt>
            <c:idx val="0"/>
            <c:bubble3D val="0"/>
            <c:explosion val="4"/>
            <c:spPr>
              <a:solidFill>
                <a:srgbClr val="00008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F11A-4E31-A84E-FA0AB6F4C48C}"/>
              </c:ext>
            </c:extLst>
          </c:dPt>
          <c:dPt>
            <c:idx val="1"/>
            <c:bubble3D val="0"/>
            <c:explosion val="0"/>
            <c:spPr>
              <a:solidFill>
                <a:srgbClr val="CC0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F11A-4E31-A84E-FA0AB6F4C48C}"/>
              </c:ext>
            </c:extLst>
          </c:dPt>
          <c:dPt>
            <c:idx val="2"/>
            <c:bubble3D val="0"/>
            <c:explosion val="0"/>
            <c:spPr>
              <a:solidFill>
                <a:srgbClr val="FFFF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F11A-4E31-A84E-FA0AB6F4C48C}"/>
              </c:ext>
            </c:extLst>
          </c:dPt>
          <c:dLbls>
            <c:dLbl>
              <c:idx val="0"/>
              <c:layout>
                <c:manualLayout>
                  <c:x val="0.16870935917380789"/>
                  <c:y val="-0.12870381460319258"/>
                </c:manualLayout>
              </c:layout>
              <c:numFmt formatCode="0%" sourceLinked="0"/>
              <c:spPr>
                <a:noFill/>
                <a:ln w="25400">
                  <a:noFill/>
                </a:ln>
                <a:scene3d>
                  <a:camera prst="orthographicFront"/>
                  <a:lightRig rig="threePt" dir="t"/>
                </a:scene3d>
                <a:sp3d>
                  <a:bevelT/>
                </a:sp3d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chemeClr val="bg1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11A-4E31-A84E-FA0AB6F4C48C}"/>
                </c:ext>
              </c:extLst>
            </c:dLbl>
            <c:dLbl>
              <c:idx val="1"/>
              <c:layout>
                <c:manualLayout>
                  <c:x val="2.2925499457761081E-2"/>
                  <c:y val="0.18685402678653204"/>
                </c:manualLayout>
              </c:layout>
              <c:numFmt formatCode="0%" sourceLinked="0"/>
              <c:spPr>
                <a:noFill/>
                <a:ln w="25400">
                  <a:noFill/>
                </a:ln>
                <a:scene3d>
                  <a:camera prst="orthographicFront"/>
                  <a:lightRig rig="threePt" dir="t"/>
                </a:scene3d>
                <a:sp3d>
                  <a:bevelT w="6350"/>
                </a:sp3d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chemeClr val="bg1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11A-4E31-A84E-FA0AB6F4C48C}"/>
                </c:ext>
              </c:extLst>
            </c:dLbl>
            <c:dLbl>
              <c:idx val="2"/>
              <c:layout>
                <c:manualLayout>
                  <c:x val="-0.14765473061065562"/>
                  <c:y val="-0.1672044639523169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11A-4E31-A84E-FA0AB6F4C48C}"/>
                </c:ext>
              </c:extLst>
            </c:dLbl>
            <c:numFmt formatCode="0%" sourceLinked="0"/>
            <c:spPr>
              <a:noFill/>
              <a:ln w="25400">
                <a:noFill/>
              </a:ln>
              <a:scene3d>
                <a:camera prst="orthographicFront"/>
                <a:lightRig rig="threePt" dir="t"/>
              </a:scene3d>
              <a:sp3d>
                <a:bevelT/>
              </a:sp3d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'Folha 04 Resid-Pav'!$B$73:$D$73</c:f>
              <c:strCache>
                <c:ptCount val="3"/>
                <c:pt idx="0">
                  <c:v>Até 3 pav.</c:v>
                </c:pt>
                <c:pt idx="1">
                  <c:v>De 4 à 8 pav.</c:v>
                </c:pt>
                <c:pt idx="2">
                  <c:v>Mais de          8 pav.</c:v>
                </c:pt>
              </c:strCache>
            </c:strRef>
          </c:cat>
          <c:val>
            <c:numRef>
              <c:f>'Folha 04 Resid-Pav'!$B$86:$D$86</c:f>
              <c:numCache>
                <c:formatCode>#,##0</c:formatCode>
                <c:ptCount val="3"/>
                <c:pt idx="0">
                  <c:v>3151.0000000000009</c:v>
                </c:pt>
                <c:pt idx="1">
                  <c:v>4061</c:v>
                </c:pt>
                <c:pt idx="2">
                  <c:v>3475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1A-4E31-A84E-FA0AB6F4C48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</c:pie3DChart>
    </c:plotArea>
    <c:plotVisOnly val="1"/>
    <c:dispBlanksAs val="zero"/>
    <c:showDLblsOverMax val="0"/>
  </c:chart>
  <c:spPr>
    <a:solidFill>
      <a:srgbClr val="FFFFFF"/>
    </a:solidFill>
    <a:ln w="9525">
      <a:noFill/>
    </a:ln>
    <a:scene3d>
      <a:camera prst="orthographicFront"/>
      <a:lightRig rig="threePt" dir="t"/>
    </a:scene3d>
    <a:sp3d/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1242" footer="0.4921259850000124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Alvarás Concluídos - 1997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'Folha 05 Resid-zona'!#REF!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 xmlns:c16="http://schemas.microsoft.com/office/drawing/2014/chart">
                      <c:ext uri="{02D57815-91ED-43cb-92C2-25804820EDAC}">
                        <c15:formulaRef>
                          <c15:sqref>'Folha 05 Resid-zona'!#REF!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B325-45F5-8F07-591E42237DC4}"/>
            </c:ext>
          </c:extLst>
        </c:ser>
        <c:ser>
          <c:idx val="1"/>
          <c:order val="1"/>
          <c:tx>
            <c:v>Alvarás Concluídos - 1998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'Folha 05 Resid-zona'!#REF!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 xmlns:c16="http://schemas.microsoft.com/office/drawing/2014/chart">
                      <c:ext uri="{02D57815-91ED-43cb-92C2-25804820EDAC}">
                        <c15:formulaRef>
                          <c15:sqref>'Folha 05 Resid-zona'!#REF!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B325-45F5-8F07-591E42237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821504"/>
        <c:axId val="229689024"/>
      </c:lineChart>
      <c:catAx>
        <c:axId val="228821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pt-BR"/>
          </a:p>
        </c:txPr>
        <c:crossAx val="2296890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296890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pt-BR"/>
          </a:p>
        </c:txPr>
        <c:crossAx val="228821504"/>
        <c:crosses val="autoZero"/>
        <c:crossBetween val="between"/>
      </c:valAx>
      <c:spPr>
        <a:gradFill rotWithShape="0">
          <a:gsLst>
            <a:gs pos="0">
              <a:srgbClr val="FFFFC0"/>
            </a:gs>
            <a:gs pos="100000">
              <a:srgbClr val="FFFFC0">
                <a:gamma/>
                <a:tint val="0"/>
                <a:invGamma/>
              </a:srgbClr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b"/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1226" footer="0.4921259850000122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PARTICIPAÇÃO DAS UNIDADES POR ZONA</a:t>
            </a:r>
          </a:p>
        </c:rich>
      </c:tx>
      <c:layout>
        <c:manualLayout>
          <c:xMode val="edge"/>
          <c:yMode val="edge"/>
          <c:x val="0.20962325852302988"/>
          <c:y val="1.689184501653693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4097425795017395E-2"/>
          <c:y val="9.1216036116168228E-2"/>
          <c:w val="0.9336473165493927"/>
          <c:h val="0.7939189189189189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dLbls>
            <c:dLbl>
              <c:idx val="0"/>
              <c:layout>
                <c:manualLayout>
                  <c:x val="-9.5444178520116764E-4"/>
                  <c:y val="3.672521230736459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D2-4A88-9861-59F4C37FDD0B}"/>
                </c:ext>
              </c:extLst>
            </c:dLbl>
            <c:dLbl>
              <c:idx val="1"/>
              <c:layout>
                <c:manualLayout>
                  <c:x val="5.9611243961202104E-4"/>
                  <c:y val="2.02769719574526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D2-4A88-9861-59F4C37FDD0B}"/>
                </c:ext>
              </c:extLst>
            </c:dLbl>
            <c:dLbl>
              <c:idx val="2"/>
              <c:layout>
                <c:manualLayout>
                  <c:x val="-1.0213828075585165E-3"/>
                  <c:y val="-3.415831786989387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DD2-4A88-9861-59F4C37FDD0B}"/>
                </c:ext>
              </c:extLst>
            </c:dLbl>
            <c:dLbl>
              <c:idx val="3"/>
              <c:layout>
                <c:manualLayout>
                  <c:x val="2.6965641514977374E-5"/>
                  <c:y val="1.382763760270322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D2-4A88-9861-59F4C37FDD0B}"/>
                </c:ext>
              </c:extLst>
            </c:dLbl>
            <c:dLbl>
              <c:idx val="4"/>
              <c:layout>
                <c:manualLayout>
                  <c:x val="2.9559912029702518E-4"/>
                  <c:y val="1.03702168807844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DD2-4A88-9861-59F4C37FDD0B}"/>
                </c:ext>
              </c:extLst>
            </c:dLbl>
            <c:dLbl>
              <c:idx val="5"/>
              <c:layout>
                <c:manualLayout>
                  <c:x val="-6.4078879705327038E-4"/>
                  <c:y val="-1.984870293327024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DD2-4A88-9861-59F4C37FDD0B}"/>
                </c:ext>
              </c:extLst>
            </c:dLbl>
            <c:dLbl>
              <c:idx val="6"/>
              <c:layout>
                <c:manualLayout>
                  <c:x val="2.8434559355398166E-3"/>
                  <c:y val="1.07532064272407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DD2-4A88-9861-59F4C37FDD0B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'Folha 05 Resid-zona'!$B$82:$B$93</c:f>
              <c:strCache>
                <c:ptCount val="12"/>
                <c:pt idx="0">
                  <c:v>ZR-1</c:v>
                </c:pt>
                <c:pt idx="1">
                  <c:v>ZR-2</c:v>
                </c:pt>
                <c:pt idx="2">
                  <c:v>ZR-3</c:v>
                </c:pt>
                <c:pt idx="3">
                  <c:v>(*)ZR</c:v>
                </c:pt>
                <c:pt idx="4">
                  <c:v>CONEC</c:v>
                </c:pt>
                <c:pt idx="5">
                  <c:v>ZR-4</c:v>
                </c:pt>
                <c:pt idx="6">
                  <c:v>(**)SE</c:v>
                </c:pt>
                <c:pt idx="7">
                  <c:v>ZC</c:v>
                </c:pt>
                <c:pt idx="8">
                  <c:v>SEHIS</c:v>
                </c:pt>
                <c:pt idx="9">
                  <c:v>PÓLO-LV</c:v>
                </c:pt>
                <c:pt idx="10">
                  <c:v>ZT</c:v>
                </c:pt>
                <c:pt idx="11">
                  <c:v>Outros</c:v>
                </c:pt>
              </c:strCache>
            </c:strRef>
          </c:cat>
          <c:val>
            <c:numRef>
              <c:f>'Folha 05 Resid-zona'!$D$82:$D$93</c:f>
              <c:numCache>
                <c:formatCode>0%</c:formatCode>
                <c:ptCount val="12"/>
                <c:pt idx="0">
                  <c:v>7.9535884719752967E-3</c:v>
                </c:pt>
                <c:pt idx="1">
                  <c:v>0.12622812763170208</c:v>
                </c:pt>
                <c:pt idx="2">
                  <c:v>0.11163095349490035</c:v>
                </c:pt>
                <c:pt idx="3">
                  <c:v>2.0585758398053711E-2</c:v>
                </c:pt>
                <c:pt idx="4">
                  <c:v>0.17834752503041079</c:v>
                </c:pt>
                <c:pt idx="5">
                  <c:v>0</c:v>
                </c:pt>
                <c:pt idx="6">
                  <c:v>0</c:v>
                </c:pt>
                <c:pt idx="7">
                  <c:v>0.13904744081594461</c:v>
                </c:pt>
                <c:pt idx="8">
                  <c:v>6.4377280808458892E-2</c:v>
                </c:pt>
                <c:pt idx="9">
                  <c:v>3.9206512585384108E-2</c:v>
                </c:pt>
                <c:pt idx="10">
                  <c:v>5.1838682511462522E-2</c:v>
                </c:pt>
                <c:pt idx="11">
                  <c:v>0.26078413025170766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DD2-4A88-9861-59F4C37FDD0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8"/>
        <c:axId val="228822528"/>
        <c:axId val="229690752"/>
      </c:barChart>
      <c:catAx>
        <c:axId val="228822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noFill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2296907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29690752"/>
        <c:scaling>
          <c:orientation val="minMax"/>
          <c:max val="0.60000000000000009"/>
          <c:min val="0"/>
        </c:scaling>
        <c:delete val="1"/>
        <c:axPos val="l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crossAx val="228822528"/>
        <c:crosses val="autoZero"/>
        <c:crossBetween val="between"/>
        <c:majorUnit val="0.1"/>
      </c:valAx>
      <c:spPr>
        <a:gradFill>
          <a:gsLst>
            <a:gs pos="0">
              <a:srgbClr val="C0C0C0">
                <a:gamma/>
                <a:tint val="9020"/>
                <a:invGamma/>
              </a:srgbClr>
            </a:gs>
            <a:gs pos="100000">
              <a:srgbClr val="C0C0C0"/>
            </a:gs>
          </a:gsLst>
          <a:lin ang="5400000" scaled="1"/>
        </a:gradFill>
        <a:ln w="9525">
          <a:solidFill>
            <a:schemeClr val="bg1">
              <a:lumMod val="50000"/>
              <a:alpha val="94000"/>
            </a:schemeClr>
          </a:solidFill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PARTICIPAÇÃO DAS ÁREAS POR ZONA</a:t>
            </a:r>
          </a:p>
        </c:rich>
      </c:tx>
      <c:layout>
        <c:manualLayout>
          <c:xMode val="edge"/>
          <c:yMode val="edge"/>
          <c:x val="0.18821202980693602"/>
          <c:y val="3.082177951987237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1.3235645884518397E-2"/>
          <c:y val="9.4936903052544347E-2"/>
          <c:w val="0.97125604085074635"/>
          <c:h val="0.7842478867586936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0000"/>
            </a:solidFill>
            <a:ln w="25400">
              <a:noFill/>
            </a:ln>
          </c:spPr>
          <c:invertIfNegative val="0"/>
          <c:dLbls>
            <c:dLbl>
              <c:idx val="0"/>
              <c:layout>
                <c:manualLayout>
                  <c:x val="4.3356838338201933E-3"/>
                  <c:y val="1.17857044183729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3A6-4DCE-8A75-EA80A85D52F5}"/>
                </c:ext>
              </c:extLst>
            </c:dLbl>
            <c:dLbl>
              <c:idx val="1"/>
              <c:layout>
                <c:manualLayout>
                  <c:x val="-5.9564936065175924E-3"/>
                  <c:y val="1.85185709944084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A6-4DCE-8A75-EA80A85D52F5}"/>
                </c:ext>
              </c:extLst>
            </c:dLbl>
            <c:dLbl>
              <c:idx val="2"/>
              <c:layout>
                <c:manualLayout>
                  <c:x val="4.6227457523089965E-3"/>
                  <c:y val="1.31907135449770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3A6-4DCE-8A75-EA80A85D52F5}"/>
                </c:ext>
              </c:extLst>
            </c:dLbl>
            <c:dLbl>
              <c:idx val="3"/>
              <c:layout>
                <c:manualLayout>
                  <c:x val="3.7472221245723925E-3"/>
                  <c:y val="-2.655136654066181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A6-4DCE-8A75-EA80A85D52F5}"/>
                </c:ext>
              </c:extLst>
            </c:dLbl>
            <c:dLbl>
              <c:idx val="4"/>
              <c:layout>
                <c:manualLayout>
                  <c:x val="5.3349197815928924E-3"/>
                  <c:y val="1.20116918381703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3A6-4DCE-8A75-EA80A85D52F5}"/>
                </c:ext>
              </c:extLst>
            </c:dLbl>
            <c:dLbl>
              <c:idx val="5"/>
              <c:layout>
                <c:manualLayout>
                  <c:x val="5.7531552243221123E-3"/>
                  <c:y val="1.30902681599310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3A6-4DCE-8A75-EA80A85D52F5}"/>
                </c:ext>
              </c:extLst>
            </c:dLbl>
            <c:dLbl>
              <c:idx val="6"/>
              <c:layout>
                <c:manualLayout>
                  <c:x val="9.8331327023990066E-3"/>
                  <c:y val="-6.47977787441887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3A6-4DCE-8A75-EA80A85D52F5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'Folha 05 Resid-zona'!$E$82:$E$93</c:f>
              <c:strCache>
                <c:ptCount val="12"/>
                <c:pt idx="0">
                  <c:v>ZR-1</c:v>
                </c:pt>
                <c:pt idx="1">
                  <c:v>ZR-2</c:v>
                </c:pt>
                <c:pt idx="2">
                  <c:v>ZR-3</c:v>
                </c:pt>
                <c:pt idx="3">
                  <c:v>(*)ZR</c:v>
                </c:pt>
                <c:pt idx="4">
                  <c:v>CONEC</c:v>
                </c:pt>
                <c:pt idx="5">
                  <c:v>ZR-4</c:v>
                </c:pt>
                <c:pt idx="6">
                  <c:v>(**)SE</c:v>
                </c:pt>
                <c:pt idx="7">
                  <c:v>ZC</c:v>
                </c:pt>
                <c:pt idx="8">
                  <c:v>SEHIS</c:v>
                </c:pt>
                <c:pt idx="9">
                  <c:v>PÓLO-LV</c:v>
                </c:pt>
                <c:pt idx="10">
                  <c:v>ZT</c:v>
                </c:pt>
                <c:pt idx="11">
                  <c:v>Outros</c:v>
                </c:pt>
              </c:strCache>
            </c:strRef>
          </c:cat>
          <c:val>
            <c:numRef>
              <c:f>'Folha 05 Resid-zona'!$G$82:$G$93</c:f>
              <c:numCache>
                <c:formatCode>0%</c:formatCode>
                <c:ptCount val="12"/>
                <c:pt idx="0">
                  <c:v>2.5390793917294627E-2</c:v>
                </c:pt>
                <c:pt idx="1">
                  <c:v>0.15098749013364104</c:v>
                </c:pt>
                <c:pt idx="2">
                  <c:v>0.16887106028407206</c:v>
                </c:pt>
                <c:pt idx="3">
                  <c:v>1.42892403461207E-2</c:v>
                </c:pt>
                <c:pt idx="4">
                  <c:v>0.18944593429625817</c:v>
                </c:pt>
                <c:pt idx="5">
                  <c:v>0</c:v>
                </c:pt>
                <c:pt idx="6">
                  <c:v>0</c:v>
                </c:pt>
                <c:pt idx="7">
                  <c:v>0.10061892949290323</c:v>
                </c:pt>
                <c:pt idx="8">
                  <c:v>5.540815229104612E-2</c:v>
                </c:pt>
                <c:pt idx="9">
                  <c:v>2.1473888665549848E-2</c:v>
                </c:pt>
                <c:pt idx="10">
                  <c:v>5.8679409474050391E-2</c:v>
                </c:pt>
                <c:pt idx="11">
                  <c:v>0.21483510109906387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3A6-4DCE-8A75-EA80A85D52F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8"/>
        <c:axId val="176195584"/>
        <c:axId val="229692480"/>
      </c:barChart>
      <c:catAx>
        <c:axId val="176195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2296924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29692480"/>
        <c:scaling>
          <c:orientation val="minMax"/>
          <c:max val="0.60000000000000009"/>
          <c:min val="0"/>
        </c:scaling>
        <c:delete val="1"/>
        <c:axPos val="l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crossAx val="176195584"/>
        <c:crosses val="autoZero"/>
        <c:crossBetween val="between"/>
        <c:majorUnit val="0.1"/>
      </c:valAx>
      <c:spPr>
        <a:gradFill>
          <a:gsLst>
            <a:gs pos="0">
              <a:srgbClr val="C0C0C0">
                <a:gamma/>
                <a:tint val="9020"/>
                <a:invGamma/>
              </a:srgbClr>
            </a:gs>
            <a:gs pos="100000">
              <a:srgbClr val="C0C0C0"/>
            </a:gs>
          </a:gsLst>
          <a:lin ang="5400000" scaled="1"/>
        </a:gradFill>
        <a:ln w="9525">
          <a:solidFill>
            <a:schemeClr val="bg1">
              <a:lumMod val="50000"/>
            </a:schemeClr>
          </a:solidFill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1226" footer="0.49212598500001226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900"/>
              <a:t>CLASSIFICAÇÃO POR SETOR</a:t>
            </a:r>
          </a:p>
        </c:rich>
      </c:tx>
      <c:layout>
        <c:manualLayout>
          <c:xMode val="edge"/>
          <c:yMode val="edge"/>
          <c:x val="0.39771806652709513"/>
          <c:y val="1.95107842350045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994335254989037E-2"/>
          <c:y val="8.4962141195519564E-2"/>
          <c:w val="0.91087446998909072"/>
          <c:h val="0.7255520504732000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33CC"/>
            </a:solidFill>
            <a:ln w="25400">
              <a:noFill/>
            </a:ln>
          </c:spPr>
          <c:invertIfNegative val="0"/>
          <c:dLbls>
            <c:dLbl>
              <c:idx val="0"/>
              <c:layout>
                <c:manualLayout>
                  <c:x val="2.7606381978255608E-3"/>
                  <c:y val="1.39602419165162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03-4C89-ACEB-DDD73795814C}"/>
                </c:ext>
              </c:extLst>
            </c:dLbl>
            <c:dLbl>
              <c:idx val="1"/>
              <c:layout>
                <c:manualLayout>
                  <c:x val="4.2896429526089941E-3"/>
                  <c:y val="1.33776300959954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03-4C89-ACEB-DDD73795814C}"/>
                </c:ext>
              </c:extLst>
            </c:dLbl>
            <c:dLbl>
              <c:idx val="3"/>
              <c:layout>
                <c:manualLayout>
                  <c:x val="7.8797710058593814E-3"/>
                  <c:y val="3.363575986252748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03-4C89-ACEB-DDD73795814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03-4C89-ACEB-DDD73795814C}"/>
                </c:ext>
              </c:extLst>
            </c:dLbl>
            <c:dLbl>
              <c:idx val="5"/>
              <c:layout>
                <c:manualLayout>
                  <c:x val="2.7511338189253353E-3"/>
                  <c:y val="9.93897844788333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03-4C89-ACEB-DDD73795814C}"/>
                </c:ext>
              </c:extLst>
            </c:dLbl>
            <c:dLbl>
              <c:idx val="6"/>
              <c:layout>
                <c:manualLayout>
                  <c:x val="7.0480050697368513E-3"/>
                  <c:y val="5.333725807638533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03-4C89-ACEB-DDD73795814C}"/>
                </c:ext>
              </c:extLst>
            </c:dLbl>
            <c:dLbl>
              <c:idx val="7"/>
              <c:layout>
                <c:manualLayout>
                  <c:x val="-1.5597622388236101E-3"/>
                  <c:y val="1.27676627172392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03-4C89-ACEB-DDD73795814C}"/>
                </c:ext>
              </c:extLst>
            </c:dLbl>
            <c:dLbl>
              <c:idx val="8"/>
              <c:layout>
                <c:manualLayout>
                  <c:x val="-2.9840659469901392E-3"/>
                  <c:y val="1.5318810700712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03-4C89-ACEB-DDD73795814C}"/>
                </c:ext>
              </c:extLst>
            </c:dLbl>
            <c:dLbl>
              <c:idx val="9"/>
              <c:layout>
                <c:manualLayout>
                  <c:x val="4.3122905896155828E-3"/>
                  <c:y val="1.19006102155215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03-4C89-ACEB-DDD73795814C}"/>
                </c:ext>
              </c:extLst>
            </c:dLbl>
            <c:dLbl>
              <c:idx val="10"/>
              <c:layout>
                <c:manualLayout>
                  <c:x val="1.4658423094610261E-2"/>
                  <c:y val="1.39725278819644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03-4C89-ACEB-DDD73795814C}"/>
                </c:ext>
              </c:extLst>
            </c:dLbl>
            <c:dLbl>
              <c:idx val="11"/>
              <c:layout>
                <c:manualLayout>
                  <c:x val="5.6724332812590414E-3"/>
                  <c:y val="5.775459974456492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03-4C89-ACEB-DDD73795814C}"/>
                </c:ext>
              </c:extLst>
            </c:dLbl>
            <c:dLbl>
              <c:idx val="12"/>
              <c:layout>
                <c:manualLayout>
                  <c:x val="3.48717974063909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03-4C89-ACEB-DDD73795814C}"/>
                </c:ext>
              </c:extLst>
            </c:dLbl>
            <c:dLbl>
              <c:idx val="14"/>
              <c:layout>
                <c:manualLayout>
                  <c:x val="4.8536760003111325E-3"/>
                  <c:y val="7.500863042214279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003-4C89-ACEB-DDD73795814C}"/>
                </c:ext>
              </c:extLst>
            </c:dLbl>
            <c:dLbl>
              <c:idx val="18"/>
              <c:layout>
                <c:manualLayout>
                  <c:x val="0"/>
                  <c:y val="3.750431521107143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003-4C89-ACEB-DDD73795814C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'Folha 06 Resid-area'!$A$95:$A$113</c:f>
              <c:strCache>
                <c:ptCount val="19"/>
                <c:pt idx="0">
                  <c:v>Setor I</c:v>
                </c:pt>
                <c:pt idx="1">
                  <c:v>Setor II</c:v>
                </c:pt>
                <c:pt idx="2">
                  <c:v>Setor III</c:v>
                </c:pt>
                <c:pt idx="3">
                  <c:v>Setor IV</c:v>
                </c:pt>
                <c:pt idx="4">
                  <c:v>Setor V</c:v>
                </c:pt>
                <c:pt idx="5">
                  <c:v>Setor VI</c:v>
                </c:pt>
                <c:pt idx="6">
                  <c:v>Setor VII</c:v>
                </c:pt>
                <c:pt idx="7">
                  <c:v>Setor VIII</c:v>
                </c:pt>
                <c:pt idx="8">
                  <c:v>Setor IX</c:v>
                </c:pt>
                <c:pt idx="9">
                  <c:v>Setor X</c:v>
                </c:pt>
                <c:pt idx="10">
                  <c:v>Setor XI</c:v>
                </c:pt>
                <c:pt idx="11">
                  <c:v>Setor XII</c:v>
                </c:pt>
                <c:pt idx="12">
                  <c:v>Setor XIII</c:v>
                </c:pt>
                <c:pt idx="13">
                  <c:v>Setor XIV</c:v>
                </c:pt>
                <c:pt idx="14">
                  <c:v>Setor X</c:v>
                </c:pt>
                <c:pt idx="15">
                  <c:v>Setor XI</c:v>
                </c:pt>
                <c:pt idx="16">
                  <c:v>Setor XII</c:v>
                </c:pt>
                <c:pt idx="17">
                  <c:v>Setor XIII</c:v>
                </c:pt>
                <c:pt idx="18">
                  <c:v>Setor XIX</c:v>
                </c:pt>
              </c:strCache>
            </c:strRef>
          </c:cat>
          <c:val>
            <c:numRef>
              <c:f>'Folha 06 Resid-area'!$C$95:$C$113</c:f>
              <c:numCache>
                <c:formatCode>0%</c:formatCode>
                <c:ptCount val="19"/>
                <c:pt idx="0">
                  <c:v>6.6014669926650366E-2</c:v>
                </c:pt>
                <c:pt idx="1">
                  <c:v>4.8899755501222497E-2</c:v>
                </c:pt>
                <c:pt idx="2">
                  <c:v>3.1784841075794622E-2</c:v>
                </c:pt>
                <c:pt idx="3">
                  <c:v>3.9119804400977995E-2</c:v>
                </c:pt>
                <c:pt idx="4">
                  <c:v>3.4229828850855744E-2</c:v>
                </c:pt>
                <c:pt idx="5">
                  <c:v>2.6894865525672371E-2</c:v>
                </c:pt>
                <c:pt idx="6">
                  <c:v>6.1124694376528114E-2</c:v>
                </c:pt>
                <c:pt idx="7">
                  <c:v>3.6674816625916873E-2</c:v>
                </c:pt>
                <c:pt idx="8">
                  <c:v>1.4669926650366748E-2</c:v>
                </c:pt>
                <c:pt idx="9">
                  <c:v>1.2224938875305624E-2</c:v>
                </c:pt>
                <c:pt idx="10">
                  <c:v>4.8899755501222497E-2</c:v>
                </c:pt>
                <c:pt idx="11">
                  <c:v>2.4449877750611249E-2</c:v>
                </c:pt>
                <c:pt idx="12">
                  <c:v>1.9559902200488997E-2</c:v>
                </c:pt>
                <c:pt idx="13">
                  <c:v>0.11246943765281174</c:v>
                </c:pt>
                <c:pt idx="14">
                  <c:v>4.6454767726161368E-2</c:v>
                </c:pt>
                <c:pt idx="15">
                  <c:v>0.19070904645476772</c:v>
                </c:pt>
                <c:pt idx="16">
                  <c:v>6.3569682151589244E-2</c:v>
                </c:pt>
                <c:pt idx="17">
                  <c:v>0</c:v>
                </c:pt>
                <c:pt idx="18">
                  <c:v>0.12224938875305627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003-4C89-ACEB-DDD7379581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5"/>
        <c:axId val="230785536"/>
        <c:axId val="229694784"/>
      </c:barChart>
      <c:catAx>
        <c:axId val="230785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2296947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29694784"/>
        <c:scaling>
          <c:orientation val="minMax"/>
          <c:max val="0.5"/>
          <c:min val="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230785536"/>
        <c:crosses val="autoZero"/>
        <c:crossBetween val="between"/>
        <c:majorUnit val="0.1"/>
      </c:valAx>
      <c:spPr>
        <a:gradFill rotWithShape="0">
          <a:gsLst>
            <a:gs pos="0">
              <a:srgbClr val="C0C0C0">
                <a:gamma/>
                <a:tint val="9020"/>
                <a:invGamma/>
              </a:srgbClr>
            </a:gs>
            <a:gs pos="100000">
              <a:srgbClr val="C0C0C0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1253" footer="0.49212598500001253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900"/>
              <a:t>CLASSIFICAÇÃO POR FAIXA DE ÁREA (m²)</a:t>
            </a:r>
          </a:p>
        </c:rich>
      </c:tx>
      <c:layout>
        <c:manualLayout>
          <c:xMode val="edge"/>
          <c:yMode val="edge"/>
          <c:x val="0.23886391467664675"/>
          <c:y val="2.360827009753823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7061708450415679E-2"/>
          <c:y val="0.10424574426534733"/>
          <c:w val="0.90359251645990002"/>
          <c:h val="0.7435568395427204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33CC"/>
            </a:solidFill>
            <a:ln w="25400">
              <a:noFill/>
            </a:ln>
          </c:spPr>
          <c:invertIfNegative val="0"/>
          <c:dLbls>
            <c:dLbl>
              <c:idx val="0"/>
              <c:layout>
                <c:manualLayout>
                  <c:x val="2.7949534320830351E-4"/>
                  <c:y val="1.75911907516108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9D9-4FCD-B746-D814EFEE4654}"/>
                </c:ext>
              </c:extLst>
            </c:dLbl>
            <c:dLbl>
              <c:idx val="1"/>
              <c:layout>
                <c:manualLayout>
                  <c:x val="1.2539358933509655E-3"/>
                  <c:y val="6.982051274857913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9D9-4FCD-B746-D814EFEE4654}"/>
                </c:ext>
              </c:extLst>
            </c:dLbl>
            <c:dLbl>
              <c:idx val="2"/>
              <c:layout>
                <c:manualLayout>
                  <c:x val="3.7192844599790642E-3"/>
                  <c:y val="8.1450511099619366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9D9-4FCD-B746-D814EFEE4654}"/>
                </c:ext>
              </c:extLst>
            </c:dLbl>
            <c:dLbl>
              <c:idx val="3"/>
              <c:layout>
                <c:manualLayout>
                  <c:x val="7.0299735798837739E-3"/>
                  <c:y val="1.15289327151863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9D9-4FCD-B746-D814EFEE4654}"/>
                </c:ext>
              </c:extLst>
            </c:dLbl>
            <c:dLbl>
              <c:idx val="4"/>
              <c:layout>
                <c:manualLayout>
                  <c:x val="3.4589204969972492E-3"/>
                  <c:y val="1.65166270104087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9D9-4FCD-B746-D814EFEE4654}"/>
                </c:ext>
              </c:extLst>
            </c:dLbl>
            <c:dLbl>
              <c:idx val="5"/>
              <c:layout>
                <c:manualLayout>
                  <c:x val="2.3973587079448772E-3"/>
                  <c:y val="1.81787556929215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9D9-4FCD-B746-D814EFEE4654}"/>
                </c:ext>
              </c:extLst>
            </c:dLbl>
            <c:dLbl>
              <c:idx val="6"/>
              <c:layout>
                <c:manualLayout>
                  <c:x val="6.3378413881297444E-4"/>
                  <c:y val="1.7064838504019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9D9-4FCD-B746-D814EFEE4654}"/>
                </c:ext>
              </c:extLst>
            </c:dLbl>
            <c:dLbl>
              <c:idx val="7"/>
              <c:layout>
                <c:manualLayout>
                  <c:x val="-5.2644944288592521E-4"/>
                  <c:y val="1.48889539329250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9D9-4FCD-B746-D814EFEE4654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'Folha 06 Resid-area'!$M$95:$M$102</c:f>
              <c:strCache>
                <c:ptCount val="8"/>
                <c:pt idx="0">
                  <c:v>Até 50</c:v>
                </c:pt>
                <c:pt idx="1">
                  <c:v>50 --| 75</c:v>
                </c:pt>
                <c:pt idx="2">
                  <c:v>75 --| 100</c:v>
                </c:pt>
                <c:pt idx="3">
                  <c:v>100 --| 150</c:v>
                </c:pt>
                <c:pt idx="4">
                  <c:v>150 --| 200</c:v>
                </c:pt>
                <c:pt idx="5">
                  <c:v>200 --| 250</c:v>
                </c:pt>
                <c:pt idx="6">
                  <c:v>250 --| 300</c:v>
                </c:pt>
                <c:pt idx="7">
                  <c:v>acima de 300</c:v>
                </c:pt>
              </c:strCache>
            </c:strRef>
          </c:cat>
          <c:val>
            <c:numRef>
              <c:f>'Folha 06 Resid-area'!$O$95:$O$102</c:f>
              <c:numCache>
                <c:formatCode>0%</c:formatCode>
                <c:ptCount val="8"/>
                <c:pt idx="0">
                  <c:v>8.557457212713937E-2</c:v>
                </c:pt>
                <c:pt idx="1">
                  <c:v>9.2909535452322736E-2</c:v>
                </c:pt>
                <c:pt idx="2">
                  <c:v>8.557457212713937E-2</c:v>
                </c:pt>
                <c:pt idx="3">
                  <c:v>0.13202933985330073</c:v>
                </c:pt>
                <c:pt idx="4">
                  <c:v>0.10268948655256724</c:v>
                </c:pt>
                <c:pt idx="5">
                  <c:v>6.1124694376528114E-2</c:v>
                </c:pt>
                <c:pt idx="6">
                  <c:v>6.8459657701711488E-2</c:v>
                </c:pt>
                <c:pt idx="7">
                  <c:v>0.37163814180929094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9D9-4FCD-B746-D814EFEE46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30787584"/>
        <c:axId val="230696064"/>
      </c:barChart>
      <c:catAx>
        <c:axId val="230787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2306960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30696064"/>
        <c:scaling>
          <c:orientation val="minMax"/>
          <c:max val="0.5"/>
          <c:min val="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230787584"/>
        <c:crosses val="autoZero"/>
        <c:crossBetween val="between"/>
        <c:majorUnit val="0.1"/>
      </c:valAx>
      <c:spPr>
        <a:gradFill rotWithShape="0">
          <a:gsLst>
            <a:gs pos="0">
              <a:srgbClr val="C0C0C0">
                <a:gamma/>
                <a:tint val="9020"/>
                <a:invGamma/>
              </a:srgbClr>
            </a:gs>
            <a:gs pos="100000">
              <a:srgbClr val="C0C0C0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1253" footer="0.4921259850000125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PARTICIPAÇÃO DE UNIDADES POR PAVIMENTO</a:t>
            </a:r>
          </a:p>
        </c:rich>
      </c:tx>
      <c:layout>
        <c:manualLayout>
          <c:xMode val="edge"/>
          <c:yMode val="edge"/>
          <c:x val="0.12157834739691133"/>
          <c:y val="2.5772012145954338E-3"/>
        </c:manualLayout>
      </c:layout>
      <c:overlay val="0"/>
      <c:spPr>
        <a:noFill/>
        <a:ln w="25400">
          <a:noFill/>
        </a:ln>
      </c:spPr>
    </c:title>
    <c:autoTitleDeleted val="0"/>
    <c:view3D>
      <c:rotX val="80"/>
      <c:rotY val="140"/>
      <c:rAngAx val="0"/>
      <c:perspective val="5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8318758243701486"/>
          <c:y val="4.3701802517077934E-2"/>
          <c:w val="0.57935768189778658"/>
          <c:h val="0.90832703976510043"/>
        </c:manualLayout>
      </c:layout>
      <c:pie3DChart>
        <c:varyColors val="1"/>
        <c:ser>
          <c:idx val="0"/>
          <c:order val="0"/>
          <c:spPr>
            <a:solidFill>
              <a:srgbClr val="8080FF"/>
            </a:solidFill>
            <a:ln w="25400">
              <a:noFill/>
            </a:ln>
          </c:spPr>
          <c:explosion val="25"/>
          <c:dPt>
            <c:idx val="0"/>
            <c:bubble3D val="0"/>
            <c:explosion val="4"/>
            <c:spPr>
              <a:solidFill>
                <a:srgbClr val="00008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D266-453C-A5B4-CFC9A8FD040E}"/>
              </c:ext>
            </c:extLst>
          </c:dPt>
          <c:dPt>
            <c:idx val="1"/>
            <c:bubble3D val="0"/>
            <c:explosion val="7"/>
            <c:spPr>
              <a:solidFill>
                <a:srgbClr val="CC0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D266-453C-A5B4-CFC9A8FD040E}"/>
              </c:ext>
            </c:extLst>
          </c:dPt>
          <c:dPt>
            <c:idx val="2"/>
            <c:bubble3D val="0"/>
            <c:explosion val="5"/>
            <c:spPr>
              <a:solidFill>
                <a:srgbClr val="FFFF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D266-453C-A5B4-CFC9A8FD040E}"/>
              </c:ext>
            </c:extLst>
          </c:dPt>
          <c:dLbls>
            <c:dLbl>
              <c:idx val="0"/>
              <c:layout>
                <c:manualLayout>
                  <c:x val="0.17903110969590824"/>
                  <c:y val="0.18967929360803773"/>
                </c:manualLayout>
              </c:layout>
              <c:numFmt formatCode="0%" sourceLinked="0"/>
              <c:spPr>
                <a:noFill/>
                <a:ln w="25400">
                  <a:noFill/>
                </a:ln>
                <a:scene3d>
                  <a:camera prst="orthographicFront"/>
                  <a:lightRig rig="threePt" dir="t"/>
                </a:scene3d>
                <a:sp3d>
                  <a:bevelT/>
                </a:sp3d>
              </c:spPr>
              <c:txPr>
                <a:bodyPr/>
                <a:lstStyle/>
                <a:p>
                  <a:pPr>
                    <a:defRPr sz="950" b="0" i="0" u="none" strike="noStrike" baseline="0">
                      <a:solidFill>
                        <a:schemeClr val="bg1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66-453C-A5B4-CFC9A8FD040E}"/>
                </c:ext>
              </c:extLst>
            </c:dLbl>
            <c:dLbl>
              <c:idx val="1"/>
              <c:layout>
                <c:manualLayout>
                  <c:x val="-9.4744149020856549E-3"/>
                  <c:y val="-3.0432780497779737E-2"/>
                </c:manualLayout>
              </c:layout>
              <c:numFmt formatCode="0%" sourceLinked="0"/>
              <c:spPr>
                <a:noFill/>
                <a:ln w="25400">
                  <a:noFill/>
                </a:ln>
                <a:scene3d>
                  <a:camera prst="orthographicFront"/>
                  <a:lightRig rig="threePt" dir="t"/>
                </a:scene3d>
                <a:sp3d>
                  <a:bevelT/>
                </a:sp3d>
              </c:spPr>
              <c:txPr>
                <a:bodyPr/>
                <a:lstStyle/>
                <a:p>
                  <a:pPr>
                    <a:defRPr sz="950" b="0" i="0" u="none" strike="noStrike" baseline="0">
                      <a:solidFill>
                        <a:schemeClr val="tx1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266-453C-A5B4-CFC9A8FD040E}"/>
                </c:ext>
              </c:extLst>
            </c:dLbl>
            <c:dLbl>
              <c:idx val="2"/>
              <c:layout>
                <c:manualLayout>
                  <c:x val="-0.22186594491323045"/>
                  <c:y val="5.2113540630357842E-2"/>
                </c:manualLayout>
              </c:layout>
              <c:numFmt formatCode="0.00%" sourceLinked="0"/>
              <c:spPr>
                <a:noFill/>
                <a:ln w="25400">
                  <a:noFill/>
                </a:ln>
                <a:scene3d>
                  <a:camera prst="orthographicFront"/>
                  <a:lightRig rig="threePt" dir="t"/>
                </a:scene3d>
                <a:sp3d>
                  <a:bevelT/>
                </a:sp3d>
              </c:spPr>
              <c:txPr>
                <a:bodyPr/>
                <a:lstStyle/>
                <a:p>
                  <a:pPr>
                    <a:defRPr sz="9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115459665860401"/>
                      <c:h val="0.1659742475100423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266-453C-A5B4-CFC9A8FD040E}"/>
                </c:ext>
              </c:extLst>
            </c:dLbl>
            <c:numFmt formatCode="0%" sourceLinked="0"/>
            <c:spPr>
              <a:noFill/>
              <a:ln w="25400">
                <a:noFill/>
              </a:ln>
              <a:scene3d>
                <a:camera prst="orthographicFront"/>
                <a:lightRig rig="threePt" dir="t"/>
              </a:scene3d>
              <a:sp3d>
                <a:bevelT/>
              </a:sp3d>
            </c:spPr>
            <c:txPr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'Folha 07 Resid-Pav'!$B$73:$D$73</c:f>
              <c:strCache>
                <c:ptCount val="3"/>
                <c:pt idx="0">
                  <c:v>Até 3 pav.</c:v>
                </c:pt>
                <c:pt idx="1">
                  <c:v>De 4 à 8 pav.</c:v>
                </c:pt>
                <c:pt idx="2">
                  <c:v>Mais de 8 pav.</c:v>
                </c:pt>
              </c:strCache>
            </c:strRef>
          </c:cat>
          <c:val>
            <c:numRef>
              <c:f>'Folha 07 Resid-Pav'!$B$86:$D$86</c:f>
              <c:numCache>
                <c:formatCode>#,##0</c:formatCode>
                <c:ptCount val="3"/>
                <c:pt idx="0">
                  <c:v>397</c:v>
                </c:pt>
                <c:pt idx="1">
                  <c:v>12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66-453C-A5B4-CFC9A8FD040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</c:pie3DChart>
    </c:plotArea>
    <c:plotVisOnly val="1"/>
    <c:dispBlanksAs val="zero"/>
    <c:showDLblsOverMax val="0"/>
  </c:chart>
  <c:spPr>
    <a:solidFill>
      <a:srgbClr val="FFFFFF"/>
    </a:solidFill>
    <a:ln w="9525">
      <a:noFill/>
    </a:ln>
    <a:scene3d>
      <a:camera prst="orthographicFront"/>
      <a:lightRig rig="threePt" dir="t"/>
    </a:scene3d>
    <a:sp3d/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1253" footer="0.4921259850000125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Alvarás Concluídos - 1997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'Folha 08 Resid-zona'!#REF!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 xmlns:c16="http://schemas.microsoft.com/office/drawing/2014/chart">
                      <c:ext uri="{02D57815-91ED-43cb-92C2-25804820EDAC}">
                        <c15:formulaRef>
                          <c15:sqref>'Folha 08 Resid-zona'!#REF!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9F89-45C1-82AD-80290153B5EC}"/>
            </c:ext>
          </c:extLst>
        </c:ser>
        <c:ser>
          <c:idx val="1"/>
          <c:order val="1"/>
          <c:tx>
            <c:v>Alvarás Concluídos - 1998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'Folha 08 Resid-zona'!#REF!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 xmlns:c16="http://schemas.microsoft.com/office/drawing/2014/chart">
                      <c:ext uri="{02D57815-91ED-43cb-92C2-25804820EDAC}">
                        <c15:formulaRef>
                          <c15:sqref>'Folha 08 Resid-zona'!#REF!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9F89-45C1-82AD-80290153B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571968"/>
        <c:axId val="230700096"/>
      </c:lineChart>
      <c:catAx>
        <c:axId val="231571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pt-BR"/>
          </a:p>
        </c:txPr>
        <c:crossAx val="2307000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307000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pt-BR"/>
          </a:p>
        </c:txPr>
        <c:crossAx val="231571968"/>
        <c:crosses val="autoZero"/>
        <c:crossBetween val="between"/>
      </c:valAx>
      <c:spPr>
        <a:gradFill rotWithShape="0">
          <a:gsLst>
            <a:gs pos="0">
              <a:srgbClr val="FFFFC0"/>
            </a:gs>
            <a:gs pos="100000">
              <a:srgbClr val="FFFFC0">
                <a:gamma/>
                <a:tint val="0"/>
                <a:invGamma/>
              </a:srgbClr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b"/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1226" footer="0.49212598500001226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000"/>
              <a:t>PARTICIPAÇÃO DAS</a:t>
            </a:r>
            <a:r>
              <a:rPr lang="pt-BR" sz="1000" baseline="0"/>
              <a:t> UNIDADES</a:t>
            </a:r>
            <a:r>
              <a:rPr lang="pt-BR" sz="1000"/>
              <a:t> POR ZONA</a:t>
            </a:r>
          </a:p>
        </c:rich>
      </c:tx>
      <c:layout>
        <c:manualLayout>
          <c:xMode val="edge"/>
          <c:yMode val="edge"/>
          <c:x val="0.20350132382249253"/>
          <c:y val="1.706484641638226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0098240975949345E-2"/>
          <c:y val="0.1058020477815733"/>
          <c:w val="0.96176322679355275"/>
          <c:h val="0.7883959044368600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dLbls>
            <c:dLbl>
              <c:idx val="1"/>
              <c:layout>
                <c:manualLayout>
                  <c:x val="-5.8482734780139524E-3"/>
                  <c:y val="1.41950894850221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EF5-4111-A78A-662192CFAD2A}"/>
                </c:ext>
              </c:extLst>
            </c:dLbl>
            <c:dLbl>
              <c:idx val="2"/>
              <c:layout>
                <c:manualLayout>
                  <c:x val="-1.69539620325529E-3"/>
                  <c:y val="1.23391197533679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EF5-4111-A78A-662192CFAD2A}"/>
                </c:ext>
              </c:extLst>
            </c:dLbl>
            <c:dLbl>
              <c:idx val="3"/>
              <c:layout>
                <c:manualLayout>
                  <c:x val="5.9516833073876042E-3"/>
                  <c:y val="7.026247346286983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EF5-4111-A78A-662192CFAD2A}"/>
                </c:ext>
              </c:extLst>
            </c:dLbl>
            <c:dLbl>
              <c:idx val="4"/>
              <c:layout>
                <c:manualLayout>
                  <c:x val="7.7971587960260734E-3"/>
                  <c:y val="1.200043391884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EF5-4111-A78A-662192CFAD2A}"/>
                </c:ext>
              </c:extLst>
            </c:dLbl>
            <c:dLbl>
              <c:idx val="5"/>
              <c:layout>
                <c:manualLayout>
                  <c:x val="3.4233739609141997E-3"/>
                  <c:y val="1.91686873847403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EF5-4111-A78A-662192CFAD2A}"/>
                </c:ext>
              </c:extLst>
            </c:dLbl>
            <c:dLbl>
              <c:idx val="6"/>
              <c:layout>
                <c:manualLayout>
                  <c:x val="-1.7180434370901783E-3"/>
                  <c:y val="2.41929134292818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EF5-4111-A78A-662192CFAD2A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'Folha 08 Resid-zona'!$B$79:$B$90</c:f>
              <c:strCache>
                <c:ptCount val="12"/>
                <c:pt idx="0">
                  <c:v>ZR-1</c:v>
                </c:pt>
                <c:pt idx="1">
                  <c:v>ZR-2</c:v>
                </c:pt>
                <c:pt idx="2">
                  <c:v>ZR-3</c:v>
                </c:pt>
                <c:pt idx="3">
                  <c:v>(*)ZR</c:v>
                </c:pt>
                <c:pt idx="4">
                  <c:v>CONEC</c:v>
                </c:pt>
                <c:pt idx="5">
                  <c:v>ZR-4</c:v>
                </c:pt>
                <c:pt idx="6">
                  <c:v>(**)SE</c:v>
                </c:pt>
                <c:pt idx="7">
                  <c:v>ZC</c:v>
                </c:pt>
                <c:pt idx="8">
                  <c:v>SEHIS</c:v>
                </c:pt>
                <c:pt idx="9">
                  <c:v>PÓLO-LV</c:v>
                </c:pt>
                <c:pt idx="10">
                  <c:v>ZT</c:v>
                </c:pt>
                <c:pt idx="11">
                  <c:v>Outros</c:v>
                </c:pt>
              </c:strCache>
            </c:strRef>
          </c:cat>
          <c:val>
            <c:numRef>
              <c:f>'Folha 08 Resid-zona'!$D$79:$D$90</c:f>
              <c:numCache>
                <c:formatCode>0%</c:formatCode>
                <c:ptCount val="12"/>
                <c:pt idx="0">
                  <c:v>4.4009779951100246E-2</c:v>
                </c:pt>
                <c:pt idx="1">
                  <c:v>0.13202933985330073</c:v>
                </c:pt>
                <c:pt idx="2">
                  <c:v>0.15892420537897312</c:v>
                </c:pt>
                <c:pt idx="3">
                  <c:v>7.3349633251833741E-3</c:v>
                </c:pt>
                <c:pt idx="4">
                  <c:v>8.557457212713937E-2</c:v>
                </c:pt>
                <c:pt idx="5">
                  <c:v>0</c:v>
                </c:pt>
                <c:pt idx="6">
                  <c:v>0</c:v>
                </c:pt>
                <c:pt idx="7">
                  <c:v>1.4669926650366748E-2</c:v>
                </c:pt>
                <c:pt idx="8">
                  <c:v>9.7799511002444994E-2</c:v>
                </c:pt>
                <c:pt idx="9">
                  <c:v>2.4449877750611249E-2</c:v>
                </c:pt>
                <c:pt idx="10">
                  <c:v>4.1564792176039117E-2</c:v>
                </c:pt>
                <c:pt idx="11">
                  <c:v>0.39364303178484106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EF5-4111-A78A-662192CFAD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7"/>
        <c:axId val="231573504"/>
        <c:axId val="230701824"/>
      </c:barChart>
      <c:catAx>
        <c:axId val="231573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noFill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23070182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30701824"/>
        <c:scaling>
          <c:orientation val="minMax"/>
          <c:max val="0.8"/>
          <c:min val="0"/>
        </c:scaling>
        <c:delete val="1"/>
        <c:axPos val="l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crossAx val="231573504"/>
        <c:crosses val="autoZero"/>
        <c:crossBetween val="between"/>
        <c:majorUnit val="0.1"/>
        <c:minorUnit val="4.0000000000000022E-2"/>
      </c:valAx>
      <c:spPr>
        <a:gradFill>
          <a:gsLst>
            <a:gs pos="0">
              <a:srgbClr val="C0C0C0">
                <a:gamma/>
                <a:tint val="9020"/>
                <a:invGamma/>
              </a:srgbClr>
            </a:gs>
            <a:gs pos="100000">
              <a:srgbClr val="C0C0C0"/>
            </a:gs>
          </a:gsLst>
          <a:lin ang="5400000" scaled="1"/>
        </a:gradFill>
        <a:ln w="9525">
          <a:solidFill>
            <a:schemeClr val="bg1">
              <a:lumMod val="50000"/>
            </a:schemeClr>
          </a:solidFill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5" footer="0.5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PARTICIPAÇÃO DAS ÁREAS POR ZONA</a:t>
            </a:r>
          </a:p>
        </c:rich>
      </c:tx>
      <c:layout>
        <c:manualLayout>
          <c:xMode val="edge"/>
          <c:yMode val="edge"/>
          <c:x val="0.20476361205430649"/>
          <c:y val="6.215093740135467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465056921152034E-3"/>
          <c:y val="0.14285714285714796"/>
          <c:w val="0.96650257274484475"/>
          <c:h val="0.7628434060738353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0000"/>
            </a:solidFill>
            <a:ln w="25400">
              <a:noFill/>
            </a:ln>
          </c:spPr>
          <c:invertIfNegative val="0"/>
          <c:dLbls>
            <c:dLbl>
              <c:idx val="1"/>
              <c:layout>
                <c:manualLayout>
                  <c:x val="-2.1544614495031306E-4"/>
                  <c:y val="1.7571676250091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43-43C2-A71A-133AD8889D44}"/>
                </c:ext>
              </c:extLst>
            </c:dLbl>
            <c:dLbl>
              <c:idx val="3"/>
              <c:layout>
                <c:manualLayout>
                  <c:x val="4.2444312273005455E-3"/>
                  <c:y val="1.45840884699797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43-43C2-A71A-133AD8889D44}"/>
                </c:ext>
              </c:extLst>
            </c:dLbl>
            <c:dLbl>
              <c:idx val="4"/>
              <c:layout>
                <c:manualLayout>
                  <c:x val="4.4606618505572872E-3"/>
                  <c:y val="9.074510014284196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243-43C2-A71A-133AD8889D44}"/>
                </c:ext>
              </c:extLst>
            </c:dLbl>
            <c:dLbl>
              <c:idx val="5"/>
              <c:layout>
                <c:manualLayout>
                  <c:x val="3.169374955984169E-3"/>
                  <c:y val="1.56983177598373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243-43C2-A71A-133AD8889D44}"/>
                </c:ext>
              </c:extLst>
            </c:dLbl>
            <c:dLbl>
              <c:idx val="6"/>
              <c:layout>
                <c:manualLayout>
                  <c:x val="6.1394356051165744E-3"/>
                  <c:y val="5.943243667684813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243-43C2-A71A-133AD8889D44}"/>
                </c:ext>
              </c:extLst>
            </c:dLbl>
            <c:dLbl>
              <c:idx val="11"/>
              <c:layout>
                <c:manualLayout>
                  <c:x val="0"/>
                  <c:y val="2.19157544593383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EAF-4159-9F8C-8FCFDFF7EDC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'Folha 08 Resid-zona'!$E$79:$E$90</c:f>
              <c:strCache>
                <c:ptCount val="12"/>
                <c:pt idx="0">
                  <c:v>ZR-1</c:v>
                </c:pt>
                <c:pt idx="1">
                  <c:v>ZR-2</c:v>
                </c:pt>
                <c:pt idx="2">
                  <c:v>ZR-3</c:v>
                </c:pt>
                <c:pt idx="3">
                  <c:v>(*)ZR</c:v>
                </c:pt>
                <c:pt idx="4">
                  <c:v>CONEC</c:v>
                </c:pt>
                <c:pt idx="5">
                  <c:v>ZR-4</c:v>
                </c:pt>
                <c:pt idx="6">
                  <c:v>(**)SE</c:v>
                </c:pt>
                <c:pt idx="7">
                  <c:v>ZC</c:v>
                </c:pt>
                <c:pt idx="8">
                  <c:v>SEHIS</c:v>
                </c:pt>
                <c:pt idx="9">
                  <c:v>PÓLO-LV</c:v>
                </c:pt>
                <c:pt idx="10">
                  <c:v>ZT</c:v>
                </c:pt>
                <c:pt idx="11">
                  <c:v>Outros</c:v>
                </c:pt>
              </c:strCache>
            </c:strRef>
          </c:cat>
          <c:val>
            <c:numRef>
              <c:f>'Folha 08 Resid-zona'!$G$79:$G$90</c:f>
              <c:numCache>
                <c:formatCode>0%</c:formatCode>
                <c:ptCount val="12"/>
                <c:pt idx="0">
                  <c:v>4.2231059583346612E-3</c:v>
                </c:pt>
                <c:pt idx="1">
                  <c:v>3.0272867520301585E-2</c:v>
                </c:pt>
                <c:pt idx="2">
                  <c:v>4.8969336785493173E-2</c:v>
                </c:pt>
                <c:pt idx="3">
                  <c:v>1.3072165661010245E-3</c:v>
                </c:pt>
                <c:pt idx="4">
                  <c:v>1.7055817247037926E-2</c:v>
                </c:pt>
                <c:pt idx="5">
                  <c:v>0</c:v>
                </c:pt>
                <c:pt idx="6">
                  <c:v>0</c:v>
                </c:pt>
                <c:pt idx="7">
                  <c:v>5.2354975749314709E-3</c:v>
                </c:pt>
                <c:pt idx="8">
                  <c:v>1.7076386429561476E-2</c:v>
                </c:pt>
                <c:pt idx="9">
                  <c:v>8.7152215032588812E-3</c:v>
                </c:pt>
                <c:pt idx="10">
                  <c:v>7.7860415795982518E-3</c:v>
                </c:pt>
                <c:pt idx="11">
                  <c:v>0.85935850883538145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43-43C2-A71A-133AD8889D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8"/>
        <c:axId val="231575040"/>
        <c:axId val="231940672"/>
      </c:barChart>
      <c:catAx>
        <c:axId val="231575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2319406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31940672"/>
        <c:scaling>
          <c:orientation val="minMax"/>
          <c:max val="1"/>
          <c:min val="0"/>
        </c:scaling>
        <c:delete val="1"/>
        <c:axPos val="l"/>
        <c:majorGridlines>
          <c:spPr>
            <a:ln w="3175">
              <a:solidFill>
                <a:schemeClr val="bg1">
                  <a:lumMod val="75000"/>
                </a:schemeClr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crossAx val="231575040"/>
        <c:crosses val="autoZero"/>
        <c:crossBetween val="between"/>
        <c:majorUnit val="0.1"/>
        <c:minorUnit val="2.0000000000000011E-2"/>
      </c:valAx>
      <c:spPr>
        <a:gradFill>
          <a:gsLst>
            <a:gs pos="0">
              <a:srgbClr val="C0C0C0">
                <a:gamma/>
                <a:tint val="9020"/>
                <a:invGamma/>
              </a:srgbClr>
            </a:gs>
            <a:gs pos="100000">
              <a:srgbClr val="C0C0C0"/>
            </a:gs>
          </a:gsLst>
          <a:lin ang="5400000" scaled="1"/>
        </a:gradFill>
        <a:ln w="9525">
          <a:solidFill>
            <a:schemeClr val="bg1">
              <a:lumMod val="50000"/>
            </a:schemeClr>
          </a:solidFill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1226" footer="0.49212598500001226"/>
    <c:pageSetup paperSize="9"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000"/>
              <a:t> ÁREA (m²) TOTAL POR SETOR</a:t>
            </a:r>
          </a:p>
        </c:rich>
      </c:tx>
      <c:layout>
        <c:manualLayout>
          <c:xMode val="edge"/>
          <c:yMode val="edge"/>
          <c:x val="0.39488676131395423"/>
          <c:y val="1.67464114832536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3856032893124434E-2"/>
          <c:y val="6.3509990090209439E-2"/>
          <c:w val="0.94791754327720257"/>
          <c:h val="0.795660515908640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'Folha 09 area por bairro'!$C$4</c:f>
              <c:strCache>
                <c:ptCount val="1"/>
                <c:pt idx="0">
                  <c:v>Residencial</c:v>
                </c:pt>
              </c:strCache>
            </c:strRef>
          </c:tx>
          <c:spPr>
            <a:solidFill>
              <a:srgbClr val="3333CC"/>
            </a:solidFill>
            <a:ln w="25400">
              <a:noFill/>
            </a:ln>
          </c:spPr>
          <c:invertIfNegative val="0"/>
          <c:dLbls>
            <c:delete val="1"/>
          </c:dLbls>
          <c:cat>
            <c:strRef>
              <c:f>'Folha 09 area por bairro'!$B$101:$B$119</c:f>
              <c:strCache>
                <c:ptCount val="19"/>
                <c:pt idx="0">
                  <c:v>Setor        I</c:v>
                </c:pt>
                <c:pt idx="1">
                  <c:v>Setor            II</c:v>
                </c:pt>
                <c:pt idx="2">
                  <c:v>Setor          III</c:v>
                </c:pt>
                <c:pt idx="3">
                  <c:v>Setor      IV</c:v>
                </c:pt>
                <c:pt idx="4">
                  <c:v>Setor          V</c:v>
                </c:pt>
                <c:pt idx="5">
                  <c:v>Setor      VI</c:v>
                </c:pt>
                <c:pt idx="6">
                  <c:v>Setor      VII</c:v>
                </c:pt>
                <c:pt idx="7">
                  <c:v>Setor      VIII</c:v>
                </c:pt>
                <c:pt idx="8">
                  <c:v>Setor      IX</c:v>
                </c:pt>
                <c:pt idx="9">
                  <c:v>Setor          X</c:v>
                </c:pt>
                <c:pt idx="10">
                  <c:v>Setor      XI</c:v>
                </c:pt>
                <c:pt idx="11">
                  <c:v>Setor      XII</c:v>
                </c:pt>
                <c:pt idx="12">
                  <c:v>Setor      XIII</c:v>
                </c:pt>
                <c:pt idx="13">
                  <c:v>Setor      XIV</c:v>
                </c:pt>
                <c:pt idx="14">
                  <c:v>Setor      XV</c:v>
                </c:pt>
                <c:pt idx="15">
                  <c:v>Setor      XVI</c:v>
                </c:pt>
                <c:pt idx="16">
                  <c:v>Setor      XVII</c:v>
                </c:pt>
                <c:pt idx="17">
                  <c:v>Setor      XVIII</c:v>
                </c:pt>
                <c:pt idx="18">
                  <c:v>Setor    XIX</c:v>
                </c:pt>
              </c:strCache>
            </c:strRef>
          </c:cat>
          <c:val>
            <c:numRef>
              <c:f>'Folha 09 area por bairro'!$C$101:$C$119</c:f>
              <c:numCache>
                <c:formatCode>#,##0</c:formatCode>
                <c:ptCount val="19"/>
                <c:pt idx="0">
                  <c:v>131239.44</c:v>
                </c:pt>
                <c:pt idx="1">
                  <c:v>78978.429999999978</c:v>
                </c:pt>
                <c:pt idx="2">
                  <c:v>50541.479999999996</c:v>
                </c:pt>
                <c:pt idx="3">
                  <c:v>107045.69</c:v>
                </c:pt>
                <c:pt idx="4">
                  <c:v>16337.52</c:v>
                </c:pt>
                <c:pt idx="5">
                  <c:v>52086.880000000005</c:v>
                </c:pt>
                <c:pt idx="6">
                  <c:v>28268.100000000002</c:v>
                </c:pt>
                <c:pt idx="7">
                  <c:v>30860.11</c:v>
                </c:pt>
                <c:pt idx="8">
                  <c:v>19442.410000000003</c:v>
                </c:pt>
                <c:pt idx="9">
                  <c:v>35022.22</c:v>
                </c:pt>
                <c:pt idx="10">
                  <c:v>52824.470000000016</c:v>
                </c:pt>
                <c:pt idx="11">
                  <c:v>21219.99</c:v>
                </c:pt>
                <c:pt idx="12">
                  <c:v>24807.120000000003</c:v>
                </c:pt>
                <c:pt idx="13">
                  <c:v>27246.97</c:v>
                </c:pt>
                <c:pt idx="14">
                  <c:v>111376.23000000001</c:v>
                </c:pt>
                <c:pt idx="15">
                  <c:v>25376.289999999994</c:v>
                </c:pt>
                <c:pt idx="16">
                  <c:v>33379.370000000003</c:v>
                </c:pt>
                <c:pt idx="17">
                  <c:v>3683.3399999999997</c:v>
                </c:pt>
                <c:pt idx="18">
                  <c:v>35266.200000000019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80-4C49-97F6-1A745D82DA00}"/>
            </c:ext>
          </c:extLst>
        </c:ser>
        <c:ser>
          <c:idx val="1"/>
          <c:order val="1"/>
          <c:tx>
            <c:strRef>
              <c:f>'Folha 09 area por bairro'!$D$4</c:f>
              <c:strCache>
                <c:ptCount val="1"/>
                <c:pt idx="0">
                  <c:v>Não Residencial</c:v>
                </c:pt>
              </c:strCache>
            </c:strRef>
          </c:tx>
          <c:spPr>
            <a:solidFill>
              <a:srgbClr val="FFFF00"/>
            </a:solidFill>
            <a:ln w="25400">
              <a:noFill/>
            </a:ln>
          </c:spPr>
          <c:invertIfNegative val="0"/>
          <c:dLbls>
            <c:delete val="1"/>
          </c:dLbls>
          <c:cat>
            <c:strRef>
              <c:f>'Folha 09 area por bairro'!$B$101:$B$119</c:f>
              <c:strCache>
                <c:ptCount val="19"/>
                <c:pt idx="0">
                  <c:v>Setor        I</c:v>
                </c:pt>
                <c:pt idx="1">
                  <c:v>Setor            II</c:v>
                </c:pt>
                <c:pt idx="2">
                  <c:v>Setor          III</c:v>
                </c:pt>
                <c:pt idx="3">
                  <c:v>Setor      IV</c:v>
                </c:pt>
                <c:pt idx="4">
                  <c:v>Setor          V</c:v>
                </c:pt>
                <c:pt idx="5">
                  <c:v>Setor      VI</c:v>
                </c:pt>
                <c:pt idx="6">
                  <c:v>Setor      VII</c:v>
                </c:pt>
                <c:pt idx="7">
                  <c:v>Setor      VIII</c:v>
                </c:pt>
                <c:pt idx="8">
                  <c:v>Setor      IX</c:v>
                </c:pt>
                <c:pt idx="9">
                  <c:v>Setor          X</c:v>
                </c:pt>
                <c:pt idx="10">
                  <c:v>Setor      XI</c:v>
                </c:pt>
                <c:pt idx="11">
                  <c:v>Setor      XII</c:v>
                </c:pt>
                <c:pt idx="12">
                  <c:v>Setor      XIII</c:v>
                </c:pt>
                <c:pt idx="13">
                  <c:v>Setor      XIV</c:v>
                </c:pt>
                <c:pt idx="14">
                  <c:v>Setor      XV</c:v>
                </c:pt>
                <c:pt idx="15">
                  <c:v>Setor      XVI</c:v>
                </c:pt>
                <c:pt idx="16">
                  <c:v>Setor      XVII</c:v>
                </c:pt>
                <c:pt idx="17">
                  <c:v>Setor      XVIII</c:v>
                </c:pt>
                <c:pt idx="18">
                  <c:v>Setor    XIX</c:v>
                </c:pt>
              </c:strCache>
            </c:strRef>
          </c:cat>
          <c:val>
            <c:numRef>
              <c:f>'Folha 09 area por bairro'!$D$101:$D$119</c:f>
              <c:numCache>
                <c:formatCode>#,##0</c:formatCode>
                <c:ptCount val="19"/>
                <c:pt idx="0">
                  <c:v>9880.86</c:v>
                </c:pt>
                <c:pt idx="1">
                  <c:v>11016.35</c:v>
                </c:pt>
                <c:pt idx="2">
                  <c:v>3703.7700000000004</c:v>
                </c:pt>
                <c:pt idx="3">
                  <c:v>12627.099999999999</c:v>
                </c:pt>
                <c:pt idx="4">
                  <c:v>2938.76</c:v>
                </c:pt>
                <c:pt idx="5">
                  <c:v>6583.8</c:v>
                </c:pt>
                <c:pt idx="6">
                  <c:v>8350.8100000000013</c:v>
                </c:pt>
                <c:pt idx="7">
                  <c:v>931.69999999999982</c:v>
                </c:pt>
                <c:pt idx="8">
                  <c:v>1467.38</c:v>
                </c:pt>
                <c:pt idx="9">
                  <c:v>1433.48</c:v>
                </c:pt>
                <c:pt idx="10">
                  <c:v>205763.44</c:v>
                </c:pt>
                <c:pt idx="11">
                  <c:v>2673.4699999999993</c:v>
                </c:pt>
                <c:pt idx="12">
                  <c:v>7878.5599999999995</c:v>
                </c:pt>
                <c:pt idx="13">
                  <c:v>10610.119999999999</c:v>
                </c:pt>
                <c:pt idx="14">
                  <c:v>3657.4</c:v>
                </c:pt>
                <c:pt idx="15">
                  <c:v>22554.109999999997</c:v>
                </c:pt>
                <c:pt idx="16">
                  <c:v>21132.04</c:v>
                </c:pt>
                <c:pt idx="17">
                  <c:v>0</c:v>
                </c:pt>
                <c:pt idx="18">
                  <c:v>244359.90999999997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80-4C49-97F6-1A745D82DA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2"/>
        <c:overlap val="36"/>
        <c:axId val="217203712"/>
        <c:axId val="231942976"/>
      </c:barChart>
      <c:catAx>
        <c:axId val="217203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2319429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31942976"/>
        <c:scaling>
          <c:orientation val="minMax"/>
          <c:max val="270000"/>
          <c:min val="0"/>
        </c:scaling>
        <c:delete val="0"/>
        <c:axPos val="l"/>
        <c:majorGridlines>
          <c:spPr>
            <a:ln w="6350">
              <a:solidFill>
                <a:schemeClr val="bg1">
                  <a:lumMod val="75000"/>
                </a:schemeClr>
              </a:solidFill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217203712"/>
        <c:crosses val="autoZero"/>
        <c:crossBetween val="between"/>
        <c:majorUnit val="10000"/>
      </c:valAx>
      <c:spPr>
        <a:gradFill rotWithShape="0">
          <a:gsLst>
            <a:gs pos="0">
              <a:srgbClr val="C0C0C0">
                <a:gamma/>
                <a:tint val="9020"/>
                <a:invGamma/>
              </a:srgbClr>
            </a:gs>
            <a:gs pos="100000">
              <a:srgbClr val="C0C0C0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79810517189392449"/>
          <c:y val="7.4646135749439485E-2"/>
          <c:w val="0.20003703253982663"/>
          <c:h val="5.828458995713899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1226" footer="0.49212598500001226"/>
    <c:pageSetup paperSize="9"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SÉRIE TEMPORAL - ÁREA (m²) TOTAL</a:t>
            </a:r>
          </a:p>
        </c:rich>
      </c:tx>
      <c:layout>
        <c:manualLayout>
          <c:xMode val="edge"/>
          <c:yMode val="edge"/>
          <c:x val="0.36374026222777656"/>
          <c:y val="3.0172413793103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31896555677387E-2"/>
          <c:y val="0.14977068020778733"/>
          <c:w val="0.91136890956804828"/>
          <c:h val="0.72629310344829223"/>
        </c:manualLayout>
      </c:layout>
      <c:lineChart>
        <c:grouping val="standard"/>
        <c:varyColors val="0"/>
        <c:ser>
          <c:idx val="0"/>
          <c:order val="0"/>
          <c:tx>
            <c:strRef>
              <c:f>'Folha 10 serie hist'!$G$5:$G$6</c:f>
              <c:strCache>
                <c:ptCount val="2"/>
                <c:pt idx="0">
                  <c:v>Total Área (m²)</c:v>
                </c:pt>
                <c:pt idx="1">
                  <c:v>Global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5"/>
              <c:layout>
                <c:manualLayout>
                  <c:x val="-3.8315304423842809E-2"/>
                  <c:y val="-4.48667175862695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9B9-4F28-931A-18406C65B95C}"/>
                </c:ext>
              </c:extLst>
            </c:dLbl>
            <c:dLbl>
              <c:idx val="6"/>
              <c:layout>
                <c:manualLayout>
                  <c:x val="-3.9847916600796555E-2"/>
                  <c:y val="-5.68311756092747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9B9-4F28-931A-18406C65B95C}"/>
                </c:ext>
              </c:extLst>
            </c:dLbl>
            <c:dLbl>
              <c:idx val="7"/>
              <c:layout>
                <c:manualLayout>
                  <c:x val="-4.291314095470395E-2"/>
                  <c:y val="-3.88844885747669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9B9-4F28-931A-18406C65B95C}"/>
                </c:ext>
              </c:extLst>
            </c:dLbl>
            <c:dLbl>
              <c:idx val="8"/>
              <c:layout>
                <c:manualLayout>
                  <c:x val="-3.8315304423842809E-2"/>
                  <c:y val="-3.58933740690156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9B9-4F28-931A-18406C65B95C}"/>
                </c:ext>
              </c:extLst>
            </c:dLbl>
            <c:dLbl>
              <c:idx val="9"/>
              <c:layout>
                <c:manualLayout>
                  <c:x val="-3.3717467892981731E-2"/>
                  <c:y val="-4.18756030805182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9B9-4F28-931A-18406C65B95C}"/>
                </c:ext>
              </c:extLst>
            </c:dLbl>
            <c:dLbl>
              <c:idx val="10"/>
              <c:layout>
                <c:manualLayout>
                  <c:x val="-3.8315304423842809E-2"/>
                  <c:y val="-8.07600916552851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9B9-4F28-931A-18406C65B95C}"/>
                </c:ext>
              </c:extLst>
            </c:dLbl>
            <c:dLbl>
              <c:idx val="11"/>
              <c:layout>
                <c:manualLayout>
                  <c:x val="-4.5978365308611428E-2"/>
                  <c:y val="-3.58933740690156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9B9-4F28-931A-18406C65B95C}"/>
                </c:ext>
              </c:extLst>
            </c:dLbl>
            <c:dLbl>
              <c:idx val="12"/>
              <c:layout>
                <c:manualLayout>
                  <c:x val="-5.8239262724241077E-2"/>
                  <c:y val="-5.38400611035234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9B9-4F28-931A-18406C65B95C}"/>
                </c:ext>
              </c:extLst>
            </c:dLbl>
            <c:dLbl>
              <c:idx val="13"/>
              <c:layout>
                <c:manualLayout>
                  <c:x val="-3.9847916600796521E-2"/>
                  <c:y val="-4.48667175862695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9B9-4F28-931A-18406C65B95C}"/>
                </c:ext>
              </c:extLst>
            </c:dLbl>
            <c:dLbl>
              <c:idx val="14"/>
              <c:layout>
                <c:manualLayout>
                  <c:x val="-1.6858733946490949E-2"/>
                  <c:y val="-5.38400611035234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9B9-4F28-931A-18406C65B95C}"/>
                </c:ext>
              </c:extLst>
            </c:dLbl>
            <c:dLbl>
              <c:idx val="15"/>
              <c:layout>
                <c:manualLayout>
                  <c:x val="-3.5250080069935498E-2"/>
                  <c:y val="-4.48667175862696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9B9-4F28-931A-18406C65B95C}"/>
                </c:ext>
              </c:extLst>
            </c:dLbl>
            <c:dLbl>
              <c:idx val="16"/>
              <c:layout>
                <c:manualLayout>
                  <c:x val="-3.5250080069935387E-2"/>
                  <c:y val="-2.69200305517617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9B9-4F28-931A-18406C65B95C}"/>
                </c:ext>
              </c:extLst>
            </c:dLbl>
            <c:dLbl>
              <c:idx val="17"/>
              <c:layout>
                <c:manualLayout>
                  <c:x val="-2.4521794831259512E-2"/>
                  <c:y val="-3.58933740690157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9B9-4F28-931A-18406C65B95C}"/>
                </c:ext>
              </c:extLst>
            </c:dLbl>
            <c:dLbl>
              <c:idx val="22"/>
              <c:layout>
                <c:manualLayout>
                  <c:x val="-4.291314095470395E-2"/>
                  <c:y val="-8.37512061610364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93A-41CA-BCEF-8BCF8DFA20A8}"/>
                </c:ext>
              </c:extLst>
            </c:dLbl>
            <c:dLbl>
              <c:idx val="23"/>
              <c:layout>
                <c:manualLayout>
                  <c:x val="-3.3717467892981703E-2"/>
                  <c:y val="-3.88844885747668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93A-41CA-BCEF-8BCF8DFA20A8}"/>
                </c:ext>
              </c:extLst>
            </c:dLbl>
            <c:dLbl>
              <c:idx val="24"/>
              <c:layout>
                <c:manualLayout>
                  <c:x val="-3.6782692246889098E-2"/>
                  <c:y val="-6.58045191265286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93A-41CA-BCEF-8BCF8DFA20A8}"/>
                </c:ext>
              </c:extLst>
            </c:dLbl>
            <c:dLbl>
              <c:idx val="25"/>
              <c:layout>
                <c:manualLayout>
                  <c:x val="-4.4445753131657717E-2"/>
                  <c:y val="-4.78578320920209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93A-41CA-BCEF-8BCF8DFA20A8}"/>
                </c:ext>
              </c:extLst>
            </c:dLbl>
            <c:dLbl>
              <c:idx val="26"/>
              <c:layout>
                <c:manualLayout>
                  <c:x val="-2.7587019185166824E-2"/>
                  <c:y val="-4.18756030805182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93A-41CA-BCEF-8BCF8DFA20A8}"/>
                </c:ext>
              </c:extLst>
            </c:dLbl>
            <c:dLbl>
              <c:idx val="27"/>
              <c:layout>
                <c:manualLayout>
                  <c:x val="-2.2989182654305686E-2"/>
                  <c:y val="-3.58933740690157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93A-41CA-BCEF-8BCF8DFA20A8}"/>
                </c:ext>
              </c:extLst>
            </c:dLbl>
            <c:dLbl>
              <c:idx val="28"/>
              <c:layout>
                <c:manualLayout>
                  <c:x val="-4.5978365308611428E-2"/>
                  <c:y val="-8.07600916552851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93A-41CA-BCEF-8BCF8DFA20A8}"/>
                </c:ext>
              </c:extLst>
            </c:dLbl>
            <c:dLbl>
              <c:idx val="29"/>
              <c:layout>
                <c:manualLayout>
                  <c:x val="-4.4445753131657662E-2"/>
                  <c:y val="-3.88844885747669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93A-41CA-BCEF-8BCF8DFA20A8}"/>
                </c:ext>
              </c:extLst>
            </c:dLbl>
            <c:dLbl>
              <c:idx val="30"/>
              <c:layout>
                <c:manualLayout>
                  <c:x val="-5.8239262724241077E-2"/>
                  <c:y val="-8.07600916552851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93A-41CA-BCEF-8BCF8DFA20A8}"/>
                </c:ext>
              </c:extLst>
            </c:dLbl>
            <c:dLbl>
              <c:idx val="31"/>
              <c:layout>
                <c:manualLayout>
                  <c:x val="-4.4445753131657773E-2"/>
                  <c:y val="-4.18756030805181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93A-41CA-BCEF-8BCF8DFA20A8}"/>
                </c:ext>
              </c:extLst>
            </c:dLbl>
            <c:dLbl>
              <c:idx val="32"/>
              <c:layout>
                <c:manualLayout>
                  <c:x val="-1.3793509592583525E-2"/>
                  <c:y val="-6.87956336322799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93A-41CA-BCEF-8BCF8DFA20A8}"/>
                </c:ext>
              </c:extLst>
            </c:dLbl>
            <c:dLbl>
              <c:idx val="33"/>
              <c:layout>
                <c:manualLayout>
                  <c:x val="-3.8315304423842809E-2"/>
                  <c:y val="-4.48667175862696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93A-41CA-BCEF-8BCF8DFA20A8}"/>
                </c:ext>
              </c:extLst>
            </c:dLbl>
            <c:dLbl>
              <c:idx val="34"/>
              <c:layout>
                <c:manualLayout>
                  <c:x val="-2.1456570477351975E-2"/>
                  <c:y val="-4.18756030805183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93A-41CA-BCEF-8BCF8DFA20A8}"/>
                </c:ext>
              </c:extLst>
            </c:dLbl>
            <c:dLbl>
              <c:idx val="45"/>
              <c:layout>
                <c:manualLayout>
                  <c:x val="-4.1380528777750239E-2"/>
                  <c:y val="-5.08489465977721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8AB-4B2C-9A89-1FFD7F45D7BC}"/>
                </c:ext>
              </c:extLst>
            </c:dLbl>
            <c:dLbl>
              <c:idx val="46"/>
              <c:layout>
                <c:manualLayout>
                  <c:x val="-5.3641426193379964E-2"/>
                  <c:y val="-7.17867481380312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AB-4B2C-9A89-1FFD7F45D7BC}"/>
                </c:ext>
              </c:extLst>
            </c:dLbl>
            <c:dLbl>
              <c:idx val="47"/>
              <c:layout>
                <c:manualLayout>
                  <c:x val="-4.5978365308611373E-2"/>
                  <c:y val="-4.1875603080518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8AB-4B2C-9A89-1FFD7F45D7BC}"/>
                </c:ext>
              </c:extLst>
            </c:dLbl>
            <c:dLbl>
              <c:idx val="48"/>
              <c:layout>
                <c:manualLayout>
                  <c:x val="-3.3717467892981676E-2"/>
                  <c:y val="-6.58045191265286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8AB-4B2C-9A89-1FFD7F45D7BC}"/>
                </c:ext>
              </c:extLst>
            </c:dLbl>
            <c:dLbl>
              <c:idx val="49"/>
              <c:layout>
                <c:manualLayout>
                  <c:x val="-3.9847916600796583E-2"/>
                  <c:y val="-5.08489465977722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8AB-4B2C-9A89-1FFD7F45D7BC}"/>
                </c:ext>
              </c:extLst>
            </c:dLbl>
            <c:dLbl>
              <c:idx val="50"/>
              <c:layout>
                <c:manualLayout>
                  <c:x val="-3.5250080069935387E-2"/>
                  <c:y val="-3.58933740690156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8AB-4B2C-9A89-1FFD7F45D7BC}"/>
                </c:ext>
              </c:extLst>
            </c:dLbl>
            <c:dLbl>
              <c:idx val="51"/>
              <c:layout>
                <c:manualLayout>
                  <c:x val="-2.7587019185166879E-2"/>
                  <c:y val="-3.58933740690157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8AB-4B2C-9A89-1FFD7F45D7BC}"/>
                </c:ext>
              </c:extLst>
            </c:dLbl>
            <c:dLbl>
              <c:idx val="52"/>
              <c:layout>
                <c:manualLayout>
                  <c:x val="-3.5250080069935387E-2"/>
                  <c:y val="-7.77689771495338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8AB-4B2C-9A89-1FFD7F45D7BC}"/>
                </c:ext>
              </c:extLst>
            </c:dLbl>
            <c:dLbl>
              <c:idx val="53"/>
              <c:layout>
                <c:manualLayout>
                  <c:x val="-5.0576201839472514E-2"/>
                  <c:y val="-4.48667175862695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8AB-4B2C-9A89-1FFD7F45D7BC}"/>
                </c:ext>
              </c:extLst>
            </c:dLbl>
            <c:dLbl>
              <c:idx val="54"/>
              <c:layout>
                <c:manualLayout>
                  <c:x val="-4.9043589662518913E-2"/>
                  <c:y val="-9.57156641840416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8AB-4B2C-9A89-1FFD7F45D7BC}"/>
                </c:ext>
              </c:extLst>
            </c:dLbl>
            <c:dLbl>
              <c:idx val="55"/>
              <c:layout>
                <c:manualLayout>
                  <c:x val="-4.5978365308611484E-2"/>
                  <c:y val="-3.88844885747669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8AB-4B2C-9A89-1FFD7F45D7BC}"/>
                </c:ext>
              </c:extLst>
            </c:dLbl>
            <c:dLbl>
              <c:idx val="56"/>
              <c:layout>
                <c:manualLayout>
                  <c:x val="-1.6858733946490838E-2"/>
                  <c:y val="-5.68311756092747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8AB-4B2C-9A89-1FFD7F45D7BC}"/>
                </c:ext>
              </c:extLst>
            </c:dLbl>
            <c:dLbl>
              <c:idx val="57"/>
              <c:layout>
                <c:manualLayout>
                  <c:x val="-1.6858733946490949E-2"/>
                  <c:y val="-4.18756030805183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8AB-4B2C-9A89-1FFD7F45D7BC}"/>
                </c:ext>
              </c:extLst>
            </c:dLbl>
            <c:dLbl>
              <c:idx val="69"/>
              <c:layout>
                <c:manualLayout>
                  <c:x val="-3.3717467892981676E-2"/>
                  <c:y val="-2.99111450575130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77-43E9-A5A9-B19C0420811C}"/>
                </c:ext>
              </c:extLst>
            </c:dLbl>
            <c:dLbl>
              <c:idx val="70"/>
              <c:layout>
                <c:manualLayout>
                  <c:x val="-4.4445753131657689E-2"/>
                  <c:y val="-5.38400611035234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477-43E9-A5A9-B19C0420811C}"/>
                </c:ext>
              </c:extLst>
            </c:dLbl>
            <c:dLbl>
              <c:idx val="71"/>
              <c:layout>
                <c:manualLayout>
                  <c:x val="-3.3717467892981676E-2"/>
                  <c:y val="-3.58933740690155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77-43E9-A5A9-B19C0420811C}"/>
                </c:ext>
              </c:extLst>
            </c:dLbl>
            <c:dLbl>
              <c:idx val="72"/>
              <c:layout>
                <c:manualLayout>
                  <c:x val="-3.8315304423842809E-2"/>
                  <c:y val="-5.68311756092747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77-43E9-A5A9-B19C0420811C}"/>
                </c:ext>
              </c:extLst>
            </c:dLbl>
            <c:dLbl>
              <c:idx val="73"/>
              <c:layout>
                <c:manualLayout>
                  <c:x val="-4.291314095470395E-2"/>
                  <c:y val="-4.48667175862696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477-43E9-A5A9-B19C0420811C}"/>
                </c:ext>
              </c:extLst>
            </c:dLbl>
            <c:dLbl>
              <c:idx val="74"/>
              <c:layout>
                <c:manualLayout>
                  <c:x val="-3.9847916600796521E-2"/>
                  <c:y val="-3.29022595632643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477-43E9-A5A9-B19C0420811C}"/>
                </c:ext>
              </c:extLst>
            </c:dLbl>
            <c:dLbl>
              <c:idx val="75"/>
              <c:layout>
                <c:manualLayout>
                  <c:x val="-3.218485571602802E-2"/>
                  <c:y val="-3.8884488574767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477-43E9-A5A9-B19C0420811C}"/>
                </c:ext>
              </c:extLst>
            </c:dLbl>
            <c:dLbl>
              <c:idx val="76"/>
              <c:layout>
                <c:manualLayout>
                  <c:x val="-3.5250080069935387E-2"/>
                  <c:y val="-6.58045191265286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477-43E9-A5A9-B19C0420811C}"/>
                </c:ext>
              </c:extLst>
            </c:dLbl>
            <c:dLbl>
              <c:idx val="77"/>
              <c:layout>
                <c:manualLayout>
                  <c:x val="-4.1380528777750239E-2"/>
                  <c:y val="-4.18756030805182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477-43E9-A5A9-B19C0420811C}"/>
                </c:ext>
              </c:extLst>
            </c:dLbl>
            <c:dLbl>
              <c:idx val="78"/>
              <c:layout>
                <c:manualLayout>
                  <c:x val="-5.2108814016426336E-2"/>
                  <c:y val="-8.97334351725390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477-43E9-A5A9-B19C0420811C}"/>
                </c:ext>
              </c:extLst>
            </c:dLbl>
            <c:dLbl>
              <c:idx val="79"/>
              <c:layout>
                <c:manualLayout>
                  <c:x val="-3.6782692246889209E-2"/>
                  <c:y val="-3.58933740690156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477-43E9-A5A9-B19C0420811C}"/>
                </c:ext>
              </c:extLst>
            </c:dLbl>
            <c:dLbl>
              <c:idx val="80"/>
              <c:layout>
                <c:manualLayout>
                  <c:x val="-1.5326121769537125E-2"/>
                  <c:y val="-5.98222901150260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477-43E9-A5A9-B19C0420811C}"/>
                </c:ext>
              </c:extLst>
            </c:dLbl>
            <c:dLbl>
              <c:idx val="81"/>
              <c:layout>
                <c:manualLayout>
                  <c:x val="-2.2989182654305801E-2"/>
                  <c:y val="-4.18756030805183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477-43E9-A5A9-B19C0420811C}"/>
                </c:ext>
              </c:extLst>
            </c:dLbl>
            <c:dLbl>
              <c:idx val="92"/>
              <c:layout>
                <c:manualLayout>
                  <c:x val="-2.9119631362120538E-2"/>
                  <c:y val="-3.58933740690156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A88-4057-8222-F32F242B2B66}"/>
                </c:ext>
              </c:extLst>
            </c:dLbl>
            <c:dLbl>
              <c:idx val="93"/>
              <c:layout>
                <c:manualLayout>
                  <c:x val="-1.9923958300398292E-2"/>
                  <c:y val="-4.48667175862695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88-4057-8222-F32F242B2B66}"/>
                </c:ext>
              </c:extLst>
            </c:dLbl>
            <c:dLbl>
              <c:idx val="94"/>
              <c:layout>
                <c:manualLayout>
                  <c:x val="-4.4445753131657662E-2"/>
                  <c:y val="-6.58045191265286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A88-4057-8222-F32F242B2B66}"/>
                </c:ext>
              </c:extLst>
            </c:dLbl>
            <c:dLbl>
              <c:idx val="95"/>
              <c:layout>
                <c:manualLayout>
                  <c:x val="-3.218485571602802E-2"/>
                  <c:y val="-4.48667175862695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A88-4057-8222-F32F242B2B66}"/>
                </c:ext>
              </c:extLst>
            </c:dLbl>
            <c:dLbl>
              <c:idx val="96"/>
              <c:layout>
                <c:manualLayout>
                  <c:x val="-3.3717467892981731E-2"/>
                  <c:y val="-6.28134046207773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A88-4057-8222-F32F242B2B66}"/>
                </c:ext>
              </c:extLst>
            </c:dLbl>
            <c:dLbl>
              <c:idx val="97"/>
              <c:layout>
                <c:manualLayout>
                  <c:x val="-3.9847916600796521E-2"/>
                  <c:y val="-4.78578320920209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A88-4057-8222-F32F242B2B66}"/>
                </c:ext>
              </c:extLst>
            </c:dLbl>
            <c:dLbl>
              <c:idx val="98"/>
              <c:layout>
                <c:manualLayout>
                  <c:x val="-3.3717467892981676E-2"/>
                  <c:y val="-4.18756030805182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A88-4057-8222-F32F242B2B66}"/>
                </c:ext>
              </c:extLst>
            </c:dLbl>
            <c:dLbl>
              <c:idx val="99"/>
              <c:layout>
                <c:manualLayout>
                  <c:x val="-3.3717467892981676E-2"/>
                  <c:y val="-4.7857832092020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A88-4057-8222-F32F242B2B66}"/>
                </c:ext>
              </c:extLst>
            </c:dLbl>
            <c:dLbl>
              <c:idx val="100"/>
              <c:layout>
                <c:manualLayout>
                  <c:x val="-3.8315304423842809E-2"/>
                  <c:y val="-8.07600916552851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A88-4057-8222-F32F242B2B66}"/>
                </c:ext>
              </c:extLst>
            </c:dLbl>
            <c:dLbl>
              <c:idx val="101"/>
              <c:layout>
                <c:manualLayout>
                  <c:x val="-3.9847916600796521E-2"/>
                  <c:y val="-4.18756030805182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A88-4057-8222-F32F242B2B66}"/>
                </c:ext>
              </c:extLst>
            </c:dLbl>
            <c:dLbl>
              <c:idx val="102"/>
              <c:layout>
                <c:manualLayout>
                  <c:x val="-5.9771874901194899E-2"/>
                  <c:y val="-7.47778626437825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A88-4057-8222-F32F242B2B66}"/>
                </c:ext>
              </c:extLst>
            </c:dLbl>
            <c:dLbl>
              <c:idx val="103"/>
              <c:layout>
                <c:manualLayout>
                  <c:x val="-3.3717467892981676E-2"/>
                  <c:y val="-3.88844885747669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A88-4057-8222-F32F242B2B66}"/>
                </c:ext>
              </c:extLst>
            </c:dLbl>
            <c:dLbl>
              <c:idx val="104"/>
              <c:layout>
                <c:manualLayout>
                  <c:x val="-3.0652243539074361E-2"/>
                  <c:y val="2.69200305517617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A88-4057-8222-F32F242B2B66}"/>
                </c:ext>
              </c:extLst>
            </c:dLbl>
            <c:dLbl>
              <c:idx val="116"/>
              <c:layout>
                <c:manualLayout>
                  <c:x val="-2.9119631362120538E-2"/>
                  <c:y val="-3.29022595632643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E4A-43C6-B43F-90C1F39CE422}"/>
                </c:ext>
              </c:extLst>
            </c:dLbl>
            <c:dLbl>
              <c:idx val="117"/>
              <c:layout>
                <c:manualLayout>
                  <c:x val="-3.0652243539074277E-2"/>
                  <c:y val="-3.29022595632643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E4A-43C6-B43F-90C1F39CE422}"/>
                </c:ext>
              </c:extLst>
            </c:dLbl>
            <c:dLbl>
              <c:idx val="118"/>
              <c:layout>
                <c:manualLayout>
                  <c:x val="-5.0576201839472514E-2"/>
                  <c:y val="-6.87956336322799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E4A-43C6-B43F-90C1F39CE422}"/>
                </c:ext>
              </c:extLst>
            </c:dLbl>
            <c:dLbl>
              <c:idx val="119"/>
              <c:layout>
                <c:manualLayout>
                  <c:x val="-3.5250080069935387E-2"/>
                  <c:y val="-3.88844885747668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E4A-43C6-B43F-90C1F39CE422}"/>
                </c:ext>
              </c:extLst>
            </c:dLbl>
            <c:dLbl>
              <c:idx val="120"/>
              <c:layout>
                <c:manualLayout>
                  <c:x val="-3.8315304423842865E-2"/>
                  <c:y val="-5.38400611035234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E4A-43C6-B43F-90C1F39CE422}"/>
                </c:ext>
              </c:extLst>
            </c:dLbl>
            <c:dLbl>
              <c:idx val="121"/>
              <c:layout>
                <c:manualLayout>
                  <c:x val="-3.8315304423842809E-2"/>
                  <c:y val="-4.48667175862696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E4A-43C6-B43F-90C1F39CE422}"/>
                </c:ext>
              </c:extLst>
            </c:dLbl>
            <c:dLbl>
              <c:idx val="122"/>
              <c:layout>
                <c:manualLayout>
                  <c:x val="-3.3717467892981676E-2"/>
                  <c:y val="-4.18756030805182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E4A-43C6-B43F-90C1F39CE422}"/>
                </c:ext>
              </c:extLst>
            </c:dLbl>
            <c:dLbl>
              <c:idx val="123"/>
              <c:layout>
                <c:manualLayout>
                  <c:x val="-2.9119631362120649E-2"/>
                  <c:y val="-3.58933740690157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E4A-43C6-B43F-90C1F39CE422}"/>
                </c:ext>
              </c:extLst>
            </c:dLbl>
            <c:dLbl>
              <c:idx val="124"/>
              <c:layout>
                <c:manualLayout>
                  <c:x val="-3.5250080069935387E-2"/>
                  <c:y val="-6.87956336322799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E4A-43C6-B43F-90C1F39CE422}"/>
                </c:ext>
              </c:extLst>
            </c:dLbl>
            <c:dLbl>
              <c:idx val="125"/>
              <c:layout>
                <c:manualLayout>
                  <c:x val="-5.3641426193379936E-2"/>
                  <c:y val="-3.88844885747669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E4A-43C6-B43F-90C1F39CE422}"/>
                </c:ext>
              </c:extLst>
            </c:dLbl>
            <c:dLbl>
              <c:idx val="126"/>
              <c:layout>
                <c:manualLayout>
                  <c:x val="-6.5902323609009744E-2"/>
                  <c:y val="-4.48667175862695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E4A-43C6-B43F-90C1F39CE422}"/>
                </c:ext>
              </c:extLst>
            </c:dLbl>
            <c:dLbl>
              <c:idx val="127"/>
              <c:layout>
                <c:manualLayout>
                  <c:x val="-3.9847916600796521E-2"/>
                  <c:y val="-4.18756030805181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E4A-43C6-B43F-90C1F39CE422}"/>
                </c:ext>
              </c:extLst>
            </c:dLbl>
            <c:dLbl>
              <c:idx val="128"/>
              <c:layout>
                <c:manualLayout>
                  <c:x val="-1.992395830039826E-2"/>
                  <c:y val="3.58933740690156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E4A-43C6-B43F-90C1F39CE422}"/>
                </c:ext>
              </c:extLst>
            </c:dLbl>
            <c:dLbl>
              <c:idx val="187"/>
              <c:layout>
                <c:manualLayout>
                  <c:x val="-3.3717467892981676E-2"/>
                  <c:y val="-6.87956336322799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09E-421A-988F-3892242EC1F4}"/>
                </c:ext>
              </c:extLst>
            </c:dLbl>
            <c:dLbl>
              <c:idx val="188"/>
              <c:layout>
                <c:manualLayout>
                  <c:x val="-3.2184855716027992E-2"/>
                  <c:y val="-3.8884488574767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9E-421A-988F-3892242EC1F4}"/>
                </c:ext>
              </c:extLst>
            </c:dLbl>
            <c:dLbl>
              <c:idx val="189"/>
              <c:layout>
                <c:manualLayout>
                  <c:x val="-1.8391346123444549E-2"/>
                  <c:y val="-2.99111450575130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09E-421A-988F-3892242EC1F4}"/>
                </c:ext>
              </c:extLst>
            </c:dLbl>
            <c:dLbl>
              <c:idx val="190"/>
              <c:layout>
                <c:manualLayout>
                  <c:x val="-4.5978365308611428E-2"/>
                  <c:y val="-5.98222901150260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09E-421A-988F-3892242EC1F4}"/>
                </c:ext>
              </c:extLst>
            </c:dLbl>
            <c:dLbl>
              <c:idx val="191"/>
              <c:layout>
                <c:manualLayout>
                  <c:x val="-3.065224353907425E-2"/>
                  <c:y val="-3.29022595632643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09E-421A-988F-3892242EC1F4}"/>
                </c:ext>
              </c:extLst>
            </c:dLbl>
            <c:dLbl>
              <c:idx val="192"/>
              <c:layout>
                <c:manualLayout>
                  <c:x val="-3.2184855716027964E-2"/>
                  <c:y val="-6.58045191265286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09E-421A-988F-3892242EC1F4}"/>
                </c:ext>
              </c:extLst>
            </c:dLbl>
            <c:dLbl>
              <c:idx val="193"/>
              <c:layout>
                <c:manualLayout>
                  <c:x val="-3.5250080069935442E-2"/>
                  <c:y val="-4.48667175862696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09E-421A-988F-3892242EC1F4}"/>
                </c:ext>
              </c:extLst>
            </c:dLbl>
            <c:dLbl>
              <c:idx val="194"/>
              <c:layout>
                <c:manualLayout>
                  <c:x val="-3.3717467892981676E-2"/>
                  <c:y val="-4.18756030805182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09E-421A-988F-3892242EC1F4}"/>
                </c:ext>
              </c:extLst>
            </c:dLbl>
            <c:dLbl>
              <c:idx val="195"/>
              <c:layout>
                <c:manualLayout>
                  <c:x val="-2.9119631362120538E-2"/>
                  <c:y val="-3.58933740690157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09E-421A-988F-3892242EC1F4}"/>
                </c:ext>
              </c:extLst>
            </c:dLbl>
            <c:dLbl>
              <c:idx val="196"/>
              <c:layout>
                <c:manualLayout>
                  <c:x val="-3.8315304423842921E-2"/>
                  <c:y val="-8.97334351725390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09E-421A-988F-3892242EC1F4}"/>
                </c:ext>
              </c:extLst>
            </c:dLbl>
            <c:dLbl>
              <c:idx val="197"/>
              <c:layout>
                <c:manualLayout>
                  <c:x val="-4.7510977485565202E-2"/>
                  <c:y val="-4.48667175862695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09E-421A-988F-3892242EC1F4}"/>
                </c:ext>
              </c:extLst>
            </c:dLbl>
            <c:dLbl>
              <c:idx val="198"/>
              <c:layout>
                <c:manualLayout>
                  <c:x val="-5.9771874901194788E-2"/>
                  <c:y val="-6.58045191265285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09E-421A-988F-3892242EC1F4}"/>
                </c:ext>
              </c:extLst>
            </c:dLbl>
            <c:dLbl>
              <c:idx val="199"/>
              <c:layout>
                <c:manualLayout>
                  <c:x val="-2.1456570477351975E-2"/>
                  <c:y val="-4.48667175862695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09E-421A-988F-3892242EC1F4}"/>
                </c:ext>
              </c:extLst>
            </c:dLbl>
            <c:dLbl>
              <c:idx val="211"/>
              <c:layout>
                <c:manualLayout>
                  <c:x val="-3.9847916600796521E-2"/>
                  <c:y val="-5.98222901150261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425-4FC7-8154-F09A8A9CD3B1}"/>
                </c:ext>
              </c:extLst>
            </c:dLbl>
            <c:dLbl>
              <c:idx val="212"/>
              <c:layout>
                <c:manualLayout>
                  <c:x val="-3.8315304423842837E-2"/>
                  <c:y val="-4.18756030805183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425-4FC7-8154-F09A8A9CD3B1}"/>
                </c:ext>
              </c:extLst>
            </c:dLbl>
            <c:dLbl>
              <c:idx val="213"/>
              <c:layout>
                <c:manualLayout>
                  <c:x val="-3.2184855716027964E-2"/>
                  <c:y val="-5.08489465977721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425-4FC7-8154-F09A8A9CD3B1}"/>
                </c:ext>
              </c:extLst>
            </c:dLbl>
            <c:dLbl>
              <c:idx val="214"/>
              <c:layout>
                <c:manualLayout>
                  <c:x val="-4.4445753131657717E-2"/>
                  <c:y val="-6.87956336322799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425-4FC7-8154-F09A8A9CD3B1}"/>
                </c:ext>
              </c:extLst>
            </c:dLbl>
            <c:dLbl>
              <c:idx val="215"/>
              <c:layout>
                <c:manualLayout>
                  <c:x val="-4.1380528777750239E-2"/>
                  <c:y val="-4.48667175862696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425-4FC7-8154-F09A8A9CD3B1}"/>
                </c:ext>
              </c:extLst>
            </c:dLbl>
            <c:dLbl>
              <c:idx val="216"/>
              <c:layout>
                <c:manualLayout>
                  <c:x val="-3.5250080069935387E-2"/>
                  <c:y val="-6.28134046207773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425-4FC7-8154-F09A8A9CD3B1}"/>
                </c:ext>
              </c:extLst>
            </c:dLbl>
            <c:dLbl>
              <c:idx val="217"/>
              <c:layout>
                <c:manualLayout>
                  <c:x val="-3.5250080069935442E-2"/>
                  <c:y val="-4.48667175862695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425-4FC7-8154-F09A8A9CD3B1}"/>
                </c:ext>
              </c:extLst>
            </c:dLbl>
            <c:dLbl>
              <c:idx val="218"/>
              <c:layout>
                <c:manualLayout>
                  <c:x val="-3.2184855716027964E-2"/>
                  <c:y val="-4.48667175862696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425-4FC7-8154-F09A8A9CD3B1}"/>
                </c:ext>
              </c:extLst>
            </c:dLbl>
            <c:dLbl>
              <c:idx val="219"/>
              <c:layout>
                <c:manualLayout>
                  <c:x val="-2.6054407008213112E-2"/>
                  <c:y val="-4.48667175862695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425-4FC7-8154-F09A8A9CD3B1}"/>
                </c:ext>
              </c:extLst>
            </c:dLbl>
            <c:dLbl>
              <c:idx val="220"/>
              <c:layout>
                <c:manualLayout>
                  <c:x val="-3.6782692246889098E-2"/>
                  <c:y val="-6.28134046207773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25-4FC7-8154-F09A8A9CD3B1}"/>
                </c:ext>
              </c:extLst>
            </c:dLbl>
            <c:dLbl>
              <c:idx val="221"/>
              <c:layout>
                <c:manualLayout>
                  <c:x val="-6.130448707814861E-2"/>
                  <c:y val="-3.58933740690156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425-4FC7-8154-F09A8A9CD3B1}"/>
                </c:ext>
              </c:extLst>
            </c:dLbl>
            <c:dLbl>
              <c:idx val="222"/>
              <c:layout>
                <c:manualLayout>
                  <c:x val="-6.2837099255102211E-2"/>
                  <c:y val="-5.08489465977721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25-4FC7-8154-F09A8A9CD3B1}"/>
                </c:ext>
              </c:extLst>
            </c:dLbl>
            <c:dLbl>
              <c:idx val="223"/>
              <c:layout>
                <c:manualLayout>
                  <c:x val="-2.2989182654305801E-2"/>
                  <c:y val="-3.88844885747669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425-4FC7-8154-F09A8A9CD3B1}"/>
                </c:ext>
              </c:extLst>
            </c:dLbl>
            <c:dLbl>
              <c:idx val="234"/>
              <c:layout>
                <c:manualLayout>
                  <c:x val="-3.3717467892981676E-2"/>
                  <c:y val="-4.48667175862695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157-450B-93C7-0D8C407F1C90}"/>
                </c:ext>
              </c:extLst>
            </c:dLbl>
            <c:dLbl>
              <c:idx val="235"/>
              <c:layout>
                <c:manualLayout>
                  <c:x val="-3.6782692246889098E-2"/>
                  <c:y val="-6.58045191265287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157-450B-93C7-0D8C407F1C90}"/>
                </c:ext>
              </c:extLst>
            </c:dLbl>
            <c:dLbl>
              <c:idx val="236"/>
              <c:layout>
                <c:manualLayout>
                  <c:x val="-3.2184855716027964E-2"/>
                  <c:y val="-3.88844885747669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157-450B-93C7-0D8C407F1C90}"/>
                </c:ext>
              </c:extLst>
            </c:dLbl>
            <c:dLbl>
              <c:idx val="237"/>
              <c:layout>
                <c:manualLayout>
                  <c:x val="-2.1456570477351975E-2"/>
                  <c:y val="-4.48667175862695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157-450B-93C7-0D8C407F1C90}"/>
                </c:ext>
              </c:extLst>
            </c:dLbl>
            <c:dLbl>
              <c:idx val="238"/>
              <c:layout>
                <c:manualLayout>
                  <c:x val="-4.291314095470395E-2"/>
                  <c:y val="-7.77689771495338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157-450B-93C7-0D8C407F1C90}"/>
                </c:ext>
              </c:extLst>
            </c:dLbl>
            <c:dLbl>
              <c:idx val="239"/>
              <c:layout>
                <c:manualLayout>
                  <c:x val="-3.6782692246889098E-2"/>
                  <c:y val="-4.48667175862695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157-450B-93C7-0D8C407F1C90}"/>
                </c:ext>
              </c:extLst>
            </c:dLbl>
            <c:dLbl>
              <c:idx val="240"/>
              <c:layout>
                <c:manualLayout>
                  <c:x val="-3.3717467892981676E-2"/>
                  <c:y val="-7.17867481380312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157-450B-93C7-0D8C407F1C90}"/>
                </c:ext>
              </c:extLst>
            </c:dLbl>
            <c:dLbl>
              <c:idx val="241"/>
              <c:layout>
                <c:manualLayout>
                  <c:x val="-4.1380528777750239E-2"/>
                  <c:y val="-5.68311756092748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157-450B-93C7-0D8C407F1C90}"/>
                </c:ext>
              </c:extLst>
            </c:dLbl>
            <c:dLbl>
              <c:idx val="242"/>
              <c:layout>
                <c:manualLayout>
                  <c:x val="-3.3717467892981676E-2"/>
                  <c:y val="-4.7857832092020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157-450B-93C7-0D8C407F1C90}"/>
                </c:ext>
              </c:extLst>
            </c:dLbl>
            <c:dLbl>
              <c:idx val="243"/>
              <c:layout>
                <c:manualLayout>
                  <c:x val="-2.9119631362120538E-2"/>
                  <c:y val="-3.88844885747669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157-450B-93C7-0D8C407F1C90}"/>
                </c:ext>
              </c:extLst>
            </c:dLbl>
            <c:dLbl>
              <c:idx val="244"/>
              <c:layout>
                <c:manualLayout>
                  <c:x val="-3.5250080069935498E-2"/>
                  <c:y val="-8.97334351725391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157-450B-93C7-0D8C407F1C90}"/>
                </c:ext>
              </c:extLst>
            </c:dLbl>
            <c:dLbl>
              <c:idx val="245"/>
              <c:layout>
                <c:manualLayout>
                  <c:x val="-4.5978365308611373E-2"/>
                  <c:y val="-3.58933740690156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157-450B-93C7-0D8C407F1C90}"/>
                </c:ext>
              </c:extLst>
            </c:dLbl>
            <c:dLbl>
              <c:idx val="246"/>
              <c:layout>
                <c:manualLayout>
                  <c:x val="-2.7587019185166824E-2"/>
                  <c:y val="-2.99111450575130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157-450B-93C7-0D8C407F1C90}"/>
                </c:ext>
              </c:extLst>
            </c:dLbl>
            <c:dLbl>
              <c:idx val="269"/>
              <c:layout>
                <c:manualLayout>
                  <c:x val="-3.684291063084983E-2"/>
                  <c:y val="-9.03318935945165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578-4D98-A658-33E0C5E79B3A}"/>
                </c:ext>
              </c:extLst>
            </c:dLbl>
            <c:dLbl>
              <c:idx val="270"/>
              <c:layout>
                <c:manualLayout>
                  <c:x val="-3.8739970742795574E-2"/>
                  <c:y val="-7.28334762382091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578-4D98-A658-33E0C5E79B3A}"/>
                </c:ext>
              </c:extLst>
            </c:dLbl>
            <c:dLbl>
              <c:idx val="282"/>
              <c:layout>
                <c:manualLayout>
                  <c:x val="-3.8685182874422588E-2"/>
                  <c:y val="-4.40845421982678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0A5-4BF7-9A75-0CF6C0D57697}"/>
                </c:ext>
              </c:extLst>
            </c:dLbl>
            <c:dLbl>
              <c:idx val="283"/>
              <c:layout>
                <c:manualLayout>
                  <c:x val="-3.8739970742795574E-2"/>
                  <c:y val="-7.28334762382091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0A5-4BF7-9A75-0CF6C0D57697}"/>
                </c:ext>
              </c:extLst>
            </c:dLbl>
            <c:dLbl>
              <c:idx val="284"/>
              <c:layout>
                <c:manualLayout>
                  <c:x val="-4.2832045255261991E-2"/>
                  <c:y val="-4.163274666589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0A5-4BF7-9A75-0CF6C0D57697}"/>
                </c:ext>
              </c:extLst>
            </c:dLbl>
            <c:dLbl>
              <c:idx val="285"/>
              <c:layout>
                <c:manualLayout>
                  <c:x val="-4.0560520924017913E-2"/>
                  <c:y val="-3.39392577655337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0A5-4BF7-9A75-0CF6C0D57697}"/>
                </c:ext>
              </c:extLst>
            </c:dLbl>
            <c:dLbl>
              <c:idx val="286"/>
              <c:layout>
                <c:manualLayout>
                  <c:x val="-4.6686987253735157E-2"/>
                  <c:y val="-5.36919915548229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0A5-4BF7-9A75-0CF6C0D57697}"/>
                </c:ext>
              </c:extLst>
            </c:dLbl>
            <c:dLbl>
              <c:idx val="287"/>
              <c:layout>
                <c:manualLayout>
                  <c:x val="-4.1959904451888408E-2"/>
                  <c:y val="-3.91846801001134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0A5-4BF7-9A75-0CF6C0D57697}"/>
                </c:ext>
              </c:extLst>
            </c:dLbl>
            <c:dLbl>
              <c:idx val="288"/>
              <c:layout>
                <c:manualLayout>
                  <c:x val="-4.3245005796170306E-2"/>
                  <c:y val="-0.1172011868368412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0A5-4BF7-9A75-0CF6C0D57697}"/>
                </c:ext>
              </c:extLst>
            </c:dLbl>
            <c:dLbl>
              <c:idx val="289"/>
              <c:layout>
                <c:manualLayout>
                  <c:x val="-4.3218697965101444E-2"/>
                  <c:y val="-3.92364195115380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0A5-4BF7-9A75-0CF6C0D57697}"/>
                </c:ext>
              </c:extLst>
            </c:dLbl>
            <c:dLbl>
              <c:idx val="290"/>
              <c:layout>
                <c:manualLayout>
                  <c:x val="-4.3980418284859747E-2"/>
                  <c:y val="-3.90517083620963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0A5-4BF7-9A75-0CF6C0D57697}"/>
                </c:ext>
              </c:extLst>
            </c:dLbl>
            <c:dLbl>
              <c:idx val="291"/>
              <c:layout>
                <c:manualLayout>
                  <c:x val="-3.6719456909824234E-2"/>
                  <c:y val="-3.24930495558684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0A5-4BF7-9A75-0CF6C0D57697}"/>
                </c:ext>
              </c:extLst>
            </c:dLbl>
            <c:dLbl>
              <c:idx val="292"/>
              <c:layout>
                <c:manualLayout>
                  <c:x val="-3.684291063084983E-2"/>
                  <c:y val="-9.03318935945165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0A5-4BF7-9A75-0CF6C0D57697}"/>
                </c:ext>
              </c:extLst>
            </c:dLbl>
            <c:dLbl>
              <c:idx val="293"/>
              <c:layout>
                <c:manualLayout>
                  <c:x val="-3.8519853844310253E-2"/>
                  <c:y val="-3.58810487625308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0A5-4BF7-9A75-0CF6C0D57697}"/>
                </c:ext>
              </c:extLst>
            </c:dLbl>
            <c:dLbl>
              <c:idx val="294"/>
              <c:layout>
                <c:manualLayout>
                  <c:x val="-3.8858597338854391E-2"/>
                  <c:y val="-4.11822408898432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0A5-4BF7-9A75-0CF6C0D57697}"/>
                </c:ext>
              </c:extLst>
            </c:dLbl>
            <c:dLbl>
              <c:idx val="305"/>
              <c:layout>
                <c:manualLayout>
                  <c:x val="-2.2989182654305801E-2"/>
                  <c:y val="-4.43980084521689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FCC-4354-BCE9-9372454AE1F0}"/>
                </c:ext>
              </c:extLst>
            </c:dLbl>
            <c:dLbl>
              <c:idx val="306"/>
              <c:layout>
                <c:manualLayout>
                  <c:x val="-4.1380528777750239E-2"/>
                  <c:y val="-2.69200242115353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25-42B0-A47F-4879ED6DD1CF}"/>
                </c:ext>
              </c:extLst>
            </c:dLbl>
            <c:dLbl>
              <c:idx val="307"/>
              <c:layout>
                <c:manualLayout>
                  <c:x val="-4.4445753131657689E-2"/>
                  <c:y val="-6.28133898269157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25-42B0-A47F-4879ED6DD1CF}"/>
                </c:ext>
              </c:extLst>
            </c:dLbl>
            <c:dLbl>
              <c:idx val="308"/>
              <c:layout>
                <c:manualLayout>
                  <c:x val="-4.7510977485565084E-2"/>
                  <c:y val="-4.18755932179439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25-42B0-A47F-4879ED6DD1CF}"/>
                </c:ext>
              </c:extLst>
            </c:dLbl>
            <c:dLbl>
              <c:idx val="309"/>
              <c:layout>
                <c:manualLayout>
                  <c:x val="-3.6782692246889098E-2"/>
                  <c:y val="-4.1875593217943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25-42B0-A47F-4879ED6DD1CF}"/>
                </c:ext>
              </c:extLst>
            </c:dLbl>
            <c:dLbl>
              <c:idx val="310"/>
              <c:layout>
                <c:manualLayout>
                  <c:x val="-4.9043589662518858E-2"/>
                  <c:y val="-7.477784503204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25-42B0-A47F-4879ED6DD1CF}"/>
                </c:ext>
              </c:extLst>
            </c:dLbl>
            <c:dLbl>
              <c:idx val="311"/>
              <c:layout>
                <c:manualLayout>
                  <c:x val="-4.7510977485565084E-2"/>
                  <c:y val="-3.29022518140987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25-42B0-A47F-4879ED6DD1CF}"/>
                </c:ext>
              </c:extLst>
            </c:dLbl>
            <c:dLbl>
              <c:idx val="312"/>
              <c:layout>
                <c:manualLayout>
                  <c:x val="-3.9847916600796639E-2"/>
                  <c:y val="-6.28133898269158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25-42B0-A47F-4879ED6DD1CF}"/>
                </c:ext>
              </c:extLst>
            </c:dLbl>
            <c:dLbl>
              <c:idx val="313"/>
              <c:layout>
                <c:manualLayout>
                  <c:x val="-4.2913140954704061E-2"/>
                  <c:y val="-3.88844794166621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25-42B0-A47F-4879ED6DD1CF}"/>
                </c:ext>
              </c:extLst>
            </c:dLbl>
            <c:dLbl>
              <c:idx val="314"/>
              <c:layout>
                <c:manualLayout>
                  <c:x val="-3.6782692246889098E-2"/>
                  <c:y val="-3.88844794166621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25-42B0-A47F-4879ED6DD1CF}"/>
                </c:ext>
              </c:extLst>
            </c:dLbl>
            <c:dLbl>
              <c:idx val="315"/>
              <c:layout>
                <c:manualLayout>
                  <c:x val="-3.8315304423842921E-2"/>
                  <c:y val="-4.18755932179439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25-42B0-A47F-4879ED6DD1CF}"/>
                </c:ext>
              </c:extLst>
            </c:dLbl>
            <c:dLbl>
              <c:idx val="316"/>
              <c:layout>
                <c:manualLayout>
                  <c:x val="-3.9847916600796639E-2"/>
                  <c:y val="-0.113662324448704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25-42B0-A47F-4879ED6DD1CF}"/>
                </c:ext>
              </c:extLst>
            </c:dLbl>
            <c:dLbl>
              <c:idx val="317"/>
              <c:layout>
                <c:manualLayout>
                  <c:x val="-4.1380528777750239E-2"/>
                  <c:y val="-3.88844794166622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25-42B0-A47F-4879ED6DD1CF}"/>
                </c:ext>
              </c:extLst>
            </c:dLbl>
            <c:dLbl>
              <c:idx val="318"/>
              <c:layout>
                <c:manualLayout>
                  <c:x val="-2.9119631362120649E-2"/>
                  <c:y val="-4.48667070192256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25-42B0-A47F-4879ED6DD1CF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('Folha 10 serie hist'!$B$7:$B$18,'Folha 10 serie hist'!$B$20:$B$31,'Folha 10 serie hist'!$B$33:$B$44,'Folha 10 serie hist'!$B$46:$B$57)</c15:sqref>
                  </c15:fullRef>
                </c:ext>
              </c:extLst>
              <c:f>('Folha 10 serie hist'!$B$33:$B$44,'Folha 10 serie hist'!$B$46:$B$51)</c:f>
              <c:numCache>
                <c:formatCode>[$-416]mmmm\-yy;@</c:formatCode>
                <c:ptCount val="18"/>
                <c:pt idx="0">
                  <c:v>45678</c:v>
                </c:pt>
                <c:pt idx="1">
                  <c:v>45709</c:v>
                </c:pt>
                <c:pt idx="2">
                  <c:v>45740</c:v>
                </c:pt>
                <c:pt idx="3">
                  <c:v>45771</c:v>
                </c:pt>
                <c:pt idx="4">
                  <c:v>45802</c:v>
                </c:pt>
                <c:pt idx="5">
                  <c:v>45833</c:v>
                </c:pt>
                <c:pt idx="6">
                  <c:v>45864</c:v>
                </c:pt>
                <c:pt idx="7">
                  <c:v>45895</c:v>
                </c:pt>
                <c:pt idx="8">
                  <c:v>45926</c:v>
                </c:pt>
                <c:pt idx="9">
                  <c:v>45957</c:v>
                </c:pt>
                <c:pt idx="10">
                  <c:v>45988</c:v>
                </c:pt>
                <c:pt idx="11">
                  <c:v>46019</c:v>
                </c:pt>
                <c:pt idx="12">
                  <c:v>46050</c:v>
                </c:pt>
                <c:pt idx="13">
                  <c:v>46081</c:v>
                </c:pt>
                <c:pt idx="14">
                  <c:v>46112</c:v>
                </c:pt>
                <c:pt idx="15">
                  <c:v>46142</c:v>
                </c:pt>
                <c:pt idx="16">
                  <c:v>46173</c:v>
                </c:pt>
                <c:pt idx="17">
                  <c:v>46203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('Folha 10 serie hist'!$G$7:$G$18,'Folha 10 serie hist'!$G$20:$G$31,'Folha 10 serie hist'!$G$33:$G$44,'Folha 10 serie hist'!$G$46:$G$57)</c15:sqref>
                  </c15:fullRef>
                </c:ext>
              </c:extLst>
              <c:f>('Folha 10 serie hist'!$G$33:$G$44,'Folha 10 serie hist'!$G$46:$G$51)</c:f>
              <c:numCache>
                <c:formatCode>#,##0</c:formatCode>
                <c:ptCount val="18"/>
                <c:pt idx="0">
                  <c:v>190692.34000000008</c:v>
                </c:pt>
                <c:pt idx="1">
                  <c:v>192510.33000000002</c:v>
                </c:pt>
                <c:pt idx="2">
                  <c:v>250196.48999999993</c:v>
                </c:pt>
                <c:pt idx="3">
                  <c:v>244066.73999999996</c:v>
                </c:pt>
                <c:pt idx="4">
                  <c:v>183396.96999999991</c:v>
                </c:pt>
                <c:pt idx="5">
                  <c:v>275060.81999999995</c:v>
                </c:pt>
                <c:pt idx="6">
                  <c:v>193449.71000000002</c:v>
                </c:pt>
                <c:pt idx="7">
                  <c:v>243832.03999999989</c:v>
                </c:pt>
                <c:pt idx="8">
                  <c:v>279986.75000000012</c:v>
                </c:pt>
                <c:pt idx="9">
                  <c:v>255530.81</c:v>
                </c:pt>
                <c:pt idx="10">
                  <c:v>127621.42000000001</c:v>
                </c:pt>
                <c:pt idx="11">
                  <c:v>225094.02</c:v>
                </c:pt>
                <c:pt idx="12">
                  <c:v>248224.80999999976</c:v>
                </c:pt>
                <c:pt idx="13">
                  <c:v>468790.54</c:v>
                </c:pt>
                <c:pt idx="14">
                  <c:v>201383.46999999986</c:v>
                </c:pt>
                <c:pt idx="15">
                  <c:v>182068.04000000004</c:v>
                </c:pt>
                <c:pt idx="16">
                  <c:v>197146.62000000005</c:v>
                </c:pt>
                <c:pt idx="17">
                  <c:v>164951.83999999997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0A5-4BF7-9A75-0CF6C0D5769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6742912"/>
        <c:axId val="231945856"/>
      </c:lineChart>
      <c:dateAx>
        <c:axId val="176742912"/>
        <c:scaling>
          <c:orientation val="minMax"/>
          <c:max val="46174"/>
          <c:min val="45809"/>
        </c:scaling>
        <c:delete val="0"/>
        <c:axPos val="b"/>
        <c:numFmt formatCode="mmm/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 anchor="ctr" anchorCtr="0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23194585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231945856"/>
        <c:scaling>
          <c:orientation val="minMax"/>
          <c:max val="600000"/>
          <c:min val="0"/>
        </c:scaling>
        <c:delete val="0"/>
        <c:axPos val="l"/>
        <c:majorGridlines>
          <c:spPr>
            <a:ln w="6350">
              <a:solidFill>
                <a:schemeClr val="bg1">
                  <a:lumMod val="75000"/>
                </a:schemeClr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76742912"/>
        <c:crosses val="autoZero"/>
        <c:crossBetween val="between"/>
        <c:majorUnit val="100000"/>
      </c:valAx>
      <c:spPr>
        <a:gradFill rotWithShape="0">
          <a:gsLst>
            <a:gs pos="0">
              <a:srgbClr val="C0C0C0">
                <a:gamma/>
                <a:tint val="0"/>
                <a:invGamma/>
              </a:srgbClr>
            </a:gs>
            <a:gs pos="100000">
              <a:srgbClr val="C0C0C0"/>
            </a:gs>
          </a:gsLst>
          <a:lin ang="5400000" scaled="1"/>
        </a:gradFill>
        <a:ln w="3175">
          <a:noFill/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1.5342519689999996" header="0.49212598500001226" footer="0.49212598500001226"/>
    <c:pageSetup paperSize="9"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image" Target="../media/image5.jpeg"/><Relationship Id="rId1" Type="http://schemas.openxmlformats.org/officeDocument/2006/relationships/chart" Target="../charts/chart4.xml"/><Relationship Id="rId4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image" Target="../media/image6.jpeg"/><Relationship Id="rId1" Type="http://schemas.openxmlformats.org/officeDocument/2006/relationships/chart" Target="../charts/chart10.xml"/><Relationship Id="rId4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657225</xdr:colOff>
      <xdr:row>43</xdr:row>
      <xdr:rowOff>188855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143625" cy="87899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70</xdr:row>
      <xdr:rowOff>52829</xdr:rowOff>
    </xdr:from>
    <xdr:to>
      <xdr:col>9</xdr:col>
      <xdr:colOff>448234</xdr:colOff>
      <xdr:row>86</xdr:row>
      <xdr:rowOff>33618</xdr:rowOff>
    </xdr:to>
    <xdr:graphicFrame macro="">
      <xdr:nvGraphicFramePr>
        <xdr:cNvPr id="4" name="Chart 9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517712</xdr:colOff>
      <xdr:row>70</xdr:row>
      <xdr:rowOff>106037</xdr:rowOff>
    </xdr:from>
    <xdr:to>
      <xdr:col>21</xdr:col>
      <xdr:colOff>31938</xdr:colOff>
      <xdr:row>87</xdr:row>
      <xdr:rowOff>1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138406</xdr:colOff>
      <xdr:row>0</xdr:row>
      <xdr:rowOff>38100</xdr:rowOff>
    </xdr:from>
    <xdr:to>
      <xdr:col>20</xdr:col>
      <xdr:colOff>438724</xdr:colOff>
      <xdr:row>0</xdr:row>
      <xdr:rowOff>771525</xdr:rowOff>
    </xdr:to>
    <xdr:pic>
      <xdr:nvPicPr>
        <xdr:cNvPr id="7" name="Picture 5" descr="Logo Ademi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044281" y="38100"/>
          <a:ext cx="1119468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0</xdr:rowOff>
        </xdr:from>
        <xdr:to>
          <xdr:col>0</xdr:col>
          <xdr:colOff>819150</xdr:colOff>
          <xdr:row>0</xdr:row>
          <xdr:rowOff>438150</xdr:rowOff>
        </xdr:to>
        <xdr:sp macro="" textlink="">
          <xdr:nvSpPr>
            <xdr:cNvPr id="92161" name="Object 1" hidden="1">
              <a:extLst>
                <a:ext uri="{63B3BB69-23CF-44E3-9099-C40C66FF867C}">
                  <a14:compatExt spid="_x0000_s92161"/>
                </a:ext>
                <a:ext uri="{FF2B5EF4-FFF2-40B4-BE49-F238E27FC236}">
                  <a16:creationId xmlns:a16="http://schemas.microsoft.com/office/drawing/2014/main" id="{00000000-0008-0000-0100-0000016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214592</xdr:colOff>
      <xdr:row>0</xdr:row>
      <xdr:rowOff>123265</xdr:rowOff>
    </xdr:from>
    <xdr:to>
      <xdr:col>10</xdr:col>
      <xdr:colOff>569258</xdr:colOff>
      <xdr:row>0</xdr:row>
      <xdr:rowOff>856690</xdr:rowOff>
    </xdr:to>
    <xdr:pic>
      <xdr:nvPicPr>
        <xdr:cNvPr id="85048" name="Picture 1026" descr="Logo Ademi">
          <a:extLst>
            <a:ext uri="{FF2B5EF4-FFF2-40B4-BE49-F238E27FC236}">
              <a16:creationId xmlns:a16="http://schemas.microsoft.com/office/drawing/2014/main" id="{00000000-0008-0000-0200-0000384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711327" y="123265"/>
          <a:ext cx="1127872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346363</xdr:colOff>
      <xdr:row>70</xdr:row>
      <xdr:rowOff>184005</xdr:rowOff>
    </xdr:from>
    <xdr:to>
      <xdr:col>10</xdr:col>
      <xdr:colOff>562841</xdr:colOff>
      <xdr:row>85</xdr:row>
      <xdr:rowOff>43296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9525</xdr:rowOff>
        </xdr:from>
        <xdr:to>
          <xdr:col>0</xdr:col>
          <xdr:colOff>942975</xdr:colOff>
          <xdr:row>0</xdr:row>
          <xdr:rowOff>476250</xdr:rowOff>
        </xdr:to>
        <xdr:sp macro="" textlink="">
          <xdr:nvSpPr>
            <xdr:cNvPr id="84995" name="Object 1027" hidden="1">
              <a:extLst>
                <a:ext uri="{63B3BB69-23CF-44E3-9099-C40C66FF867C}">
                  <a14:compatExt spid="_x0000_s84995"/>
                </a:ext>
                <a:ext uri="{FF2B5EF4-FFF2-40B4-BE49-F238E27FC236}">
                  <a16:creationId xmlns:a16="http://schemas.microsoft.com/office/drawing/2014/main" id="{00000000-0008-0000-0200-0000034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21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52316" name="Chart 1">
          <a:extLst>
            <a:ext uri="{FF2B5EF4-FFF2-40B4-BE49-F238E27FC236}">
              <a16:creationId xmlns:a16="http://schemas.microsoft.com/office/drawing/2014/main" id="{00000000-0008-0000-0300-00005CC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18489</xdr:colOff>
      <xdr:row>0</xdr:row>
      <xdr:rowOff>223388</xdr:rowOff>
    </xdr:from>
    <xdr:to>
      <xdr:col>14</xdr:col>
      <xdr:colOff>562431</xdr:colOff>
      <xdr:row>0</xdr:row>
      <xdr:rowOff>956813</xdr:rowOff>
    </xdr:to>
    <xdr:pic>
      <xdr:nvPicPr>
        <xdr:cNvPr id="52317" name="Picture 4" descr="Logo Ademi">
          <a:extLst>
            <a:ext uri="{FF2B5EF4-FFF2-40B4-BE49-F238E27FC236}">
              <a16:creationId xmlns:a16="http://schemas.microsoft.com/office/drawing/2014/main" id="{00000000-0008-0000-0300-00005DC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129012" y="223388"/>
          <a:ext cx="1119872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143995</xdr:rowOff>
    </xdr:from>
    <xdr:to>
      <xdr:col>7</xdr:col>
      <xdr:colOff>537882</xdr:colOff>
      <xdr:row>59</xdr:row>
      <xdr:rowOff>25213</xdr:rowOff>
    </xdr:to>
    <xdr:graphicFrame macro="">
      <xdr:nvGraphicFramePr>
        <xdr:cNvPr id="52318" name="Chart 19">
          <a:extLst>
            <a:ext uri="{FF2B5EF4-FFF2-40B4-BE49-F238E27FC236}">
              <a16:creationId xmlns:a16="http://schemas.microsoft.com/office/drawing/2014/main" id="{00000000-0008-0000-0300-00005EC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8404</xdr:colOff>
      <xdr:row>40</xdr:row>
      <xdr:rowOff>120282</xdr:rowOff>
    </xdr:from>
    <xdr:to>
      <xdr:col>14</xdr:col>
      <xdr:colOff>525868</xdr:colOff>
      <xdr:row>59</xdr:row>
      <xdr:rowOff>85948</xdr:rowOff>
    </xdr:to>
    <xdr:graphicFrame macro="">
      <xdr:nvGraphicFramePr>
        <xdr:cNvPr id="52319" name="Chart 20">
          <a:extLst>
            <a:ext uri="{FF2B5EF4-FFF2-40B4-BE49-F238E27FC236}">
              <a16:creationId xmlns:a16="http://schemas.microsoft.com/office/drawing/2014/main" id="{00000000-0008-0000-0300-00005FC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0</xdr:row>
          <xdr:rowOff>190500</xdr:rowOff>
        </xdr:from>
        <xdr:to>
          <xdr:col>2</xdr:col>
          <xdr:colOff>285750</xdr:colOff>
          <xdr:row>0</xdr:row>
          <xdr:rowOff>704850</xdr:rowOff>
        </xdr:to>
        <xdr:sp macro="" textlink="">
          <xdr:nvSpPr>
            <xdr:cNvPr id="52229" name="Object 5" hidden="1">
              <a:extLst>
                <a:ext uri="{63B3BB69-23CF-44E3-9099-C40C66FF867C}">
                  <a14:compatExt spid="_x0000_s52229"/>
                </a:ext>
                <a:ext uri="{FF2B5EF4-FFF2-40B4-BE49-F238E27FC236}">
                  <a16:creationId xmlns:a16="http://schemas.microsoft.com/office/drawing/2014/main" id="{00000000-0008-0000-0300-000005C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537882</xdr:colOff>
      <xdr:row>70</xdr:row>
      <xdr:rowOff>98753</xdr:rowOff>
    </xdr:from>
    <xdr:to>
      <xdr:col>20</xdr:col>
      <xdr:colOff>537882</xdr:colOff>
      <xdr:row>87</xdr:row>
      <xdr:rowOff>56030</xdr:rowOff>
    </xdr:to>
    <xdr:graphicFrame macro="">
      <xdr:nvGraphicFramePr>
        <xdr:cNvPr id="3" name="Chart 10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70</xdr:row>
      <xdr:rowOff>52829</xdr:rowOff>
    </xdr:from>
    <xdr:to>
      <xdr:col>9</xdr:col>
      <xdr:colOff>448234</xdr:colOff>
      <xdr:row>86</xdr:row>
      <xdr:rowOff>33618</xdr:rowOff>
    </xdr:to>
    <xdr:graphicFrame macro="">
      <xdr:nvGraphicFramePr>
        <xdr:cNvPr id="2" name="Chart 9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44836</xdr:colOff>
      <xdr:row>0</xdr:row>
      <xdr:rowOff>0</xdr:rowOff>
    </xdr:from>
    <xdr:to>
      <xdr:col>20</xdr:col>
      <xdr:colOff>332268</xdr:colOff>
      <xdr:row>0</xdr:row>
      <xdr:rowOff>733425</xdr:rowOff>
    </xdr:to>
    <xdr:pic>
      <xdr:nvPicPr>
        <xdr:cNvPr id="4" name="Picture 5" descr="Logo Ademi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009542" y="0"/>
          <a:ext cx="1116667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0</xdr:rowOff>
        </xdr:from>
        <xdr:to>
          <xdr:col>0</xdr:col>
          <xdr:colOff>819150</xdr:colOff>
          <xdr:row>0</xdr:row>
          <xdr:rowOff>438150</xdr:rowOff>
        </xdr:to>
        <xdr:sp macro="" textlink="">
          <xdr:nvSpPr>
            <xdr:cNvPr id="102401" name="Object 1" hidden="1">
              <a:extLst>
                <a:ext uri="{63B3BB69-23CF-44E3-9099-C40C66FF867C}">
                  <a14:compatExt spid="_x0000_s102401"/>
                </a:ext>
                <a:ext uri="{FF2B5EF4-FFF2-40B4-BE49-F238E27FC236}">
                  <a16:creationId xmlns:a16="http://schemas.microsoft.com/office/drawing/2014/main" id="{00000000-0008-0000-0400-0000019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203752</xdr:colOff>
      <xdr:row>0</xdr:row>
      <xdr:rowOff>82826</xdr:rowOff>
    </xdr:from>
    <xdr:to>
      <xdr:col>10</xdr:col>
      <xdr:colOff>556591</xdr:colOff>
      <xdr:row>0</xdr:row>
      <xdr:rowOff>816251</xdr:rowOff>
    </xdr:to>
    <xdr:pic>
      <xdr:nvPicPr>
        <xdr:cNvPr id="2" name="Picture 1026" descr="Logo Ademi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709866" y="82826"/>
          <a:ext cx="1129334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309283</xdr:colOff>
      <xdr:row>70</xdr:row>
      <xdr:rowOff>134471</xdr:rowOff>
    </xdr:from>
    <xdr:to>
      <xdr:col>10</xdr:col>
      <xdr:colOff>525761</xdr:colOff>
      <xdr:row>84</xdr:row>
      <xdr:rowOff>150644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9525</xdr:rowOff>
        </xdr:from>
        <xdr:to>
          <xdr:col>0</xdr:col>
          <xdr:colOff>942975</xdr:colOff>
          <xdr:row>0</xdr:row>
          <xdr:rowOff>476250</xdr:rowOff>
        </xdr:to>
        <xdr:sp macro="" textlink="">
          <xdr:nvSpPr>
            <xdr:cNvPr id="103425" name="Object 1" hidden="1">
              <a:extLst>
                <a:ext uri="{63B3BB69-23CF-44E3-9099-C40C66FF867C}">
                  <a14:compatExt spid="_x0000_s103425"/>
                </a:ext>
                <a:ext uri="{FF2B5EF4-FFF2-40B4-BE49-F238E27FC236}">
                  <a16:creationId xmlns:a16="http://schemas.microsoft.com/office/drawing/2014/main" id="{00000000-0008-0000-0500-0000019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20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56422" name="Chart 1">
          <a:extLst>
            <a:ext uri="{FF2B5EF4-FFF2-40B4-BE49-F238E27FC236}">
              <a16:creationId xmlns:a16="http://schemas.microsoft.com/office/drawing/2014/main" id="{00000000-0008-0000-0600-000066D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80258</xdr:colOff>
      <xdr:row>0</xdr:row>
      <xdr:rowOff>98093</xdr:rowOff>
    </xdr:from>
    <xdr:to>
      <xdr:col>14</xdr:col>
      <xdr:colOff>614316</xdr:colOff>
      <xdr:row>0</xdr:row>
      <xdr:rowOff>831518</xdr:rowOff>
    </xdr:to>
    <xdr:pic>
      <xdr:nvPicPr>
        <xdr:cNvPr id="56423" name="Picture 3" descr="Logo Ademi">
          <a:extLst>
            <a:ext uri="{FF2B5EF4-FFF2-40B4-BE49-F238E27FC236}">
              <a16:creationId xmlns:a16="http://schemas.microsoft.com/office/drawing/2014/main" id="{00000000-0008-0000-0600-000067D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107849" y="98093"/>
          <a:ext cx="1108904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28575</xdr:rowOff>
    </xdr:from>
    <xdr:to>
      <xdr:col>7</xdr:col>
      <xdr:colOff>418171</xdr:colOff>
      <xdr:row>59</xdr:row>
      <xdr:rowOff>0</xdr:rowOff>
    </xdr:to>
    <xdr:graphicFrame macro="">
      <xdr:nvGraphicFramePr>
        <xdr:cNvPr id="56424" name="Chart 11">
          <a:extLst>
            <a:ext uri="{FF2B5EF4-FFF2-40B4-BE49-F238E27FC236}">
              <a16:creationId xmlns:a16="http://schemas.microsoft.com/office/drawing/2014/main" id="{00000000-0008-0000-0600-000068D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441170</xdr:colOff>
      <xdr:row>41</xdr:row>
      <xdr:rowOff>76200</xdr:rowOff>
    </xdr:from>
    <xdr:to>
      <xdr:col>14</xdr:col>
      <xdr:colOff>391106</xdr:colOff>
      <xdr:row>59</xdr:row>
      <xdr:rowOff>0</xdr:rowOff>
    </xdr:to>
    <xdr:graphicFrame macro="">
      <xdr:nvGraphicFramePr>
        <xdr:cNvPr id="56425" name="Chart 12">
          <a:extLst>
            <a:ext uri="{FF2B5EF4-FFF2-40B4-BE49-F238E27FC236}">
              <a16:creationId xmlns:a16="http://schemas.microsoft.com/office/drawing/2014/main" id="{00000000-0008-0000-0600-000069D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</xdr:colOff>
          <xdr:row>0</xdr:row>
          <xdr:rowOff>161925</xdr:rowOff>
        </xdr:from>
        <xdr:to>
          <xdr:col>2</xdr:col>
          <xdr:colOff>200025</xdr:colOff>
          <xdr:row>0</xdr:row>
          <xdr:rowOff>638175</xdr:rowOff>
        </xdr:to>
        <xdr:sp macro="" textlink="">
          <xdr:nvSpPr>
            <xdr:cNvPr id="56324" name="Object 4" hidden="1">
              <a:extLst>
                <a:ext uri="{63B3BB69-23CF-44E3-9099-C40C66FF867C}">
                  <a14:compatExt spid="_x0000_s56324"/>
                </a:ext>
                <a:ext uri="{FF2B5EF4-FFF2-40B4-BE49-F238E27FC236}">
                  <a16:creationId xmlns:a16="http://schemas.microsoft.com/office/drawing/2014/main" id="{00000000-0008-0000-0600-000004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781049</xdr:colOff>
      <xdr:row>0</xdr:row>
      <xdr:rowOff>29136</xdr:rowOff>
    </xdr:from>
    <xdr:to>
      <xdr:col>9</xdr:col>
      <xdr:colOff>713574</xdr:colOff>
      <xdr:row>0</xdr:row>
      <xdr:rowOff>762561</xdr:rowOff>
    </xdr:to>
    <xdr:pic>
      <xdr:nvPicPr>
        <xdr:cNvPr id="82992" name="Picture 1" descr="Logo Ademi">
          <a:extLst>
            <a:ext uri="{FF2B5EF4-FFF2-40B4-BE49-F238E27FC236}">
              <a16:creationId xmlns:a16="http://schemas.microsoft.com/office/drawing/2014/main" id="{00000000-0008-0000-0700-0000304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80343" y="29136"/>
          <a:ext cx="110914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</xdr:colOff>
      <xdr:row>70</xdr:row>
      <xdr:rowOff>46505</xdr:rowOff>
    </xdr:from>
    <xdr:to>
      <xdr:col>9</xdr:col>
      <xdr:colOff>874059</xdr:colOff>
      <xdr:row>87</xdr:row>
      <xdr:rowOff>81643</xdr:rowOff>
    </xdr:to>
    <xdr:graphicFrame macro="">
      <xdr:nvGraphicFramePr>
        <xdr:cNvPr id="82993" name="Chart 4">
          <a:extLst>
            <a:ext uri="{FF2B5EF4-FFF2-40B4-BE49-F238E27FC236}">
              <a16:creationId xmlns:a16="http://schemas.microsoft.com/office/drawing/2014/main" id="{00000000-0008-0000-0700-00003144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266700</xdr:colOff>
          <xdr:row>0</xdr:row>
          <xdr:rowOff>47625</xdr:rowOff>
        </xdr:from>
        <xdr:to>
          <xdr:col>1</xdr:col>
          <xdr:colOff>876300</xdr:colOff>
          <xdr:row>0</xdr:row>
          <xdr:rowOff>495300</xdr:rowOff>
        </xdr:to>
        <xdr:sp macro="" textlink="">
          <xdr:nvSpPr>
            <xdr:cNvPr id="82946" name="Object 2" hidden="1">
              <a:extLst>
                <a:ext uri="{63B3BB69-23CF-44E3-9099-C40C66FF867C}">
                  <a14:compatExt spid="_x0000_s82946"/>
                </a:ext>
                <a:ext uri="{FF2B5EF4-FFF2-40B4-BE49-F238E27FC236}">
                  <a16:creationId xmlns:a16="http://schemas.microsoft.com/office/drawing/2014/main" id="{00000000-0008-0000-0700-000002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1135156</xdr:colOff>
      <xdr:row>0</xdr:row>
      <xdr:rowOff>191061</xdr:rowOff>
    </xdr:from>
    <xdr:to>
      <xdr:col>7</xdr:col>
      <xdr:colOff>943648</xdr:colOff>
      <xdr:row>0</xdr:row>
      <xdr:rowOff>838761</xdr:rowOff>
    </xdr:to>
    <xdr:pic>
      <xdr:nvPicPr>
        <xdr:cNvPr id="74820" name="Picture 2" descr="Logo Ademi">
          <a:extLst>
            <a:ext uri="{FF2B5EF4-FFF2-40B4-BE49-F238E27FC236}">
              <a16:creationId xmlns:a16="http://schemas.microsoft.com/office/drawing/2014/main" id="{00000000-0008-0000-0800-0000442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74274" y="191061"/>
          <a:ext cx="10001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141754</xdr:rowOff>
    </xdr:from>
    <xdr:to>
      <xdr:col>7</xdr:col>
      <xdr:colOff>1159565</xdr:colOff>
      <xdr:row>86</xdr:row>
      <xdr:rowOff>151840</xdr:rowOff>
    </xdr:to>
    <xdr:graphicFrame macro="">
      <xdr:nvGraphicFramePr>
        <xdr:cNvPr id="74822" name="Chart 10">
          <a:extLst>
            <a:ext uri="{FF2B5EF4-FFF2-40B4-BE49-F238E27FC236}">
              <a16:creationId xmlns:a16="http://schemas.microsoft.com/office/drawing/2014/main" id="{00000000-0008-0000-0800-00004624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38100</xdr:colOff>
          <xdr:row>0</xdr:row>
          <xdr:rowOff>228600</xdr:rowOff>
        </xdr:from>
        <xdr:to>
          <xdr:col>2</xdr:col>
          <xdr:colOff>361950</xdr:colOff>
          <xdr:row>0</xdr:row>
          <xdr:rowOff>771525</xdr:rowOff>
        </xdr:to>
        <xdr:sp macro="" textlink="">
          <xdr:nvSpPr>
            <xdr:cNvPr id="74755" name="Object 3" hidden="1">
              <a:extLst>
                <a:ext uri="{63B3BB69-23CF-44E3-9099-C40C66FF867C}">
                  <a14:compatExt spid="_x0000_s74755"/>
                </a:ext>
                <a:ext uri="{FF2B5EF4-FFF2-40B4-BE49-F238E27FC236}">
                  <a16:creationId xmlns:a16="http://schemas.microsoft.com/office/drawing/2014/main" id="{00000000-0008-0000-0800-0000032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0.01286</cdr:x>
      <cdr:y>0.06408</cdr:y>
    </cdr:from>
    <cdr:to>
      <cdr:x>0.09343</cdr:x>
      <cdr:y>0.11937</cdr:y>
    </cdr:to>
    <cdr:sp macro="" textlink="">
      <cdr:nvSpPr>
        <cdr:cNvPr id="86017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0741" y="286996"/>
          <a:ext cx="673817" cy="2448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pt-BR" sz="975" b="1" i="0" strike="noStrike">
              <a:solidFill>
                <a:srgbClr val="000000"/>
              </a:solidFill>
              <a:latin typeface="Arial"/>
              <a:cs typeface="Arial"/>
            </a:rPr>
            <a:t>Área (m²)</a:t>
          </a:r>
        </a:p>
      </cdr:txBody>
    </cdr:sp>
  </cdr:relSizeAnchor>
</c:userShape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M22" sqref="M22"/>
    </sheetView>
  </sheetViews>
  <sheetFormatPr defaultRowHeight="15.75" x14ac:dyDescent="0.25"/>
  <sheetData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1"/>
  <dimension ref="A1:AB114"/>
  <sheetViews>
    <sheetView showGridLines="0" view="pageBreakPreview" topLeftCell="A64" zoomScaleSheetLayoutView="100" workbookViewId="0">
      <selection activeCell="M67" sqref="M67:T67"/>
    </sheetView>
  </sheetViews>
  <sheetFormatPr defaultRowHeight="15.75" x14ac:dyDescent="0.25"/>
  <cols>
    <col min="1" max="1" width="16.375" style="1" bestFit="1" customWidth="1"/>
    <col min="2" max="9" width="5.375" style="1" customWidth="1"/>
    <col min="10" max="10" width="7.25" style="10" bestFit="1" customWidth="1"/>
    <col min="11" max="11" width="0.875" style="2" customWidth="1"/>
    <col min="12" max="12" width="17.125" style="1" customWidth="1"/>
    <col min="13" max="13" width="7.625" style="1" customWidth="1"/>
    <col min="14" max="20" width="5.375" style="1" customWidth="1"/>
    <col min="21" max="21" width="7.25" style="10" customWidth="1"/>
    <col min="22" max="22" width="9.375" bestFit="1" customWidth="1"/>
    <col min="28" max="28" width="9" style="17"/>
  </cols>
  <sheetData>
    <row r="1" spans="1:22" ht="69" customHeight="1" thickBot="1" x14ac:dyDescent="0.3"/>
    <row r="2" spans="1:22" ht="16.5" thickBot="1" x14ac:dyDescent="0.3">
      <c r="A2" s="188" t="s">
        <v>233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</row>
    <row r="3" spans="1:22" ht="17.25" customHeight="1" thickBot="1" x14ac:dyDescent="0.3">
      <c r="A3" s="189" t="s">
        <v>87</v>
      </c>
      <c r="B3" s="191" t="s">
        <v>143</v>
      </c>
      <c r="C3" s="192"/>
      <c r="D3" s="192"/>
      <c r="E3" s="192"/>
      <c r="F3" s="192"/>
      <c r="G3" s="192"/>
      <c r="H3" s="192"/>
      <c r="I3" s="193"/>
      <c r="J3" s="194" t="s">
        <v>0</v>
      </c>
      <c r="K3" s="8"/>
      <c r="L3" s="189" t="s">
        <v>87</v>
      </c>
      <c r="M3" s="191" t="s">
        <v>143</v>
      </c>
      <c r="N3" s="192"/>
      <c r="O3" s="192"/>
      <c r="P3" s="192"/>
      <c r="Q3" s="192"/>
      <c r="R3" s="192"/>
      <c r="S3" s="192"/>
      <c r="T3" s="193"/>
      <c r="U3" s="194" t="s">
        <v>0</v>
      </c>
    </row>
    <row r="4" spans="1:22" ht="25.5" customHeight="1" thickBot="1" x14ac:dyDescent="0.3">
      <c r="A4" s="190"/>
      <c r="B4" s="37" t="s">
        <v>135</v>
      </c>
      <c r="C4" s="37" t="s">
        <v>136</v>
      </c>
      <c r="D4" s="37" t="s">
        <v>137</v>
      </c>
      <c r="E4" s="37" t="s">
        <v>138</v>
      </c>
      <c r="F4" s="37" t="s">
        <v>139</v>
      </c>
      <c r="G4" s="37" t="s">
        <v>140</v>
      </c>
      <c r="H4" s="37" t="s">
        <v>141</v>
      </c>
      <c r="I4" s="38" t="s">
        <v>142</v>
      </c>
      <c r="J4" s="195"/>
      <c r="K4" s="8"/>
      <c r="L4" s="190"/>
      <c r="M4" s="36" t="s">
        <v>135</v>
      </c>
      <c r="N4" s="37" t="s">
        <v>136</v>
      </c>
      <c r="O4" s="37" t="s">
        <v>137</v>
      </c>
      <c r="P4" s="37" t="s">
        <v>138</v>
      </c>
      <c r="Q4" s="37" t="s">
        <v>139</v>
      </c>
      <c r="R4" s="37" t="s">
        <v>140</v>
      </c>
      <c r="S4" s="37" t="s">
        <v>141</v>
      </c>
      <c r="T4" s="37" t="s">
        <v>142</v>
      </c>
      <c r="U4" s="195"/>
    </row>
    <row r="5" spans="1:22" ht="12.75" customHeight="1" x14ac:dyDescent="0.25">
      <c r="A5" s="197" t="s">
        <v>82</v>
      </c>
      <c r="B5" s="197"/>
      <c r="C5" s="197"/>
      <c r="D5" s="197"/>
      <c r="E5" s="197"/>
      <c r="F5" s="197"/>
      <c r="G5" s="197"/>
      <c r="H5" s="197"/>
      <c r="I5" s="197"/>
      <c r="J5" s="197"/>
      <c r="K5" s="8"/>
      <c r="L5" s="197" t="s">
        <v>116</v>
      </c>
      <c r="M5" s="197"/>
      <c r="N5" s="197"/>
      <c r="O5" s="197"/>
      <c r="P5" s="197"/>
      <c r="Q5" s="197"/>
      <c r="R5" s="197"/>
      <c r="S5" s="197"/>
      <c r="T5" s="197"/>
      <c r="U5" s="197"/>
    </row>
    <row r="6" spans="1:22" ht="12.75" customHeight="1" x14ac:dyDescent="0.25">
      <c r="A6" s="29" t="s">
        <v>24</v>
      </c>
      <c r="B6" s="30">
        <v>1866</v>
      </c>
      <c r="C6" s="30"/>
      <c r="D6" s="30"/>
      <c r="E6" s="30"/>
      <c r="F6" s="154"/>
      <c r="G6" s="30">
        <v>57</v>
      </c>
      <c r="H6" s="30"/>
      <c r="I6" s="30">
        <v>21</v>
      </c>
      <c r="J6" s="163">
        <f>IF(SUM(B6:I6),SUM(B6:I6),"")</f>
        <v>1944</v>
      </c>
      <c r="K6" s="8"/>
      <c r="L6" s="29" t="s">
        <v>6</v>
      </c>
      <c r="M6" s="30">
        <v>7</v>
      </c>
      <c r="N6" s="30">
        <v>134</v>
      </c>
      <c r="O6" s="30">
        <v>2</v>
      </c>
      <c r="P6" s="30">
        <v>11</v>
      </c>
      <c r="Q6" s="30">
        <v>3</v>
      </c>
      <c r="R6" s="30">
        <v>4</v>
      </c>
      <c r="S6" s="30"/>
      <c r="T6" s="30">
        <v>1</v>
      </c>
      <c r="U6" s="34">
        <f t="shared" ref="U6:U8" si="0">IF(SUM(M6:T6),SUM(M6:T6),"")</f>
        <v>162</v>
      </c>
    </row>
    <row r="7" spans="1:22" ht="12.75" customHeight="1" x14ac:dyDescent="0.25">
      <c r="A7" s="39" t="s">
        <v>25</v>
      </c>
      <c r="B7" s="40"/>
      <c r="C7" s="40"/>
      <c r="D7" s="40"/>
      <c r="E7" s="40"/>
      <c r="F7" s="40"/>
      <c r="G7" s="40"/>
      <c r="H7" s="40"/>
      <c r="I7" s="40">
        <v>18</v>
      </c>
      <c r="J7" s="160">
        <f t="shared" ref="J7:J9" si="1">IF(SUM(B7:I7),SUM(B7:I7),"")</f>
        <v>18</v>
      </c>
      <c r="K7" s="8"/>
      <c r="L7" s="39" t="s">
        <v>49</v>
      </c>
      <c r="M7" s="40">
        <v>193</v>
      </c>
      <c r="N7" s="40">
        <v>23</v>
      </c>
      <c r="O7" s="40">
        <v>1</v>
      </c>
      <c r="P7" s="40">
        <v>8</v>
      </c>
      <c r="Q7" s="40">
        <v>19.000000000000004</v>
      </c>
      <c r="R7" s="40">
        <v>13.000000000000002</v>
      </c>
      <c r="S7" s="40">
        <v>4</v>
      </c>
      <c r="T7" s="40">
        <v>3</v>
      </c>
      <c r="U7" s="41">
        <f t="shared" si="0"/>
        <v>264</v>
      </c>
    </row>
    <row r="8" spans="1:22" ht="12.75" customHeight="1" x14ac:dyDescent="0.25">
      <c r="A8" s="96" t="s">
        <v>47</v>
      </c>
      <c r="B8" s="30">
        <v>214</v>
      </c>
      <c r="C8" s="30">
        <v>8</v>
      </c>
      <c r="D8" s="30">
        <v>45</v>
      </c>
      <c r="E8" s="30"/>
      <c r="F8" s="154"/>
      <c r="G8" s="30"/>
      <c r="H8" s="30">
        <v>2</v>
      </c>
      <c r="I8" s="30"/>
      <c r="J8" s="163">
        <f>IF(SUM(B8:I8),SUM(B8:I8),"")</f>
        <v>269</v>
      </c>
      <c r="K8" s="8"/>
      <c r="L8" s="29" t="s">
        <v>63</v>
      </c>
      <c r="M8" s="30">
        <v>21</v>
      </c>
      <c r="N8" s="30">
        <v>3</v>
      </c>
      <c r="O8" s="30"/>
      <c r="P8" s="30">
        <v>32</v>
      </c>
      <c r="Q8" s="30"/>
      <c r="R8" s="30"/>
      <c r="S8" s="30"/>
      <c r="T8" s="30"/>
      <c r="U8" s="34">
        <f t="shared" si="0"/>
        <v>56</v>
      </c>
    </row>
    <row r="9" spans="1:22" ht="12.75" customHeight="1" x14ac:dyDescent="0.25">
      <c r="A9" s="39" t="s">
        <v>54</v>
      </c>
      <c r="B9" s="88"/>
      <c r="C9" s="88">
        <v>1</v>
      </c>
      <c r="D9" s="88"/>
      <c r="E9" s="88">
        <v>49</v>
      </c>
      <c r="F9" s="88"/>
      <c r="G9" s="88"/>
      <c r="H9" s="88"/>
      <c r="I9" s="88"/>
      <c r="J9" s="113">
        <f t="shared" si="1"/>
        <v>50</v>
      </c>
      <c r="K9" s="8"/>
      <c r="L9" s="31" t="s">
        <v>117</v>
      </c>
      <c r="M9" s="33">
        <f>IF(SUM(M6:M8),SUM(M6:M8),"")</f>
        <v>221</v>
      </c>
      <c r="N9" s="33">
        <f t="shared" ref="N9:U9" si="2">IF(SUM(N6:N8),SUM(N6:N8),"")</f>
        <v>160</v>
      </c>
      <c r="O9" s="33">
        <f t="shared" si="2"/>
        <v>3</v>
      </c>
      <c r="P9" s="33">
        <f t="shared" si="2"/>
        <v>51</v>
      </c>
      <c r="Q9" s="33">
        <f t="shared" si="2"/>
        <v>22.000000000000004</v>
      </c>
      <c r="R9" s="33">
        <f t="shared" si="2"/>
        <v>17</v>
      </c>
      <c r="S9" s="33">
        <f t="shared" si="2"/>
        <v>4</v>
      </c>
      <c r="T9" s="33">
        <f t="shared" si="2"/>
        <v>4</v>
      </c>
      <c r="U9" s="161">
        <f t="shared" si="2"/>
        <v>482</v>
      </c>
    </row>
    <row r="10" spans="1:22" ht="12.75" customHeight="1" x14ac:dyDescent="0.25">
      <c r="A10" s="31" t="s">
        <v>107</v>
      </c>
      <c r="B10" s="32">
        <f>IF(SUM(B6:B9),SUM(B6:B9),"")</f>
        <v>2080</v>
      </c>
      <c r="C10" s="32">
        <f t="shared" ref="C10:I10" si="3">IF(SUM(C6:C9),SUM(C6:C9),"")</f>
        <v>9</v>
      </c>
      <c r="D10" s="32">
        <f t="shared" si="3"/>
        <v>45</v>
      </c>
      <c r="E10" s="32">
        <f t="shared" si="3"/>
        <v>49</v>
      </c>
      <c r="F10" s="32" t="str">
        <f t="shared" si="3"/>
        <v/>
      </c>
      <c r="G10" s="32">
        <f t="shared" si="3"/>
        <v>57</v>
      </c>
      <c r="H10" s="32">
        <f t="shared" si="3"/>
        <v>2</v>
      </c>
      <c r="I10" s="32">
        <f t="shared" si="3"/>
        <v>39</v>
      </c>
      <c r="J10" s="164">
        <f>IF(SUM(J6:J9),SUM(J6:J9),"")</f>
        <v>2281</v>
      </c>
      <c r="K10" s="8"/>
      <c r="L10" s="9"/>
      <c r="M10" s="9"/>
      <c r="N10" s="9"/>
      <c r="O10" s="9"/>
      <c r="P10" s="9"/>
      <c r="Q10" s="9"/>
      <c r="R10" s="9"/>
      <c r="S10" s="9"/>
      <c r="T10" s="9"/>
      <c r="U10" s="11"/>
    </row>
    <row r="11" spans="1:22" ht="12.75" customHeight="1" x14ac:dyDescent="0.25">
      <c r="A11" s="9"/>
      <c r="B11" s="9"/>
      <c r="C11" s="9"/>
      <c r="D11" s="9"/>
      <c r="E11" s="9"/>
      <c r="F11" s="9"/>
      <c r="G11" s="9"/>
      <c r="H11" s="9"/>
      <c r="I11" s="9"/>
      <c r="K11" s="8"/>
      <c r="L11" s="196" t="s">
        <v>118</v>
      </c>
      <c r="M11" s="196"/>
      <c r="N11" s="196"/>
      <c r="O11" s="196"/>
      <c r="P11" s="196"/>
      <c r="Q11" s="196"/>
      <c r="R11" s="196"/>
      <c r="S11" s="196"/>
      <c r="T11" s="196"/>
      <c r="U11" s="196"/>
    </row>
    <row r="12" spans="1:22" ht="12.75" customHeight="1" x14ac:dyDescent="0.25">
      <c r="A12" s="196" t="s">
        <v>83</v>
      </c>
      <c r="B12" s="196"/>
      <c r="C12" s="196"/>
      <c r="D12" s="196"/>
      <c r="E12" s="196"/>
      <c r="F12" s="196"/>
      <c r="G12" s="196"/>
      <c r="H12" s="196"/>
      <c r="I12" s="196"/>
      <c r="J12" s="196"/>
      <c r="K12" s="8"/>
      <c r="L12" s="96" t="s">
        <v>9</v>
      </c>
      <c r="M12" s="30">
        <v>115.99999999999999</v>
      </c>
      <c r="N12" s="30">
        <v>4</v>
      </c>
      <c r="O12" s="30">
        <v>4</v>
      </c>
      <c r="P12" s="30">
        <v>24</v>
      </c>
      <c r="Q12" s="154">
        <v>3</v>
      </c>
      <c r="R12" s="30">
        <v>1</v>
      </c>
      <c r="S12" s="30">
        <v>3</v>
      </c>
      <c r="T12" s="30">
        <v>1</v>
      </c>
      <c r="U12" s="99">
        <f t="shared" ref="U12:U15" si="4">IF(SUM(M12:T12),SUM(M12:T12),"")</f>
        <v>156</v>
      </c>
    </row>
    <row r="13" spans="1:22" ht="12.75" customHeight="1" x14ac:dyDescent="0.25">
      <c r="A13" s="29" t="s">
        <v>2</v>
      </c>
      <c r="B13" s="30">
        <v>202</v>
      </c>
      <c r="C13" s="30">
        <v>45</v>
      </c>
      <c r="D13" s="30"/>
      <c r="E13" s="30">
        <v>73</v>
      </c>
      <c r="F13" s="30">
        <v>6</v>
      </c>
      <c r="G13" s="30">
        <v>59</v>
      </c>
      <c r="H13" s="30"/>
      <c r="I13" s="30">
        <v>2</v>
      </c>
      <c r="J13" s="163">
        <f>IF(SUM(B13:I13),SUM(B13:I13),"")</f>
        <v>387</v>
      </c>
      <c r="K13" s="8"/>
      <c r="L13" s="39" t="s">
        <v>18</v>
      </c>
      <c r="M13" s="88">
        <v>141</v>
      </c>
      <c r="N13" s="88">
        <v>18</v>
      </c>
      <c r="O13" s="88">
        <v>10</v>
      </c>
      <c r="P13" s="88">
        <v>17</v>
      </c>
      <c r="Q13" s="88">
        <v>7</v>
      </c>
      <c r="R13" s="88">
        <v>2</v>
      </c>
      <c r="S13" s="88"/>
      <c r="T13" s="88">
        <v>1</v>
      </c>
      <c r="U13" s="41">
        <f t="shared" si="4"/>
        <v>196</v>
      </c>
    </row>
    <row r="14" spans="1:22" ht="12.75" customHeight="1" x14ac:dyDescent="0.25">
      <c r="A14" s="39" t="s">
        <v>10</v>
      </c>
      <c r="B14" s="40">
        <v>5</v>
      </c>
      <c r="C14" s="40">
        <v>197</v>
      </c>
      <c r="D14" s="40"/>
      <c r="E14" s="40"/>
      <c r="F14" s="40"/>
      <c r="G14" s="40"/>
      <c r="H14" s="40"/>
      <c r="I14" s="40">
        <v>20</v>
      </c>
      <c r="J14" s="160">
        <f>IF(SUM(B14:I14),SUM(B14:I14),"")</f>
        <v>222</v>
      </c>
      <c r="K14" s="8"/>
      <c r="L14" s="96" t="s">
        <v>20</v>
      </c>
      <c r="M14" s="30"/>
      <c r="N14" s="30"/>
      <c r="O14" s="30">
        <v>5</v>
      </c>
      <c r="P14" s="30">
        <v>4</v>
      </c>
      <c r="Q14" s="154">
        <v>20</v>
      </c>
      <c r="R14" s="30">
        <v>1</v>
      </c>
      <c r="S14" s="30">
        <v>1</v>
      </c>
      <c r="T14" s="30"/>
      <c r="U14" s="99">
        <f t="shared" si="4"/>
        <v>31</v>
      </c>
      <c r="V14" s="60"/>
    </row>
    <row r="15" spans="1:22" ht="12.75" customHeight="1" x14ac:dyDescent="0.25">
      <c r="A15" s="29" t="s">
        <v>58</v>
      </c>
      <c r="B15" s="30"/>
      <c r="C15" s="30"/>
      <c r="D15" s="30"/>
      <c r="E15" s="30"/>
      <c r="F15" s="30"/>
      <c r="G15" s="30">
        <v>1</v>
      </c>
      <c r="H15" s="30">
        <v>2</v>
      </c>
      <c r="I15" s="30"/>
      <c r="J15" s="112">
        <f>IF(SUM(B15:I15),SUM(B15:I15),"")</f>
        <v>3</v>
      </c>
      <c r="K15" s="8"/>
      <c r="L15" s="39" t="s">
        <v>61</v>
      </c>
      <c r="M15" s="88"/>
      <c r="N15" s="88">
        <v>1</v>
      </c>
      <c r="O15" s="88">
        <v>2</v>
      </c>
      <c r="P15" s="88">
        <v>256</v>
      </c>
      <c r="Q15" s="88"/>
      <c r="R15" s="88"/>
      <c r="S15" s="88">
        <v>7</v>
      </c>
      <c r="T15" s="88">
        <v>1</v>
      </c>
      <c r="U15" s="41">
        <f t="shared" si="4"/>
        <v>267</v>
      </c>
    </row>
    <row r="16" spans="1:22" ht="12.75" customHeight="1" x14ac:dyDescent="0.25">
      <c r="A16" s="39" t="s">
        <v>66</v>
      </c>
      <c r="B16" s="40"/>
      <c r="C16" s="40"/>
      <c r="D16" s="40"/>
      <c r="E16" s="40">
        <v>85</v>
      </c>
      <c r="F16" s="40"/>
      <c r="G16" s="40">
        <v>1</v>
      </c>
      <c r="H16" s="40"/>
      <c r="I16" s="40"/>
      <c r="J16" s="113">
        <f t="shared" ref="J16" si="5">IF(SUM(B16:I16),SUM(B16:I16),"")</f>
        <v>86</v>
      </c>
      <c r="K16" s="8"/>
      <c r="L16" s="31" t="s">
        <v>119</v>
      </c>
      <c r="M16" s="33">
        <f>IF(SUM(M12:M15),SUM(M12:M15),"")</f>
        <v>257</v>
      </c>
      <c r="N16" s="33">
        <f t="shared" ref="N16:U16" si="6">IF(SUM(N12:N15),SUM(N12:N15),"")</f>
        <v>23</v>
      </c>
      <c r="O16" s="33">
        <f t="shared" si="6"/>
        <v>21</v>
      </c>
      <c r="P16" s="33">
        <f t="shared" si="6"/>
        <v>301</v>
      </c>
      <c r="Q16" s="33">
        <f t="shared" si="6"/>
        <v>30</v>
      </c>
      <c r="R16" s="33">
        <f t="shared" si="6"/>
        <v>4</v>
      </c>
      <c r="S16" s="33">
        <f t="shared" si="6"/>
        <v>11</v>
      </c>
      <c r="T16" s="33">
        <f t="shared" si="6"/>
        <v>3</v>
      </c>
      <c r="U16" s="161">
        <f t="shared" si="6"/>
        <v>650</v>
      </c>
    </row>
    <row r="17" spans="1:27" ht="12.75" customHeight="1" x14ac:dyDescent="0.25">
      <c r="A17" s="31" t="s">
        <v>88</v>
      </c>
      <c r="B17" s="33">
        <f>IF(SUM(B13:B16),SUM(B13:B16),"")</f>
        <v>207</v>
      </c>
      <c r="C17" s="33">
        <f t="shared" ref="C17:I17" si="7">IF(SUM(C13:C16),SUM(C13:C16),"")</f>
        <v>242</v>
      </c>
      <c r="D17" s="33" t="str">
        <f t="shared" si="7"/>
        <v/>
      </c>
      <c r="E17" s="33">
        <f t="shared" si="7"/>
        <v>158</v>
      </c>
      <c r="F17" s="33">
        <f t="shared" si="7"/>
        <v>6</v>
      </c>
      <c r="G17" s="33">
        <f t="shared" si="7"/>
        <v>61</v>
      </c>
      <c r="H17" s="33">
        <f t="shared" si="7"/>
        <v>2</v>
      </c>
      <c r="I17" s="33">
        <f t="shared" si="7"/>
        <v>22</v>
      </c>
      <c r="J17" s="161">
        <f>IF(SUM(J13:J16),SUM(J13:J16),"")</f>
        <v>698</v>
      </c>
      <c r="K17" s="8"/>
      <c r="L17" s="9"/>
      <c r="M17" s="9"/>
      <c r="N17" s="9"/>
      <c r="O17" s="9"/>
      <c r="P17" s="9"/>
      <c r="Q17" s="9"/>
      <c r="R17" s="9"/>
      <c r="S17" s="9"/>
      <c r="T17" s="9"/>
      <c r="U17" s="11"/>
    </row>
    <row r="18" spans="1:27" ht="12.75" customHeight="1" x14ac:dyDescent="0.25">
      <c r="A18" s="9"/>
      <c r="B18" s="128"/>
      <c r="C18" s="128"/>
      <c r="D18" s="128"/>
      <c r="E18" s="128"/>
      <c r="F18" s="128"/>
      <c r="G18" s="128"/>
      <c r="H18" s="128"/>
      <c r="I18" s="128"/>
      <c r="K18" s="8"/>
      <c r="L18" s="196" t="s">
        <v>120</v>
      </c>
      <c r="M18" s="196"/>
      <c r="N18" s="196"/>
      <c r="O18" s="196"/>
      <c r="P18" s="196"/>
      <c r="Q18" s="196"/>
      <c r="R18" s="196"/>
      <c r="S18" s="196"/>
      <c r="T18" s="196"/>
      <c r="U18" s="196"/>
    </row>
    <row r="19" spans="1:27" ht="12.75" customHeight="1" x14ac:dyDescent="0.25">
      <c r="A19" s="196" t="s">
        <v>84</v>
      </c>
      <c r="B19" s="196"/>
      <c r="C19" s="196"/>
      <c r="D19" s="196"/>
      <c r="E19" s="196"/>
      <c r="F19" s="196"/>
      <c r="G19" s="196"/>
      <c r="H19" s="196"/>
      <c r="I19" s="196"/>
      <c r="J19" s="196"/>
      <c r="K19" s="8"/>
      <c r="L19" s="29" t="s">
        <v>30</v>
      </c>
      <c r="M19" s="30">
        <v>1</v>
      </c>
      <c r="N19" s="30"/>
      <c r="O19" s="30"/>
      <c r="P19" s="30">
        <v>10</v>
      </c>
      <c r="Q19" s="30">
        <v>1</v>
      </c>
      <c r="R19" s="30">
        <v>3</v>
      </c>
      <c r="S19" s="30"/>
      <c r="T19" s="30">
        <v>1</v>
      </c>
      <c r="U19" s="34">
        <f t="shared" ref="U19:U21" si="8">IF(SUM(M19:T19),SUM(M19:T19),"")</f>
        <v>16</v>
      </c>
    </row>
    <row r="20" spans="1:27" ht="12.75" customHeight="1" x14ac:dyDescent="0.25">
      <c r="A20" s="29" t="s">
        <v>3</v>
      </c>
      <c r="B20" s="86"/>
      <c r="C20" s="86"/>
      <c r="D20" s="86">
        <v>1</v>
      </c>
      <c r="E20" s="86">
        <v>16</v>
      </c>
      <c r="F20" s="86">
        <v>3</v>
      </c>
      <c r="G20" s="86">
        <v>15</v>
      </c>
      <c r="H20" s="86">
        <v>2</v>
      </c>
      <c r="I20" s="86">
        <v>1</v>
      </c>
      <c r="J20" s="159">
        <f>IF(SUM(B20:I20),SUM(B20:I20),"")</f>
        <v>38</v>
      </c>
      <c r="K20" s="8"/>
      <c r="L20" s="39" t="s">
        <v>100</v>
      </c>
      <c r="M20" s="40">
        <v>37</v>
      </c>
      <c r="N20" s="40">
        <v>15</v>
      </c>
      <c r="O20" s="40">
        <v>5</v>
      </c>
      <c r="P20" s="40">
        <v>8</v>
      </c>
      <c r="Q20" s="40"/>
      <c r="R20" s="40"/>
      <c r="S20" s="40">
        <v>4</v>
      </c>
      <c r="T20" s="40">
        <v>1</v>
      </c>
      <c r="U20" s="41">
        <f t="shared" si="8"/>
        <v>70</v>
      </c>
    </row>
    <row r="21" spans="1:27" ht="12.75" customHeight="1" x14ac:dyDescent="0.25">
      <c r="A21" s="39" t="s">
        <v>5</v>
      </c>
      <c r="B21" s="88"/>
      <c r="C21" s="88"/>
      <c r="D21" s="88"/>
      <c r="E21" s="88"/>
      <c r="F21" s="88"/>
      <c r="G21" s="88">
        <v>84</v>
      </c>
      <c r="H21" s="88"/>
      <c r="I21" s="88"/>
      <c r="J21" s="160">
        <f t="shared" ref="J21:J23" si="9">IF(SUM(B21:I21),SUM(B21:I21),"")</f>
        <v>84</v>
      </c>
      <c r="K21" s="8"/>
      <c r="L21" s="29" t="s">
        <v>64</v>
      </c>
      <c r="M21" s="30">
        <v>53</v>
      </c>
      <c r="N21" s="30">
        <v>30</v>
      </c>
      <c r="O21" s="30"/>
      <c r="P21" s="30">
        <v>37</v>
      </c>
      <c r="Q21" s="30">
        <v>8</v>
      </c>
      <c r="R21" s="30">
        <v>7</v>
      </c>
      <c r="S21" s="30">
        <v>4</v>
      </c>
      <c r="T21" s="30">
        <v>3</v>
      </c>
      <c r="U21" s="34">
        <f t="shared" si="8"/>
        <v>142</v>
      </c>
    </row>
    <row r="22" spans="1:27" ht="12.75" customHeight="1" x14ac:dyDescent="0.25">
      <c r="A22" s="29" t="s">
        <v>16</v>
      </c>
      <c r="B22" s="86">
        <v>38</v>
      </c>
      <c r="C22" s="86"/>
      <c r="D22" s="86"/>
      <c r="E22" s="86"/>
      <c r="F22" s="86"/>
      <c r="G22" s="86">
        <v>1</v>
      </c>
      <c r="H22" s="86">
        <v>31</v>
      </c>
      <c r="I22" s="86">
        <v>16</v>
      </c>
      <c r="J22" s="159">
        <f t="shared" si="9"/>
        <v>86</v>
      </c>
      <c r="K22" s="8"/>
      <c r="L22" s="31" t="s">
        <v>172</v>
      </c>
      <c r="M22" s="33">
        <f>IF(SUM(M19:M21),SUM(M19:M21),"")</f>
        <v>91</v>
      </c>
      <c r="N22" s="33">
        <f t="shared" ref="N22:U22" si="10">IF(SUM(N19:N21),SUM(N19:N21),"")</f>
        <v>45</v>
      </c>
      <c r="O22" s="33">
        <f t="shared" si="10"/>
        <v>5</v>
      </c>
      <c r="P22" s="33">
        <f t="shared" si="10"/>
        <v>55</v>
      </c>
      <c r="Q22" s="33">
        <f t="shared" si="10"/>
        <v>9</v>
      </c>
      <c r="R22" s="33">
        <f t="shared" si="10"/>
        <v>10</v>
      </c>
      <c r="S22" s="33">
        <f t="shared" si="10"/>
        <v>8</v>
      </c>
      <c r="T22" s="33">
        <f t="shared" si="10"/>
        <v>5</v>
      </c>
      <c r="U22" s="161">
        <f t="shared" si="10"/>
        <v>228</v>
      </c>
    </row>
    <row r="23" spans="1:27" ht="12.75" customHeight="1" x14ac:dyDescent="0.25">
      <c r="A23" s="39" t="s">
        <v>33</v>
      </c>
      <c r="B23" s="88">
        <v>18</v>
      </c>
      <c r="C23" s="88"/>
      <c r="D23" s="88"/>
      <c r="E23" s="88"/>
      <c r="F23" s="88"/>
      <c r="G23" s="88">
        <v>3</v>
      </c>
      <c r="H23" s="88"/>
      <c r="I23" s="88"/>
      <c r="J23" s="160">
        <f t="shared" si="9"/>
        <v>21</v>
      </c>
      <c r="K23" s="8"/>
      <c r="L23" s="9"/>
      <c r="M23" s="9"/>
      <c r="N23" s="9"/>
      <c r="O23" s="9"/>
      <c r="P23" s="9"/>
      <c r="Q23" s="9"/>
      <c r="R23" s="9"/>
      <c r="S23" s="9"/>
      <c r="T23" s="9"/>
      <c r="U23" s="11"/>
      <c r="V23" s="60"/>
      <c r="W23" s="60"/>
      <c r="X23" s="60"/>
      <c r="Y23" s="60"/>
      <c r="Z23" s="60"/>
      <c r="AA23" s="60"/>
    </row>
    <row r="24" spans="1:27" ht="12.75" customHeight="1" x14ac:dyDescent="0.25">
      <c r="A24" s="29" t="s">
        <v>36</v>
      </c>
      <c r="B24" s="86">
        <v>81</v>
      </c>
      <c r="C24" s="86">
        <v>2</v>
      </c>
      <c r="D24" s="86">
        <v>1</v>
      </c>
      <c r="E24" s="86">
        <v>9</v>
      </c>
      <c r="F24" s="86"/>
      <c r="G24" s="86"/>
      <c r="H24" s="86">
        <v>7</v>
      </c>
      <c r="I24" s="86">
        <v>1</v>
      </c>
      <c r="J24" s="159">
        <f>IF(SUM(B24:I24),SUM(B24:I24),"")</f>
        <v>101</v>
      </c>
      <c r="K24" s="8"/>
      <c r="L24" s="196" t="s">
        <v>173</v>
      </c>
      <c r="M24" s="196"/>
      <c r="N24" s="196"/>
      <c r="O24" s="196"/>
      <c r="P24" s="196"/>
      <c r="Q24" s="196"/>
      <c r="R24" s="196"/>
      <c r="S24" s="196"/>
      <c r="T24" s="196"/>
      <c r="U24" s="196"/>
    </row>
    <row r="25" spans="1:27" ht="12.75" customHeight="1" x14ac:dyDescent="0.25">
      <c r="A25" s="31" t="s">
        <v>89</v>
      </c>
      <c r="B25" s="33">
        <f>IF(SUM(B20:B24),SUM(B20:B24),"")</f>
        <v>137</v>
      </c>
      <c r="C25" s="33">
        <f t="shared" ref="C25:J25" si="11">IF(SUM(C20:C24),SUM(C20:C24),"")</f>
        <v>2</v>
      </c>
      <c r="D25" s="33">
        <f t="shared" si="11"/>
        <v>2</v>
      </c>
      <c r="E25" s="33">
        <f t="shared" si="11"/>
        <v>25</v>
      </c>
      <c r="F25" s="33">
        <f t="shared" si="11"/>
        <v>3</v>
      </c>
      <c r="G25" s="33">
        <f t="shared" si="11"/>
        <v>103</v>
      </c>
      <c r="H25" s="33">
        <f t="shared" si="11"/>
        <v>40</v>
      </c>
      <c r="I25" s="33">
        <f t="shared" si="11"/>
        <v>18</v>
      </c>
      <c r="J25" s="161">
        <f t="shared" si="11"/>
        <v>330</v>
      </c>
      <c r="K25" s="8"/>
      <c r="L25" s="96" t="s">
        <v>31</v>
      </c>
      <c r="M25" s="30">
        <v>14</v>
      </c>
      <c r="N25" s="30">
        <v>27</v>
      </c>
      <c r="O25" s="30"/>
      <c r="P25" s="30"/>
      <c r="Q25" s="154">
        <v>7</v>
      </c>
      <c r="R25" s="30"/>
      <c r="S25" s="30">
        <v>2</v>
      </c>
      <c r="T25" s="30">
        <v>1</v>
      </c>
      <c r="U25" s="99">
        <f t="shared" ref="U25:U28" si="12">IF(SUM(M25:T25),SUM(M25:T25),"")</f>
        <v>51</v>
      </c>
    </row>
    <row r="26" spans="1:27" ht="12.75" customHeight="1" x14ac:dyDescent="0.25">
      <c r="A26" s="9"/>
      <c r="B26" s="9"/>
      <c r="C26" s="9"/>
      <c r="D26" s="9"/>
      <c r="E26" s="9"/>
      <c r="F26" s="9"/>
      <c r="G26" s="9"/>
      <c r="H26" s="9"/>
      <c r="I26" s="9"/>
      <c r="K26" s="8"/>
      <c r="L26" s="39" t="s">
        <v>37</v>
      </c>
      <c r="M26" s="40">
        <v>15</v>
      </c>
      <c r="N26" s="40"/>
      <c r="O26" s="40"/>
      <c r="P26" s="40">
        <v>2</v>
      </c>
      <c r="Q26" s="40"/>
      <c r="R26" s="40">
        <v>1</v>
      </c>
      <c r="S26" s="40"/>
      <c r="T26" s="40">
        <v>1</v>
      </c>
      <c r="U26" s="41">
        <f t="shared" si="12"/>
        <v>19</v>
      </c>
    </row>
    <row r="27" spans="1:27" ht="12.75" customHeight="1" x14ac:dyDescent="0.25">
      <c r="A27" s="196" t="s">
        <v>85</v>
      </c>
      <c r="B27" s="196"/>
      <c r="C27" s="196"/>
      <c r="D27" s="196"/>
      <c r="E27" s="196"/>
      <c r="F27" s="196"/>
      <c r="G27" s="196"/>
      <c r="H27" s="196"/>
      <c r="I27" s="196"/>
      <c r="J27" s="196"/>
      <c r="K27" s="8"/>
      <c r="L27" s="96" t="s">
        <v>42</v>
      </c>
      <c r="M27" s="30"/>
      <c r="N27" s="30"/>
      <c r="O27" s="30"/>
      <c r="P27" s="30">
        <v>1</v>
      </c>
      <c r="Q27" s="154">
        <v>1</v>
      </c>
      <c r="R27" s="30"/>
      <c r="S27" s="30"/>
      <c r="T27" s="30"/>
      <c r="U27" s="99">
        <f>IF(SUM(M27:T27),SUM(M27:T27),"")</f>
        <v>2</v>
      </c>
    </row>
    <row r="28" spans="1:27" ht="12.75" customHeight="1" x14ac:dyDescent="0.25">
      <c r="A28" s="29" t="s">
        <v>11</v>
      </c>
      <c r="B28" s="86">
        <v>504</v>
      </c>
      <c r="C28" s="86">
        <v>43</v>
      </c>
      <c r="D28" s="86"/>
      <c r="E28" s="86"/>
      <c r="F28" s="86">
        <v>1</v>
      </c>
      <c r="G28" s="86"/>
      <c r="H28" s="86"/>
      <c r="I28" s="86">
        <v>70</v>
      </c>
      <c r="J28" s="34">
        <f>IF(SUM(B28:I28),SUM(B28:I28),"")</f>
        <v>618</v>
      </c>
      <c r="K28" s="8"/>
      <c r="L28" s="39" t="s">
        <v>46</v>
      </c>
      <c r="M28" s="40">
        <v>439</v>
      </c>
      <c r="N28" s="40"/>
      <c r="O28" s="40"/>
      <c r="P28" s="40"/>
      <c r="Q28" s="40"/>
      <c r="R28" s="40">
        <v>1</v>
      </c>
      <c r="S28" s="40"/>
      <c r="T28" s="40"/>
      <c r="U28" s="41">
        <f t="shared" si="12"/>
        <v>440</v>
      </c>
    </row>
    <row r="29" spans="1:27" ht="12.75" customHeight="1" x14ac:dyDescent="0.25">
      <c r="A29" s="39" t="s">
        <v>99</v>
      </c>
      <c r="B29" s="89">
        <v>2</v>
      </c>
      <c r="C29" s="88"/>
      <c r="D29" s="88"/>
      <c r="E29" s="88"/>
      <c r="F29" s="88">
        <v>1</v>
      </c>
      <c r="G29" s="88"/>
      <c r="H29" s="88"/>
      <c r="I29" s="88"/>
      <c r="J29" s="41">
        <f t="shared" ref="J29:J31" si="13">IF(SUM(B29:I29),SUM(B29:I29),"")</f>
        <v>3</v>
      </c>
      <c r="K29" s="8"/>
      <c r="L29" s="31" t="s">
        <v>174</v>
      </c>
      <c r="M29" s="33">
        <f>IF(SUM(M25:M28),SUM(M25:M28),"")</f>
        <v>468</v>
      </c>
      <c r="N29" s="33">
        <f t="shared" ref="N29:U29" si="14">IF(SUM(N25:N28),SUM(N25:N28),"")</f>
        <v>27</v>
      </c>
      <c r="O29" s="33" t="str">
        <f t="shared" si="14"/>
        <v/>
      </c>
      <c r="P29" s="33">
        <f t="shared" si="14"/>
        <v>3</v>
      </c>
      <c r="Q29" s="33">
        <f t="shared" si="14"/>
        <v>8</v>
      </c>
      <c r="R29" s="33">
        <f t="shared" si="14"/>
        <v>2</v>
      </c>
      <c r="S29" s="33">
        <f t="shared" si="14"/>
        <v>2</v>
      </c>
      <c r="T29" s="33">
        <f t="shared" si="14"/>
        <v>2</v>
      </c>
      <c r="U29" s="161">
        <f t="shared" si="14"/>
        <v>512</v>
      </c>
    </row>
    <row r="30" spans="1:27" ht="12.75" customHeight="1" x14ac:dyDescent="0.25">
      <c r="A30" s="29" t="s">
        <v>19</v>
      </c>
      <c r="B30" s="86">
        <v>17</v>
      </c>
      <c r="C30" s="86">
        <v>2</v>
      </c>
      <c r="D30" s="86"/>
      <c r="E30" s="86">
        <v>64</v>
      </c>
      <c r="F30" s="86">
        <v>3</v>
      </c>
      <c r="G30" s="86">
        <v>1</v>
      </c>
      <c r="H30" s="86">
        <v>1</v>
      </c>
      <c r="I30" s="86">
        <v>7</v>
      </c>
      <c r="J30" s="34">
        <f t="shared" si="13"/>
        <v>95</v>
      </c>
      <c r="K30" s="8"/>
      <c r="L30" s="9"/>
      <c r="M30" s="9"/>
      <c r="N30" s="9"/>
      <c r="O30" s="9"/>
      <c r="P30" s="9"/>
      <c r="Q30" s="9"/>
      <c r="R30" s="9"/>
      <c r="S30" s="9"/>
      <c r="T30" s="9"/>
      <c r="U30" s="11"/>
    </row>
    <row r="31" spans="1:27" ht="12.75" customHeight="1" x14ac:dyDescent="0.25">
      <c r="A31" s="39" t="s">
        <v>38</v>
      </c>
      <c r="B31" s="88">
        <v>38</v>
      </c>
      <c r="C31" s="88">
        <v>2</v>
      </c>
      <c r="D31" s="88"/>
      <c r="E31" s="88">
        <v>2</v>
      </c>
      <c r="F31" s="88">
        <v>43</v>
      </c>
      <c r="G31" s="88">
        <v>30</v>
      </c>
      <c r="H31" s="88"/>
      <c r="I31" s="88"/>
      <c r="J31" s="41">
        <f t="shared" si="13"/>
        <v>115</v>
      </c>
      <c r="K31" s="8"/>
      <c r="L31" s="196" t="s">
        <v>175</v>
      </c>
      <c r="M31" s="196"/>
      <c r="N31" s="196"/>
      <c r="O31" s="196"/>
      <c r="P31" s="196"/>
      <c r="Q31" s="196"/>
      <c r="R31" s="196"/>
      <c r="S31" s="196"/>
      <c r="T31" s="196"/>
      <c r="U31" s="196"/>
    </row>
    <row r="32" spans="1:27" ht="12.75" customHeight="1" x14ac:dyDescent="0.25">
      <c r="A32" s="29" t="s">
        <v>39</v>
      </c>
      <c r="B32" s="86"/>
      <c r="C32" s="86"/>
      <c r="D32" s="86"/>
      <c r="E32" s="86">
        <v>3</v>
      </c>
      <c r="F32" s="86">
        <v>2</v>
      </c>
      <c r="G32" s="86"/>
      <c r="H32" s="86">
        <v>1</v>
      </c>
      <c r="I32" s="86">
        <v>50.999999999999993</v>
      </c>
      <c r="J32" s="34">
        <f>IF(SUM(B32:I32),SUM(B32:I32),"")</f>
        <v>56.999999999999993</v>
      </c>
      <c r="K32" s="8"/>
      <c r="L32" s="29" t="s">
        <v>27</v>
      </c>
      <c r="M32" s="30">
        <v>16</v>
      </c>
      <c r="N32" s="30">
        <v>2</v>
      </c>
      <c r="O32" s="30"/>
      <c r="P32" s="30">
        <v>1</v>
      </c>
      <c r="Q32" s="30">
        <v>3</v>
      </c>
      <c r="R32" s="30">
        <v>1</v>
      </c>
      <c r="S32" s="30"/>
      <c r="T32" s="30">
        <v>3</v>
      </c>
      <c r="U32" s="99">
        <f>IF(SUM(M32:T32),SUM(M32:T32),"")</f>
        <v>26</v>
      </c>
    </row>
    <row r="33" spans="1:21" ht="12.75" customHeight="1" x14ac:dyDescent="0.25">
      <c r="A33" s="31" t="s">
        <v>90</v>
      </c>
      <c r="B33" s="33">
        <f>IF(SUM(B28:B32),SUM(B28:B32),"")</f>
        <v>561</v>
      </c>
      <c r="C33" s="33">
        <f t="shared" ref="C33:I33" si="15">IF(SUM(C28:C32),SUM(C28:C32),"")</f>
        <v>47</v>
      </c>
      <c r="D33" s="33" t="str">
        <f t="shared" si="15"/>
        <v/>
      </c>
      <c r="E33" s="33">
        <f t="shared" si="15"/>
        <v>69</v>
      </c>
      <c r="F33" s="33">
        <f t="shared" si="15"/>
        <v>50</v>
      </c>
      <c r="G33" s="33">
        <f t="shared" si="15"/>
        <v>31</v>
      </c>
      <c r="H33" s="33">
        <f t="shared" si="15"/>
        <v>2</v>
      </c>
      <c r="I33" s="33">
        <f t="shared" si="15"/>
        <v>128</v>
      </c>
      <c r="J33" s="161">
        <f>IF(SUM(J28:J32),SUM(J28:J32),"")</f>
        <v>888</v>
      </c>
      <c r="K33" s="8"/>
      <c r="L33" s="39" t="s">
        <v>32</v>
      </c>
      <c r="M33" s="40"/>
      <c r="N33" s="40">
        <v>1</v>
      </c>
      <c r="O33" s="40"/>
      <c r="P33" s="40">
        <v>3</v>
      </c>
      <c r="Q33" s="40">
        <v>6</v>
      </c>
      <c r="R33" s="40">
        <v>1</v>
      </c>
      <c r="S33" s="40">
        <v>1</v>
      </c>
      <c r="T33" s="40">
        <v>2</v>
      </c>
      <c r="U33" s="41">
        <f t="shared" ref="U33:U34" si="16">IF(SUM(M33:T33),SUM(M33:T33),"")</f>
        <v>14</v>
      </c>
    </row>
    <row r="34" spans="1:21" ht="12.75" customHeight="1" x14ac:dyDescent="0.25">
      <c r="A34" s="9"/>
      <c r="B34" s="9"/>
      <c r="C34" s="9"/>
      <c r="D34" s="9"/>
      <c r="E34" s="9"/>
      <c r="F34" s="9"/>
      <c r="G34" s="9"/>
      <c r="H34" s="9"/>
      <c r="I34" s="9"/>
      <c r="K34" s="8"/>
      <c r="L34" s="29" t="s">
        <v>44</v>
      </c>
      <c r="M34" s="30">
        <v>33</v>
      </c>
      <c r="N34" s="30">
        <v>3</v>
      </c>
      <c r="O34" s="30">
        <v>9</v>
      </c>
      <c r="P34" s="30">
        <v>6</v>
      </c>
      <c r="Q34" s="30">
        <v>7</v>
      </c>
      <c r="R34" s="30">
        <v>4</v>
      </c>
      <c r="S34" s="30">
        <v>3</v>
      </c>
      <c r="T34" s="30">
        <v>2</v>
      </c>
      <c r="U34" s="99">
        <f t="shared" si="16"/>
        <v>67</v>
      </c>
    </row>
    <row r="35" spans="1:21" ht="12.75" customHeight="1" x14ac:dyDescent="0.25">
      <c r="A35" s="196" t="s">
        <v>86</v>
      </c>
      <c r="B35" s="196"/>
      <c r="C35" s="196"/>
      <c r="D35" s="196"/>
      <c r="E35" s="196"/>
      <c r="F35" s="196"/>
      <c r="G35" s="196"/>
      <c r="H35" s="196"/>
      <c r="I35" s="196"/>
      <c r="J35" s="196"/>
      <c r="K35" s="8"/>
      <c r="L35" s="39" t="s">
        <v>68</v>
      </c>
      <c r="M35" s="40">
        <v>35</v>
      </c>
      <c r="N35" s="40">
        <v>6</v>
      </c>
      <c r="O35" s="40">
        <v>22</v>
      </c>
      <c r="P35" s="40">
        <v>31</v>
      </c>
      <c r="Q35" s="40">
        <v>10</v>
      </c>
      <c r="R35" s="40">
        <v>6</v>
      </c>
      <c r="S35" s="40">
        <v>5</v>
      </c>
      <c r="T35" s="40">
        <v>10</v>
      </c>
      <c r="U35" s="41">
        <f>IF(SUM(M35:T35),SUM(M35:T35),"")</f>
        <v>125</v>
      </c>
    </row>
    <row r="36" spans="1:21" ht="12.75" customHeight="1" x14ac:dyDescent="0.25">
      <c r="A36" s="29" t="s">
        <v>208</v>
      </c>
      <c r="B36" s="86">
        <v>119</v>
      </c>
      <c r="C36" s="86"/>
      <c r="D36" s="86"/>
      <c r="E36" s="86"/>
      <c r="F36" s="86"/>
      <c r="G36" s="86">
        <v>2</v>
      </c>
      <c r="H36" s="86"/>
      <c r="I36" s="86">
        <v>2</v>
      </c>
      <c r="J36" s="34">
        <f>IF(SUM(B36:I36),SUM(B36:I36),"")</f>
        <v>123</v>
      </c>
      <c r="K36" s="8"/>
      <c r="L36" s="31" t="s">
        <v>177</v>
      </c>
      <c r="M36" s="33">
        <f>IF(SUM(M32:M35),SUM(M32:M35),"")</f>
        <v>84</v>
      </c>
      <c r="N36" s="33">
        <f t="shared" ref="N36:U36" si="17">IF(SUM(N32:N35),SUM(N32:N35),"")</f>
        <v>12</v>
      </c>
      <c r="O36" s="33">
        <f t="shared" si="17"/>
        <v>31</v>
      </c>
      <c r="P36" s="33">
        <f t="shared" si="17"/>
        <v>41</v>
      </c>
      <c r="Q36" s="33">
        <f t="shared" si="17"/>
        <v>26</v>
      </c>
      <c r="R36" s="33">
        <f t="shared" si="17"/>
        <v>12</v>
      </c>
      <c r="S36" s="33">
        <f t="shared" si="17"/>
        <v>9</v>
      </c>
      <c r="T36" s="33">
        <f t="shared" si="17"/>
        <v>17</v>
      </c>
      <c r="U36" s="161">
        <f t="shared" si="17"/>
        <v>232</v>
      </c>
    </row>
    <row r="37" spans="1:21" ht="12.75" customHeight="1" x14ac:dyDescent="0.25">
      <c r="A37" s="39" t="s">
        <v>26</v>
      </c>
      <c r="B37" s="88"/>
      <c r="C37" s="88"/>
      <c r="D37" s="88">
        <v>46</v>
      </c>
      <c r="E37" s="88"/>
      <c r="F37" s="88"/>
      <c r="G37" s="88"/>
      <c r="H37" s="88">
        <v>1</v>
      </c>
      <c r="I37" s="88"/>
      <c r="J37" s="41">
        <f t="shared" ref="J37" si="18">IF(SUM(B37:I37),SUM(B37:I37),"")</f>
        <v>47</v>
      </c>
      <c r="K37" s="8"/>
      <c r="M37" s="69"/>
    </row>
    <row r="38" spans="1:21" ht="12.75" customHeight="1" x14ac:dyDescent="0.25">
      <c r="A38" s="35" t="s">
        <v>34</v>
      </c>
      <c r="B38" s="86"/>
      <c r="C38" s="86"/>
      <c r="D38" s="86"/>
      <c r="E38" s="86"/>
      <c r="F38" s="86">
        <v>36</v>
      </c>
      <c r="G38" s="86"/>
      <c r="H38" s="86">
        <v>1</v>
      </c>
      <c r="I38" s="86">
        <v>1</v>
      </c>
      <c r="J38" s="34">
        <f>IF(SUM(B38:I38),SUM(B38:I38),"")</f>
        <v>38</v>
      </c>
      <c r="K38" s="8"/>
      <c r="L38" s="196" t="s">
        <v>176</v>
      </c>
      <c r="M38" s="196"/>
      <c r="N38" s="196"/>
      <c r="O38" s="196"/>
      <c r="P38" s="196"/>
      <c r="Q38" s="196"/>
      <c r="R38" s="196"/>
      <c r="S38" s="196"/>
      <c r="T38" s="196"/>
      <c r="U38" s="196"/>
    </row>
    <row r="39" spans="1:21" ht="12.75" customHeight="1" x14ac:dyDescent="0.25">
      <c r="A39" s="31" t="s">
        <v>91</v>
      </c>
      <c r="B39" s="33">
        <f>IF(SUM(B36:B38),SUM(B36:B38),"")</f>
        <v>119</v>
      </c>
      <c r="C39" s="33" t="str">
        <f t="shared" ref="C39:J39" si="19">IF(SUM(C36:C38),SUM(C36:C38),"")</f>
        <v/>
      </c>
      <c r="D39" s="33">
        <f t="shared" si="19"/>
        <v>46</v>
      </c>
      <c r="E39" s="33" t="str">
        <f t="shared" si="19"/>
        <v/>
      </c>
      <c r="F39" s="33">
        <f t="shared" si="19"/>
        <v>36</v>
      </c>
      <c r="G39" s="33">
        <f t="shared" si="19"/>
        <v>2</v>
      </c>
      <c r="H39" s="33">
        <f t="shared" si="19"/>
        <v>2</v>
      </c>
      <c r="I39" s="33">
        <f t="shared" si="19"/>
        <v>3</v>
      </c>
      <c r="J39" s="161">
        <f t="shared" si="19"/>
        <v>208</v>
      </c>
      <c r="K39" s="8"/>
      <c r="L39" s="29" t="s">
        <v>21</v>
      </c>
      <c r="M39" s="30">
        <v>196</v>
      </c>
      <c r="N39" s="30">
        <v>58</v>
      </c>
      <c r="O39" s="30"/>
      <c r="P39" s="30">
        <v>8</v>
      </c>
      <c r="Q39" s="30">
        <v>2</v>
      </c>
      <c r="R39" s="30">
        <v>2</v>
      </c>
      <c r="S39" s="30">
        <v>1</v>
      </c>
      <c r="T39" s="30">
        <v>1</v>
      </c>
      <c r="U39" s="99">
        <f>IF(SUM(M39:T39),SUM(M39:T39),"")</f>
        <v>268</v>
      </c>
    </row>
    <row r="40" spans="1:21" ht="12.75" customHeight="1" x14ac:dyDescent="0.25">
      <c r="A40" s="9"/>
      <c r="B40" s="9"/>
      <c r="C40" s="9"/>
      <c r="D40" s="9"/>
      <c r="E40" s="9"/>
      <c r="F40" s="9"/>
      <c r="G40" s="9"/>
      <c r="H40" s="9"/>
      <c r="I40" s="9"/>
      <c r="J40" s="6"/>
      <c r="K40" s="8"/>
      <c r="L40" s="39" t="s">
        <v>28</v>
      </c>
      <c r="M40" s="40"/>
      <c r="N40" s="40">
        <v>2</v>
      </c>
      <c r="O40" s="40">
        <v>3</v>
      </c>
      <c r="P40" s="40">
        <v>3</v>
      </c>
      <c r="Q40" s="40">
        <v>5</v>
      </c>
      <c r="R40" s="40">
        <v>2</v>
      </c>
      <c r="S40" s="40">
        <v>1</v>
      </c>
      <c r="T40" s="40"/>
      <c r="U40" s="41">
        <f t="shared" ref="U40" si="20">IF(SUM(M40:T40),SUM(M40:T40),"")</f>
        <v>16</v>
      </c>
    </row>
    <row r="41" spans="1:21" ht="12.75" customHeight="1" x14ac:dyDescent="0.25">
      <c r="A41" s="196" t="s">
        <v>108</v>
      </c>
      <c r="B41" s="196"/>
      <c r="C41" s="196"/>
      <c r="D41" s="196"/>
      <c r="E41" s="196"/>
      <c r="F41" s="196"/>
      <c r="G41" s="196"/>
      <c r="H41" s="196"/>
      <c r="I41" s="196"/>
      <c r="J41" s="196"/>
      <c r="K41" s="8"/>
      <c r="L41" s="29" t="s">
        <v>40</v>
      </c>
      <c r="M41" s="30">
        <v>224</v>
      </c>
      <c r="N41" s="30">
        <v>148</v>
      </c>
      <c r="O41" s="30">
        <v>3</v>
      </c>
      <c r="P41" s="30"/>
      <c r="Q41" s="30">
        <v>1</v>
      </c>
      <c r="R41" s="30">
        <v>3</v>
      </c>
      <c r="S41" s="30">
        <v>2</v>
      </c>
      <c r="T41" s="30">
        <v>1</v>
      </c>
      <c r="U41" s="99">
        <f>IF(SUM(M41:T41),SUM(M41:T41),"")</f>
        <v>382</v>
      </c>
    </row>
    <row r="42" spans="1:21" ht="12.75" customHeight="1" x14ac:dyDescent="0.25">
      <c r="A42" s="96" t="s">
        <v>15</v>
      </c>
      <c r="B42" s="30"/>
      <c r="C42" s="30"/>
      <c r="D42" s="30"/>
      <c r="E42" s="30">
        <v>8</v>
      </c>
      <c r="F42" s="154"/>
      <c r="G42" s="30"/>
      <c r="H42" s="30"/>
      <c r="I42" s="30">
        <v>10</v>
      </c>
      <c r="J42" s="112">
        <f>IF(SUM(B42:I42),SUM(B42:I42),"")</f>
        <v>18</v>
      </c>
      <c r="K42" s="8"/>
      <c r="L42" s="39" t="s">
        <v>45</v>
      </c>
      <c r="M42" s="40">
        <v>185</v>
      </c>
      <c r="N42" s="40">
        <v>92</v>
      </c>
      <c r="O42" s="40">
        <v>1</v>
      </c>
      <c r="P42" s="40">
        <v>20</v>
      </c>
      <c r="Q42" s="40">
        <v>334</v>
      </c>
      <c r="R42" s="40">
        <v>3</v>
      </c>
      <c r="S42" s="40"/>
      <c r="T42" s="40">
        <v>4</v>
      </c>
      <c r="U42" s="41">
        <f>IF(SUM(M42:T42),SUM(M42:T42),"")</f>
        <v>639</v>
      </c>
    </row>
    <row r="43" spans="1:21" ht="12.75" customHeight="1" x14ac:dyDescent="0.25">
      <c r="A43" s="39" t="s">
        <v>22</v>
      </c>
      <c r="B43" s="88"/>
      <c r="C43" s="88"/>
      <c r="D43" s="88"/>
      <c r="E43" s="88">
        <v>1</v>
      </c>
      <c r="F43" s="88"/>
      <c r="G43" s="88"/>
      <c r="H43" s="88">
        <v>1</v>
      </c>
      <c r="I43" s="88">
        <v>36</v>
      </c>
      <c r="J43" s="160">
        <f t="shared" ref="J43:J49" si="21">IF(SUM(B43:I43),SUM(B43:I43),"")</f>
        <v>38</v>
      </c>
      <c r="K43" s="8"/>
      <c r="L43" s="96" t="s">
        <v>51</v>
      </c>
      <c r="M43" s="30">
        <v>28</v>
      </c>
      <c r="N43" s="30">
        <v>24</v>
      </c>
      <c r="O43" s="30">
        <v>1</v>
      </c>
      <c r="P43" s="30">
        <v>10</v>
      </c>
      <c r="Q43" s="30"/>
      <c r="R43" s="30"/>
      <c r="S43" s="30">
        <v>1</v>
      </c>
      <c r="T43" s="30">
        <v>1</v>
      </c>
      <c r="U43" s="99">
        <f>IF(SUM(M43:T43),SUM(M43:T43),"")</f>
        <v>65</v>
      </c>
    </row>
    <row r="44" spans="1:21" ht="12.75" customHeight="1" x14ac:dyDescent="0.25">
      <c r="A44" s="98" t="s">
        <v>101</v>
      </c>
      <c r="B44" s="30"/>
      <c r="C44" s="30"/>
      <c r="D44" s="30"/>
      <c r="E44" s="30"/>
      <c r="F44" s="154">
        <v>1</v>
      </c>
      <c r="G44" s="30"/>
      <c r="H44" s="30"/>
      <c r="I44" s="30"/>
      <c r="J44" s="112">
        <f t="shared" si="21"/>
        <v>1</v>
      </c>
      <c r="K44" s="8"/>
      <c r="L44" s="31" t="s">
        <v>178</v>
      </c>
      <c r="M44" s="33">
        <f>IF(SUM(M39:M43),SUM(M39:M43),"")</f>
        <v>633</v>
      </c>
      <c r="N44" s="33">
        <f t="shared" ref="N44:U44" si="22">IF(SUM(N39:N43),SUM(N39:N43),"")</f>
        <v>324</v>
      </c>
      <c r="O44" s="33">
        <f t="shared" si="22"/>
        <v>8</v>
      </c>
      <c r="P44" s="33">
        <f t="shared" si="22"/>
        <v>41</v>
      </c>
      <c r="Q44" s="33">
        <f t="shared" si="22"/>
        <v>342</v>
      </c>
      <c r="R44" s="33">
        <f t="shared" si="22"/>
        <v>10</v>
      </c>
      <c r="S44" s="33">
        <f t="shared" si="22"/>
        <v>5</v>
      </c>
      <c r="T44" s="33">
        <f t="shared" si="22"/>
        <v>7</v>
      </c>
      <c r="U44" s="161">
        <f t="shared" si="22"/>
        <v>1370</v>
      </c>
    </row>
    <row r="45" spans="1:21" ht="12.75" customHeight="1" x14ac:dyDescent="0.25">
      <c r="A45" s="39" t="s">
        <v>41</v>
      </c>
      <c r="B45" s="88">
        <v>1</v>
      </c>
      <c r="C45" s="88"/>
      <c r="D45" s="88">
        <v>3</v>
      </c>
      <c r="E45" s="88"/>
      <c r="F45" s="88">
        <v>1</v>
      </c>
      <c r="G45" s="88"/>
      <c r="H45" s="88">
        <v>1</v>
      </c>
      <c r="I45" s="88">
        <v>1</v>
      </c>
      <c r="J45" s="160">
        <f t="shared" si="21"/>
        <v>7</v>
      </c>
      <c r="K45" s="8"/>
    </row>
    <row r="46" spans="1:21" ht="12.75" customHeight="1" x14ac:dyDescent="0.25">
      <c r="A46" s="96" t="s">
        <v>50</v>
      </c>
      <c r="B46" s="30">
        <v>102</v>
      </c>
      <c r="C46" s="30">
        <v>18</v>
      </c>
      <c r="D46" s="30">
        <v>161</v>
      </c>
      <c r="E46" s="30">
        <v>11</v>
      </c>
      <c r="F46" s="30">
        <v>20</v>
      </c>
      <c r="G46" s="154">
        <v>10</v>
      </c>
      <c r="H46" s="30">
        <v>1</v>
      </c>
      <c r="I46" s="30">
        <v>9</v>
      </c>
      <c r="J46" s="112">
        <f t="shared" si="21"/>
        <v>332</v>
      </c>
      <c r="K46" s="8"/>
      <c r="L46" s="196" t="s">
        <v>179</v>
      </c>
      <c r="M46" s="196"/>
      <c r="N46" s="196"/>
      <c r="O46" s="196"/>
      <c r="P46" s="196"/>
      <c r="Q46" s="196"/>
      <c r="R46" s="196"/>
      <c r="S46" s="196"/>
      <c r="T46" s="196"/>
      <c r="U46" s="196"/>
    </row>
    <row r="47" spans="1:21" ht="12.75" customHeight="1" x14ac:dyDescent="0.25">
      <c r="A47" s="39" t="s">
        <v>52</v>
      </c>
      <c r="B47" s="88"/>
      <c r="C47" s="88"/>
      <c r="D47" s="88">
        <v>2</v>
      </c>
      <c r="E47" s="88">
        <v>3</v>
      </c>
      <c r="F47" s="88">
        <v>1</v>
      </c>
      <c r="G47" s="88"/>
      <c r="H47" s="88"/>
      <c r="I47" s="88"/>
      <c r="J47" s="160">
        <f t="shared" si="21"/>
        <v>6</v>
      </c>
      <c r="K47" s="8"/>
      <c r="L47" s="29" t="s">
        <v>4</v>
      </c>
      <c r="M47" s="30"/>
      <c r="N47" s="30">
        <v>28.000000000000007</v>
      </c>
      <c r="O47" s="30">
        <v>32</v>
      </c>
      <c r="P47" s="30">
        <v>11</v>
      </c>
      <c r="Q47" s="30">
        <v>2</v>
      </c>
      <c r="R47" s="30">
        <v>2</v>
      </c>
      <c r="S47" s="30">
        <v>1</v>
      </c>
      <c r="T47" s="30"/>
      <c r="U47" s="99">
        <f>IF(SUM(M47:T47),SUM(M47:T47),"")</f>
        <v>76</v>
      </c>
    </row>
    <row r="48" spans="1:21" ht="12.75" customHeight="1" x14ac:dyDescent="0.25">
      <c r="A48" s="96" t="s">
        <v>53</v>
      </c>
      <c r="B48" s="30">
        <v>4</v>
      </c>
      <c r="C48" s="30"/>
      <c r="D48" s="30"/>
      <c r="E48" s="30">
        <v>1</v>
      </c>
      <c r="F48" s="154"/>
      <c r="G48" s="30">
        <v>3</v>
      </c>
      <c r="H48" s="30">
        <v>1</v>
      </c>
      <c r="I48" s="30">
        <v>1</v>
      </c>
      <c r="J48" s="112">
        <f>IF(SUM(B48:I48),SUM(B48:I48),"")</f>
        <v>10</v>
      </c>
      <c r="K48" s="8"/>
      <c r="L48" s="39" t="s">
        <v>14</v>
      </c>
      <c r="M48" s="40">
        <v>42</v>
      </c>
      <c r="N48" s="40">
        <v>32</v>
      </c>
      <c r="O48" s="40">
        <v>4</v>
      </c>
      <c r="P48" s="40">
        <v>15</v>
      </c>
      <c r="Q48" s="40">
        <v>7</v>
      </c>
      <c r="R48" s="40"/>
      <c r="S48" s="40">
        <v>1</v>
      </c>
      <c r="T48" s="40">
        <v>2</v>
      </c>
      <c r="U48" s="41">
        <f t="shared" ref="U48:U49" si="23">IF(SUM(M48:T48),SUM(M48:T48),"")</f>
        <v>103</v>
      </c>
    </row>
    <row r="49" spans="1:27" ht="12.75" customHeight="1" x14ac:dyDescent="0.25">
      <c r="A49" s="39" t="s">
        <v>55</v>
      </c>
      <c r="B49" s="88"/>
      <c r="C49" s="88">
        <v>9</v>
      </c>
      <c r="D49" s="88"/>
      <c r="E49" s="88"/>
      <c r="F49" s="88">
        <v>4</v>
      </c>
      <c r="G49" s="88"/>
      <c r="H49" s="88">
        <v>1</v>
      </c>
      <c r="I49" s="88">
        <v>1</v>
      </c>
      <c r="J49" s="160">
        <f t="shared" si="21"/>
        <v>15</v>
      </c>
      <c r="K49" s="8"/>
      <c r="L49" s="29" t="s">
        <v>59</v>
      </c>
      <c r="M49" s="30">
        <v>15</v>
      </c>
      <c r="N49" s="30">
        <v>28.999999999999996</v>
      </c>
      <c r="O49" s="30">
        <v>43.000000000000007</v>
      </c>
      <c r="P49" s="30">
        <v>12.000000000000002</v>
      </c>
      <c r="Q49" s="30">
        <v>7</v>
      </c>
      <c r="R49" s="30">
        <v>4</v>
      </c>
      <c r="S49" s="30">
        <v>2</v>
      </c>
      <c r="T49" s="30"/>
      <c r="U49" s="99">
        <f t="shared" si="23"/>
        <v>112</v>
      </c>
    </row>
    <row r="50" spans="1:27" ht="12.75" customHeight="1" x14ac:dyDescent="0.25">
      <c r="A50" s="31" t="s">
        <v>109</v>
      </c>
      <c r="B50" s="161">
        <f t="shared" ref="B50:I50" si="24">IF(SUM(B42:B49),SUM(B42:B49),"")</f>
        <v>107</v>
      </c>
      <c r="C50" s="161">
        <f t="shared" si="24"/>
        <v>27</v>
      </c>
      <c r="D50" s="161">
        <f t="shared" si="24"/>
        <v>166</v>
      </c>
      <c r="E50" s="161">
        <f t="shared" si="24"/>
        <v>24</v>
      </c>
      <c r="F50" s="161">
        <f t="shared" si="24"/>
        <v>27</v>
      </c>
      <c r="G50" s="161">
        <f t="shared" si="24"/>
        <v>13</v>
      </c>
      <c r="H50" s="161">
        <f t="shared" si="24"/>
        <v>5</v>
      </c>
      <c r="I50" s="161">
        <f t="shared" si="24"/>
        <v>58</v>
      </c>
      <c r="J50" s="161">
        <f>IF(SUM(J42:J49),SUM(J42:J49),"")</f>
        <v>427</v>
      </c>
      <c r="K50" s="8"/>
      <c r="L50" s="31" t="s">
        <v>180</v>
      </c>
      <c r="M50" s="33">
        <f t="shared" ref="M50:T50" si="25">IF(SUM(M45:M49),SUM(M45:M49),"")</f>
        <v>57</v>
      </c>
      <c r="N50" s="33">
        <f t="shared" si="25"/>
        <v>89</v>
      </c>
      <c r="O50" s="33">
        <f t="shared" si="25"/>
        <v>79</v>
      </c>
      <c r="P50" s="33">
        <f t="shared" si="25"/>
        <v>38</v>
      </c>
      <c r="Q50" s="33">
        <f t="shared" si="25"/>
        <v>16</v>
      </c>
      <c r="R50" s="33">
        <f t="shared" si="25"/>
        <v>6</v>
      </c>
      <c r="S50" s="33">
        <f t="shared" si="25"/>
        <v>4</v>
      </c>
      <c r="T50" s="33">
        <f t="shared" si="25"/>
        <v>2</v>
      </c>
      <c r="U50" s="161">
        <f>IF(SUM(U47:U49),SUM(U47:U49),"")</f>
        <v>291</v>
      </c>
    </row>
    <row r="51" spans="1:27" ht="12.75" customHeight="1" x14ac:dyDescent="0.25">
      <c r="A51" s="9"/>
      <c r="B51" s="9"/>
      <c r="C51" s="9"/>
      <c r="D51" s="9"/>
      <c r="E51" s="9"/>
      <c r="F51" s="9"/>
      <c r="G51" s="9"/>
      <c r="H51" s="9"/>
      <c r="I51" s="9"/>
      <c r="K51" s="162"/>
    </row>
    <row r="52" spans="1:27" ht="12.75" customHeight="1" x14ac:dyDescent="0.25">
      <c r="A52" s="196" t="s">
        <v>110</v>
      </c>
      <c r="B52" s="196"/>
      <c r="C52" s="196"/>
      <c r="D52" s="196"/>
      <c r="E52" s="196"/>
      <c r="F52" s="196"/>
      <c r="G52" s="196"/>
      <c r="H52" s="196"/>
      <c r="I52" s="196"/>
      <c r="J52" s="196"/>
      <c r="K52" s="8"/>
      <c r="L52" s="196" t="s">
        <v>181</v>
      </c>
      <c r="M52" s="196"/>
      <c r="N52" s="196"/>
      <c r="O52" s="196"/>
      <c r="P52" s="196"/>
      <c r="Q52" s="196"/>
      <c r="R52" s="196"/>
      <c r="S52" s="196"/>
      <c r="T52" s="196"/>
      <c r="U52" s="196"/>
    </row>
    <row r="53" spans="1:27" ht="12.75" customHeight="1" x14ac:dyDescent="0.25">
      <c r="A53" s="96" t="s">
        <v>8</v>
      </c>
      <c r="B53" s="30">
        <v>129</v>
      </c>
      <c r="C53" s="30">
        <v>54</v>
      </c>
      <c r="D53" s="30">
        <v>73</v>
      </c>
      <c r="E53" s="30"/>
      <c r="F53" s="154">
        <v>9</v>
      </c>
      <c r="G53" s="30"/>
      <c r="H53" s="30"/>
      <c r="I53" s="30"/>
      <c r="J53" s="112">
        <f>IF(SUM(B53:I53),SUM(B53:I53),"")</f>
        <v>265</v>
      </c>
      <c r="K53" s="8"/>
      <c r="L53" s="29" t="s">
        <v>98</v>
      </c>
      <c r="M53" s="30">
        <v>53</v>
      </c>
      <c r="N53" s="30">
        <v>83</v>
      </c>
      <c r="O53" s="30">
        <v>18</v>
      </c>
      <c r="P53" s="30">
        <v>10</v>
      </c>
      <c r="Q53" s="30">
        <v>6</v>
      </c>
      <c r="R53" s="30"/>
      <c r="S53" s="30">
        <v>2</v>
      </c>
      <c r="T53" s="30">
        <v>1</v>
      </c>
      <c r="U53" s="99">
        <f>IF(SUM(M53:T53),SUM(M53:T53),"")</f>
        <v>173</v>
      </c>
    </row>
    <row r="54" spans="1:27" ht="12.75" customHeight="1" x14ac:dyDescent="0.25">
      <c r="A54" s="39" t="s">
        <v>12</v>
      </c>
      <c r="B54" s="88">
        <v>3</v>
      </c>
      <c r="C54" s="88">
        <v>56</v>
      </c>
      <c r="D54" s="88">
        <v>5</v>
      </c>
      <c r="E54" s="88">
        <v>27</v>
      </c>
      <c r="F54" s="88">
        <v>5</v>
      </c>
      <c r="G54" s="88">
        <v>1</v>
      </c>
      <c r="H54" s="88">
        <v>1</v>
      </c>
      <c r="I54" s="88"/>
      <c r="J54" s="160">
        <f>IF(SUM(B54:I54),SUM(B54:I54),"")</f>
        <v>98</v>
      </c>
      <c r="K54" s="8"/>
      <c r="L54" s="39" t="s">
        <v>23</v>
      </c>
      <c r="M54" s="40"/>
      <c r="N54" s="40"/>
      <c r="O54" s="40"/>
      <c r="P54" s="40"/>
      <c r="Q54" s="40"/>
      <c r="R54" s="40"/>
      <c r="S54" s="40"/>
      <c r="T54" s="40"/>
      <c r="U54" s="41" t="str">
        <f t="shared" ref="U54:U55" si="26">IF(SUM(M54:T54),SUM(M54:T54),"")</f>
        <v/>
      </c>
    </row>
    <row r="55" spans="1:27" ht="12.75" customHeight="1" x14ac:dyDescent="0.25">
      <c r="A55" s="98" t="s">
        <v>35</v>
      </c>
      <c r="B55" s="30">
        <v>1</v>
      </c>
      <c r="C55" s="30">
        <v>4</v>
      </c>
      <c r="D55" s="30"/>
      <c r="E55" s="30">
        <v>12</v>
      </c>
      <c r="F55" s="154"/>
      <c r="G55" s="30"/>
      <c r="H55" s="30"/>
      <c r="I55" s="30">
        <v>1</v>
      </c>
      <c r="J55" s="112">
        <f>IF(SUM(B55:I55),SUM(B55:I55),"")</f>
        <v>18</v>
      </c>
      <c r="K55" s="8"/>
      <c r="L55" s="29" t="s">
        <v>29</v>
      </c>
      <c r="M55" s="30">
        <v>4</v>
      </c>
      <c r="N55" s="30">
        <v>6</v>
      </c>
      <c r="O55" s="30">
        <v>4</v>
      </c>
      <c r="P55" s="30">
        <v>1</v>
      </c>
      <c r="Q55" s="30">
        <v>2</v>
      </c>
      <c r="R55" s="30"/>
      <c r="S55" s="30"/>
      <c r="T55" s="30"/>
      <c r="U55" s="99">
        <f t="shared" si="26"/>
        <v>17</v>
      </c>
    </row>
    <row r="56" spans="1:27" ht="12.75" customHeight="1" x14ac:dyDescent="0.25">
      <c r="A56" s="31" t="s">
        <v>111</v>
      </c>
      <c r="B56" s="33">
        <f t="shared" ref="B56:H56" si="27">IF(SUM(B53:B55),SUM(B53:B55),"")</f>
        <v>133</v>
      </c>
      <c r="C56" s="33">
        <f t="shared" si="27"/>
        <v>114</v>
      </c>
      <c r="D56" s="33">
        <f t="shared" si="27"/>
        <v>78</v>
      </c>
      <c r="E56" s="33">
        <f t="shared" si="27"/>
        <v>39</v>
      </c>
      <c r="F56" s="33">
        <f t="shared" si="27"/>
        <v>14</v>
      </c>
      <c r="G56" s="33">
        <f t="shared" si="27"/>
        <v>1</v>
      </c>
      <c r="H56" s="33">
        <f t="shared" si="27"/>
        <v>1</v>
      </c>
      <c r="I56" s="33">
        <f>IF(SUM(I53:I55),SUM(I53:I55),"")</f>
        <v>1</v>
      </c>
      <c r="J56" s="161">
        <f>IF(SUM(J53:J55),SUM(J53:J55),"")</f>
        <v>381</v>
      </c>
      <c r="K56" s="8"/>
      <c r="L56" s="39" t="s">
        <v>62</v>
      </c>
      <c r="M56" s="40">
        <v>91.999999999999972</v>
      </c>
      <c r="N56" s="40">
        <v>96.999999999999986</v>
      </c>
      <c r="O56" s="40">
        <v>16.000000000000004</v>
      </c>
      <c r="P56" s="40">
        <v>8</v>
      </c>
      <c r="Q56" s="40">
        <v>3</v>
      </c>
      <c r="R56" s="40"/>
      <c r="S56" s="40"/>
      <c r="T56" s="40"/>
      <c r="U56" s="41">
        <f>IF(SUM(M56:T56),SUM(M56:T56),"")</f>
        <v>215.99999999999994</v>
      </c>
    </row>
    <row r="57" spans="1:27" ht="12.75" customHeight="1" x14ac:dyDescent="0.25">
      <c r="B57" s="97"/>
      <c r="C57" s="97"/>
      <c r="D57" s="97"/>
      <c r="E57" s="97"/>
      <c r="F57" s="97"/>
      <c r="G57" s="97"/>
      <c r="H57" s="97"/>
      <c r="I57" s="97"/>
      <c r="K57" s="8"/>
      <c r="L57" s="96" t="s">
        <v>65</v>
      </c>
      <c r="M57" s="30">
        <v>6</v>
      </c>
      <c r="N57" s="30">
        <v>1</v>
      </c>
      <c r="O57" s="30">
        <v>23</v>
      </c>
      <c r="P57" s="30">
        <v>12</v>
      </c>
      <c r="Q57" s="154">
        <v>7</v>
      </c>
      <c r="R57" s="30">
        <v>3</v>
      </c>
      <c r="S57" s="30">
        <v>5</v>
      </c>
      <c r="T57" s="30">
        <v>2</v>
      </c>
      <c r="U57" s="99">
        <f>IF(SUM(M57:T57),SUM(M57:T57),"")</f>
        <v>59</v>
      </c>
      <c r="V57" s="7"/>
      <c r="W57" s="7"/>
      <c r="X57" s="7"/>
      <c r="Y57" s="7"/>
      <c r="Z57" s="7"/>
      <c r="AA57" s="7"/>
    </row>
    <row r="58" spans="1:27" ht="12.75" customHeight="1" x14ac:dyDescent="0.25">
      <c r="A58" s="196" t="s">
        <v>112</v>
      </c>
      <c r="B58" s="196"/>
      <c r="C58" s="196"/>
      <c r="D58" s="196"/>
      <c r="E58" s="196"/>
      <c r="F58" s="196"/>
      <c r="G58" s="196"/>
      <c r="H58" s="196"/>
      <c r="I58" s="196"/>
      <c r="J58" s="196"/>
      <c r="K58" s="8"/>
      <c r="L58" s="31" t="s">
        <v>182</v>
      </c>
      <c r="M58" s="33">
        <f>IF(SUM(M53:M57),SUM(M53:M57),"")</f>
        <v>154.99999999999997</v>
      </c>
      <c r="N58" s="33">
        <f t="shared" ref="N58:U58" si="28">IF(SUM(N53:N57),SUM(N53:N57),"")</f>
        <v>187</v>
      </c>
      <c r="O58" s="33">
        <f t="shared" si="28"/>
        <v>61</v>
      </c>
      <c r="P58" s="33">
        <f t="shared" si="28"/>
        <v>31</v>
      </c>
      <c r="Q58" s="33">
        <f t="shared" si="28"/>
        <v>18</v>
      </c>
      <c r="R58" s="33">
        <f t="shared" si="28"/>
        <v>3</v>
      </c>
      <c r="S58" s="33">
        <f t="shared" si="28"/>
        <v>7</v>
      </c>
      <c r="T58" s="33">
        <f t="shared" si="28"/>
        <v>3</v>
      </c>
      <c r="U58" s="161">
        <f t="shared" si="28"/>
        <v>464.99999999999994</v>
      </c>
    </row>
    <row r="59" spans="1:27" ht="12.75" customHeight="1" x14ac:dyDescent="0.25">
      <c r="A59" s="96" t="s">
        <v>13</v>
      </c>
      <c r="B59" s="30"/>
      <c r="C59" s="30">
        <v>125</v>
      </c>
      <c r="D59" s="30"/>
      <c r="E59" s="30">
        <v>16</v>
      </c>
      <c r="F59" s="154">
        <v>2</v>
      </c>
      <c r="G59" s="30">
        <v>1</v>
      </c>
      <c r="H59" s="30">
        <v>3</v>
      </c>
      <c r="I59" s="30">
        <v>1</v>
      </c>
      <c r="J59" s="112">
        <f>IF(SUM(B59:I59),SUM(B59:I59),"")</f>
        <v>148</v>
      </c>
      <c r="K59" s="8"/>
    </row>
    <row r="60" spans="1:27" ht="12.75" customHeight="1" x14ac:dyDescent="0.25">
      <c r="A60" s="39" t="s">
        <v>43</v>
      </c>
      <c r="B60" s="88">
        <v>165</v>
      </c>
      <c r="C60" s="88">
        <v>9</v>
      </c>
      <c r="D60" s="88"/>
      <c r="E60" s="88">
        <v>6</v>
      </c>
      <c r="F60" s="88">
        <v>6</v>
      </c>
      <c r="G60" s="88">
        <v>3</v>
      </c>
      <c r="H60" s="88">
        <v>8</v>
      </c>
      <c r="I60" s="88">
        <v>4</v>
      </c>
      <c r="J60" s="160">
        <f t="shared" ref="J60:J61" si="29">IF(SUM(B60:I60),SUM(B60:I60),"")</f>
        <v>201</v>
      </c>
      <c r="K60" s="8"/>
      <c r="L60" s="196" t="s">
        <v>183</v>
      </c>
      <c r="M60" s="196"/>
      <c r="N60" s="196"/>
      <c r="O60" s="196"/>
      <c r="P60" s="196"/>
      <c r="Q60" s="196"/>
      <c r="R60" s="196"/>
      <c r="S60" s="196"/>
      <c r="T60" s="196"/>
      <c r="U60" s="196"/>
    </row>
    <row r="61" spans="1:27" ht="12.75" customHeight="1" x14ac:dyDescent="0.25">
      <c r="A61" s="98" t="s">
        <v>56</v>
      </c>
      <c r="B61" s="30"/>
      <c r="C61" s="30">
        <v>1</v>
      </c>
      <c r="D61" s="30">
        <v>1</v>
      </c>
      <c r="E61" s="30">
        <v>5</v>
      </c>
      <c r="F61" s="154">
        <v>1</v>
      </c>
      <c r="G61" s="30"/>
      <c r="H61" s="30">
        <v>1</v>
      </c>
      <c r="I61" s="30">
        <v>3</v>
      </c>
      <c r="J61" s="112">
        <f t="shared" si="29"/>
        <v>12</v>
      </c>
      <c r="K61" s="8"/>
      <c r="L61" s="29" t="s">
        <v>7</v>
      </c>
      <c r="M61" s="30"/>
      <c r="N61" s="30"/>
      <c r="O61" s="30"/>
      <c r="P61" s="30"/>
      <c r="Q61" s="154"/>
      <c r="R61" s="30"/>
      <c r="S61" s="30"/>
      <c r="T61" s="30">
        <v>2</v>
      </c>
      <c r="U61" s="99">
        <f>IF(SUM(M61:T61),SUM(M61:T61),"")</f>
        <v>2</v>
      </c>
      <c r="V61" s="60"/>
    </row>
    <row r="62" spans="1:27" ht="12.75" customHeight="1" x14ac:dyDescent="0.25">
      <c r="A62" s="39" t="s">
        <v>67</v>
      </c>
      <c r="B62" s="88">
        <v>2</v>
      </c>
      <c r="C62" s="88"/>
      <c r="D62" s="88">
        <v>2</v>
      </c>
      <c r="E62" s="88">
        <v>17</v>
      </c>
      <c r="F62" s="88">
        <v>3</v>
      </c>
      <c r="G62" s="88">
        <v>2</v>
      </c>
      <c r="H62" s="88">
        <v>6</v>
      </c>
      <c r="I62" s="88">
        <v>11</v>
      </c>
      <c r="J62" s="160">
        <f>IF(SUM(B62:I62),SUM(B62:I62),"")</f>
        <v>43</v>
      </c>
      <c r="K62" s="8"/>
      <c r="L62" s="39" t="s">
        <v>48</v>
      </c>
      <c r="M62" s="40"/>
      <c r="N62" s="40"/>
      <c r="O62" s="40"/>
      <c r="P62" s="40"/>
      <c r="Q62" s="40"/>
      <c r="R62" s="40"/>
      <c r="S62" s="40"/>
      <c r="T62" s="40">
        <v>4</v>
      </c>
      <c r="U62" s="41">
        <f t="shared" ref="U62" si="30">IF(SUM(M62:T62),SUM(M62:T62),"")</f>
        <v>4</v>
      </c>
      <c r="V62" s="7"/>
      <c r="W62" s="7"/>
      <c r="X62" s="7"/>
      <c r="Y62" s="7"/>
      <c r="Z62" s="7"/>
      <c r="AA62" s="7"/>
    </row>
    <row r="63" spans="1:27" ht="12.75" customHeight="1" x14ac:dyDescent="0.25">
      <c r="A63" s="31" t="s">
        <v>113</v>
      </c>
      <c r="B63" s="33">
        <f>IF(SUM(B59:B62),SUM(B59:B62),"")</f>
        <v>167</v>
      </c>
      <c r="C63" s="33">
        <f t="shared" ref="C63:I63" si="31">IF(SUM(C59:C62),SUM(C59:C62),"")</f>
        <v>135</v>
      </c>
      <c r="D63" s="33">
        <f t="shared" si="31"/>
        <v>3</v>
      </c>
      <c r="E63" s="33">
        <f t="shared" si="31"/>
        <v>44</v>
      </c>
      <c r="F63" s="33">
        <f t="shared" si="31"/>
        <v>12</v>
      </c>
      <c r="G63" s="33">
        <f t="shared" si="31"/>
        <v>6</v>
      </c>
      <c r="H63" s="33">
        <f t="shared" si="31"/>
        <v>18</v>
      </c>
      <c r="I63" s="33">
        <f t="shared" si="31"/>
        <v>19</v>
      </c>
      <c r="J63" s="33">
        <f>IF(SUM(J59:J62),SUM(J59:J62),"")</f>
        <v>404</v>
      </c>
      <c r="L63" s="29" t="s">
        <v>57</v>
      </c>
      <c r="M63" s="30"/>
      <c r="N63" s="30"/>
      <c r="O63" s="30"/>
      <c r="P63" s="30"/>
      <c r="Q63" s="154"/>
      <c r="R63" s="30"/>
      <c r="S63" s="30"/>
      <c r="T63" s="30"/>
      <c r="U63" s="99" t="str">
        <f>IF(SUM(M63:T63),SUM(M63:T63),"")</f>
        <v/>
      </c>
      <c r="V63" s="7"/>
      <c r="W63" s="7"/>
      <c r="X63" s="7"/>
      <c r="Y63" s="7"/>
      <c r="Z63" s="7"/>
      <c r="AA63" s="7"/>
    </row>
    <row r="64" spans="1:27" ht="12.75" customHeight="1" x14ac:dyDescent="0.25">
      <c r="L64" s="31" t="s">
        <v>184</v>
      </c>
      <c r="M64" s="33" t="str">
        <f t="shared" ref="M64:T64" si="32">IF(SUM(M61:M63),SUM(M61:M63),"")</f>
        <v/>
      </c>
      <c r="N64" s="33" t="str">
        <f t="shared" si="32"/>
        <v/>
      </c>
      <c r="O64" s="33" t="str">
        <f t="shared" si="32"/>
        <v/>
      </c>
      <c r="P64" s="33" t="str">
        <f t="shared" si="32"/>
        <v/>
      </c>
      <c r="Q64" s="33" t="str">
        <f t="shared" si="32"/>
        <v/>
      </c>
      <c r="R64" s="33" t="str">
        <f t="shared" si="32"/>
        <v/>
      </c>
      <c r="S64" s="33" t="str">
        <f t="shared" si="32"/>
        <v/>
      </c>
      <c r="T64" s="33">
        <f t="shared" si="32"/>
        <v>6</v>
      </c>
      <c r="U64" s="161">
        <f>IF(SUM(U61:U63),SUM(U61:U63),"")</f>
        <v>6</v>
      </c>
      <c r="V64" s="7"/>
    </row>
    <row r="65" spans="1:22" ht="12.75" customHeight="1" x14ac:dyDescent="0.25">
      <c r="A65" s="196" t="s">
        <v>114</v>
      </c>
      <c r="B65" s="196"/>
      <c r="C65" s="196"/>
      <c r="D65" s="196"/>
      <c r="E65" s="196"/>
      <c r="F65" s="196"/>
      <c r="G65" s="196"/>
      <c r="H65" s="196"/>
      <c r="I65" s="196"/>
      <c r="J65" s="196"/>
      <c r="L65" s="5"/>
      <c r="P65" s="4"/>
      <c r="Q65" s="4"/>
      <c r="R65" s="4"/>
      <c r="S65" s="4"/>
      <c r="T65" s="4"/>
      <c r="U65" s="24"/>
    </row>
    <row r="66" spans="1:22" ht="12.75" customHeight="1" x14ac:dyDescent="0.25">
      <c r="A66" s="29" t="s">
        <v>1</v>
      </c>
      <c r="B66" s="86">
        <v>3</v>
      </c>
      <c r="C66" s="86">
        <v>71</v>
      </c>
      <c r="D66" s="86"/>
      <c r="E66" s="86">
        <v>4</v>
      </c>
      <c r="F66" s="86">
        <v>5</v>
      </c>
      <c r="G66" s="86">
        <v>1</v>
      </c>
      <c r="H66" s="86"/>
      <c r="I66" s="86">
        <v>2</v>
      </c>
      <c r="J66" s="159">
        <f>IF(SUM(B66:I66),SUM(B66:I66),"")</f>
        <v>86</v>
      </c>
      <c r="L66" s="196" t="s">
        <v>185</v>
      </c>
      <c r="M66" s="196"/>
      <c r="N66" s="196"/>
      <c r="O66" s="196"/>
      <c r="P66" s="196"/>
      <c r="Q66" s="196"/>
      <c r="R66" s="196"/>
      <c r="S66" s="196"/>
      <c r="T66" s="196"/>
      <c r="U66" s="196"/>
    </row>
    <row r="67" spans="1:22" ht="12.75" customHeight="1" x14ac:dyDescent="0.25">
      <c r="A67" s="39" t="s">
        <v>209</v>
      </c>
      <c r="B67" s="88"/>
      <c r="C67" s="88">
        <v>8</v>
      </c>
      <c r="D67" s="88">
        <v>4</v>
      </c>
      <c r="E67" s="88">
        <v>24</v>
      </c>
      <c r="F67" s="88">
        <v>5</v>
      </c>
      <c r="G67" s="88">
        <v>1</v>
      </c>
      <c r="H67" s="88"/>
      <c r="I67" s="88">
        <v>1</v>
      </c>
      <c r="J67" s="160">
        <f t="shared" ref="J67:J68" si="33">IF(SUM(B67:I67),SUM(B67:I67),"")</f>
        <v>43</v>
      </c>
      <c r="L67" s="29" t="s">
        <v>97</v>
      </c>
      <c r="M67" s="30">
        <v>306.00000000000006</v>
      </c>
      <c r="N67" s="30">
        <v>175.00000000000003</v>
      </c>
      <c r="O67" s="30">
        <v>49.999999999999993</v>
      </c>
      <c r="P67" s="30">
        <v>27.000000000000011</v>
      </c>
      <c r="Q67" s="154">
        <v>12.000000000000002</v>
      </c>
      <c r="R67" s="30">
        <v>12</v>
      </c>
      <c r="S67" s="30"/>
      <c r="T67" s="30"/>
      <c r="U67" s="99">
        <f>IF(SUM(M67:T67),SUM(M67:T67),"")</f>
        <v>582.00000000000011</v>
      </c>
    </row>
    <row r="68" spans="1:22" ht="12.75" customHeight="1" x14ac:dyDescent="0.25">
      <c r="A68" s="96" t="s">
        <v>17</v>
      </c>
      <c r="B68" s="30">
        <v>103</v>
      </c>
      <c r="C68" s="30"/>
      <c r="D68" s="30">
        <v>3</v>
      </c>
      <c r="E68" s="30">
        <v>6</v>
      </c>
      <c r="F68" s="154">
        <v>1</v>
      </c>
      <c r="G68" s="30">
        <v>1</v>
      </c>
      <c r="H68" s="30"/>
      <c r="I68" s="30"/>
      <c r="J68" s="112">
        <f t="shared" si="33"/>
        <v>114</v>
      </c>
      <c r="L68" s="31" t="s">
        <v>186</v>
      </c>
      <c r="M68" s="33">
        <f t="shared" ref="M68:T68" si="34">IF(SUM(M67:M67),SUM(M67:M67),"")</f>
        <v>306.00000000000006</v>
      </c>
      <c r="N68" s="33">
        <f t="shared" si="34"/>
        <v>175.00000000000003</v>
      </c>
      <c r="O68" s="33">
        <f t="shared" si="34"/>
        <v>49.999999999999993</v>
      </c>
      <c r="P68" s="33">
        <f t="shared" si="34"/>
        <v>27.000000000000011</v>
      </c>
      <c r="Q68" s="33">
        <f t="shared" si="34"/>
        <v>12.000000000000002</v>
      </c>
      <c r="R68" s="33">
        <f t="shared" si="34"/>
        <v>12</v>
      </c>
      <c r="S68" s="33" t="str">
        <f t="shared" si="34"/>
        <v/>
      </c>
      <c r="T68" s="33" t="str">
        <f t="shared" si="34"/>
        <v/>
      </c>
      <c r="U68" s="161">
        <f>IF(SUM(U67:U67),SUM(U67:U67),"")</f>
        <v>582.00000000000011</v>
      </c>
    </row>
    <row r="69" spans="1:22" ht="12.75" customHeight="1" x14ac:dyDescent="0.25">
      <c r="A69" s="39" t="s">
        <v>60</v>
      </c>
      <c r="B69" s="88">
        <v>1</v>
      </c>
      <c r="C69" s="88"/>
      <c r="D69" s="88"/>
      <c r="E69" s="88"/>
      <c r="F69" s="88">
        <v>2</v>
      </c>
      <c r="G69" s="88">
        <v>3</v>
      </c>
      <c r="H69" s="88"/>
      <c r="I69" s="88">
        <v>3</v>
      </c>
      <c r="J69" s="160">
        <f>IF(SUM(B69:I69),SUM(B69:I69),"")</f>
        <v>9</v>
      </c>
      <c r="L69" s="5"/>
      <c r="P69" s="5"/>
      <c r="Q69" s="5"/>
      <c r="R69" s="5"/>
      <c r="S69" s="5"/>
      <c r="T69" s="5"/>
      <c r="U69" s="24"/>
    </row>
    <row r="70" spans="1:22" ht="12.75" customHeight="1" x14ac:dyDescent="0.25">
      <c r="A70" s="31" t="s">
        <v>115</v>
      </c>
      <c r="B70" s="33">
        <f>IF(SUM(B66:B69),SUM(B66:B69),"")</f>
        <v>107</v>
      </c>
      <c r="C70" s="33">
        <f t="shared" ref="C70:I70" si="35">IF(SUM(C66:C69),SUM(C66:C69),"")</f>
        <v>79</v>
      </c>
      <c r="D70" s="33">
        <f t="shared" si="35"/>
        <v>7</v>
      </c>
      <c r="E70" s="33">
        <f t="shared" si="35"/>
        <v>34</v>
      </c>
      <c r="F70" s="33">
        <f t="shared" si="35"/>
        <v>13</v>
      </c>
      <c r="G70" s="33">
        <f t="shared" si="35"/>
        <v>6</v>
      </c>
      <c r="H70" s="33" t="str">
        <f t="shared" si="35"/>
        <v/>
      </c>
      <c r="I70" s="33">
        <f t="shared" si="35"/>
        <v>6</v>
      </c>
      <c r="J70" s="161">
        <f>IF(SUM(J66:J69),SUM(J66:J69),"")</f>
        <v>252</v>
      </c>
      <c r="L70" s="31" t="s">
        <v>121</v>
      </c>
      <c r="M70" s="33">
        <f>IF(SUM(B10,B17,B25,B33,B39,B50,B56,B63,B70,M9,M16,M22,M29,M36,M44,M50,M58,M64,M68),SUM(B10,B17,B25,B33,B39,B50,B56,B63,B70,M9,M16,M22,M29,M36,M44,M50,M58,M64,M68),"")</f>
        <v>5890</v>
      </c>
      <c r="N70" s="33">
        <f>IF(SUM(C10,C17,C25,C33,C39,C50,C56,C63,C70,N9,N16,N22,N29,N36,N44,N50,N58,N64,N68),SUM(C10,C17,C25,C33,C39,C50,C56,C63,C70,N9,N16,N22,N29,N36,N44,N50,N58,N64,N68),"")</f>
        <v>1697</v>
      </c>
      <c r="O70" s="33">
        <f>IF(SUM(D10,D17,D25,D33,D39,D50,D56,D63,D70,O9,O16,O22,O29,O36,O44,O50,O58,O64,O68),SUM(D10,D17,D25,D33,D39,D50,D56,D63,D70,O9,O16,O22,O29,O36,O44,O50,O58,O64,O68),"")</f>
        <v>605</v>
      </c>
      <c r="P70" s="33">
        <f>IF(SUM(E10,E17,E25,E33,E39,E50,E56,E63,E70,P9,P16,P22,P29,P36,P44,P50,P58,P64,P68),SUM(E10,E17,E25,E33,E39,E50,E56,E63,E70,P9,P16,P22,P29,P36,P44,P50,P58,P64,P68),"")</f>
        <v>1030</v>
      </c>
      <c r="Q70" s="33">
        <f>IF(SUM(F10,F17,F25,F33,F39,F50,F56,F63,F70,Q9,Q16,Q22,Q29,Q36,Q44,Q50,Q58,Q64,Q68),SUM(F10,F17,F25,F33,F39,F50,F56,F63,F70,Q9,Q16,Q22,Q29,Q36,Q44,Q50,Q58,Q64,Q68),"")</f>
        <v>644</v>
      </c>
      <c r="R70" s="33">
        <f t="shared" ref="R70:T70" si="36">IF(SUM(G10,G17,G25,G33,G39,G50,G56,G63,G70,R9,R16,R22,R29,R36,R44,R50,R58,R64,R68),SUM(G10,G17,G25,G33,G39,G50,G56,G63,G70,R9,R16,R22,R29,R36,R44,R50,R58,R64,R68),"")</f>
        <v>356</v>
      </c>
      <c r="S70" s="33">
        <f t="shared" si="36"/>
        <v>122</v>
      </c>
      <c r="T70" s="33">
        <f t="shared" si="36"/>
        <v>343</v>
      </c>
      <c r="U70" s="33">
        <f>IF(SUM(J10,J17,J25,J33,J39,J50,J56,J63,J70,U9,U16,U22,U29,U36,U44,U50,U58,U64,U68),SUM(J10,J17,J25,J33,J39,J50,J56,J63,J70,U9,U16,U22,U29,U36,U44,U50,U58,U64,U68),"")</f>
        <v>10687</v>
      </c>
      <c r="V70" s="165"/>
    </row>
    <row r="71" spans="1:22" x14ac:dyDescent="0.25">
      <c r="L71" s="5"/>
      <c r="P71" s="5"/>
      <c r="Q71" s="5"/>
      <c r="R71" s="5"/>
      <c r="S71" s="5"/>
      <c r="T71" s="5"/>
      <c r="U71" s="24"/>
    </row>
    <row r="72" spans="1:22" x14ac:dyDescent="0.25">
      <c r="L72" s="5"/>
      <c r="M72" s="5"/>
      <c r="N72" s="5"/>
      <c r="O72" s="5"/>
      <c r="P72" s="5"/>
      <c r="Q72" s="5"/>
      <c r="R72" s="5"/>
      <c r="S72" s="5"/>
      <c r="T72" s="5"/>
      <c r="U72" s="24"/>
    </row>
    <row r="73" spans="1:22" x14ac:dyDescent="0.25">
      <c r="L73" s="5"/>
      <c r="M73" s="5"/>
      <c r="N73" s="5"/>
      <c r="O73" s="5"/>
      <c r="P73" s="5"/>
      <c r="Q73" s="5"/>
      <c r="R73" s="5"/>
      <c r="S73" s="5"/>
      <c r="T73" s="5"/>
      <c r="U73" s="24"/>
    </row>
    <row r="74" spans="1:22" x14ac:dyDescent="0.25">
      <c r="L74" s="5"/>
      <c r="M74" s="5"/>
      <c r="N74" s="5"/>
      <c r="O74" s="5"/>
      <c r="P74" s="5"/>
      <c r="Q74" s="5"/>
      <c r="R74" s="5"/>
      <c r="S74" s="5"/>
      <c r="T74" s="5"/>
      <c r="U74" s="24"/>
    </row>
    <row r="75" spans="1:22" x14ac:dyDescent="0.25">
      <c r="L75" s="5"/>
      <c r="Q75" s="5"/>
      <c r="R75" s="5"/>
      <c r="S75" s="5"/>
      <c r="T75" s="5"/>
      <c r="U75" s="24"/>
    </row>
    <row r="76" spans="1:22" x14ac:dyDescent="0.25">
      <c r="L76" s="5"/>
      <c r="Q76" s="5"/>
      <c r="R76" s="5"/>
      <c r="S76" s="5"/>
      <c r="T76" s="5"/>
      <c r="U76" s="24"/>
    </row>
    <row r="81" spans="1:28" x14ac:dyDescent="0.25">
      <c r="E81" s="5"/>
      <c r="F81" s="5"/>
      <c r="G81" s="5"/>
      <c r="H81" s="5"/>
      <c r="I81" s="5"/>
      <c r="J81" s="24"/>
    </row>
    <row r="82" spans="1:28" x14ac:dyDescent="0.25">
      <c r="E82" s="5"/>
      <c r="F82" s="5"/>
      <c r="G82" s="5"/>
      <c r="H82" s="5"/>
      <c r="I82" s="5"/>
      <c r="J82" s="24"/>
    </row>
    <row r="83" spans="1:28" x14ac:dyDescent="0.25">
      <c r="E83" s="5"/>
      <c r="F83" s="5"/>
      <c r="G83" s="5"/>
      <c r="H83" s="5"/>
      <c r="I83" s="5"/>
      <c r="J83" s="24"/>
    </row>
    <row r="84" spans="1:28" x14ac:dyDescent="0.25">
      <c r="E84" s="5"/>
      <c r="F84" s="5"/>
      <c r="G84" s="5"/>
      <c r="H84" s="5"/>
      <c r="I84" s="5"/>
      <c r="J84" s="24"/>
    </row>
    <row r="85" spans="1:28" x14ac:dyDescent="0.25">
      <c r="E85" s="5"/>
      <c r="F85" s="5"/>
      <c r="G85" s="5"/>
      <c r="H85" s="5"/>
      <c r="I85" s="5"/>
      <c r="J85" s="24"/>
    </row>
    <row r="86" spans="1:28" x14ac:dyDescent="0.25">
      <c r="E86" s="5"/>
      <c r="F86" s="5"/>
      <c r="G86" s="5"/>
      <c r="H86" s="5"/>
      <c r="I86" s="5"/>
      <c r="J86" s="24"/>
      <c r="M86" s="5"/>
      <c r="N86" s="5"/>
      <c r="O86" s="5"/>
      <c r="P86" s="5"/>
    </row>
    <row r="87" spans="1:28" x14ac:dyDescent="0.25">
      <c r="E87" s="5"/>
      <c r="F87" s="5"/>
      <c r="G87" s="5"/>
      <c r="H87" s="5"/>
      <c r="I87" s="5"/>
      <c r="J87" s="24"/>
      <c r="P87" s="5"/>
    </row>
    <row r="88" spans="1:28" x14ac:dyDescent="0.25">
      <c r="E88" s="5"/>
      <c r="F88" s="5"/>
      <c r="G88" s="5"/>
      <c r="H88" s="5"/>
      <c r="I88" s="5"/>
      <c r="J88" s="24"/>
    </row>
    <row r="89" spans="1:28" x14ac:dyDescent="0.25">
      <c r="E89" s="5"/>
      <c r="F89" s="5"/>
      <c r="G89" s="5"/>
      <c r="H89" s="5"/>
      <c r="I89" s="5"/>
      <c r="J89" s="24"/>
    </row>
    <row r="90" spans="1:28" x14ac:dyDescent="0.25">
      <c r="E90" s="5"/>
      <c r="F90" s="5"/>
      <c r="G90" s="5"/>
      <c r="H90" s="5"/>
      <c r="I90" s="5"/>
      <c r="J90" s="24"/>
    </row>
    <row r="91" spans="1:28" x14ac:dyDescent="0.25">
      <c r="E91" s="5"/>
      <c r="F91" s="5"/>
      <c r="G91" s="5"/>
      <c r="H91" s="5"/>
      <c r="I91" s="5"/>
      <c r="J91" s="24"/>
    </row>
    <row r="92" spans="1:28" x14ac:dyDescent="0.25">
      <c r="E92" s="5"/>
      <c r="F92" s="5"/>
      <c r="G92" s="5"/>
      <c r="H92" s="5"/>
      <c r="I92" s="5"/>
      <c r="J92" s="24"/>
    </row>
    <row r="93" spans="1:28" ht="15.75" customHeight="1" x14ac:dyDescent="0.25">
      <c r="E93" s="5"/>
      <c r="F93" s="5"/>
      <c r="G93" s="5"/>
      <c r="H93" s="5"/>
      <c r="I93" s="5"/>
      <c r="J93" s="24"/>
    </row>
    <row r="94" spans="1:28" s="26" customFormat="1" ht="15.95" customHeight="1" x14ac:dyDescent="0.25">
      <c r="A94" s="110"/>
      <c r="B94" s="110" t="s">
        <v>134</v>
      </c>
      <c r="C94" s="110"/>
      <c r="D94" s="1"/>
      <c r="E94" s="1"/>
      <c r="F94" s="5"/>
      <c r="G94" s="5"/>
      <c r="H94" s="5"/>
      <c r="I94" s="5"/>
      <c r="J94" s="24"/>
      <c r="K94" s="25"/>
      <c r="L94" s="1"/>
      <c r="M94" s="172"/>
      <c r="N94" s="172"/>
      <c r="O94" s="172"/>
      <c r="P94" s="1"/>
      <c r="Q94" s="1"/>
      <c r="R94" s="1"/>
      <c r="S94" s="1"/>
      <c r="T94" s="1"/>
      <c r="U94" s="10"/>
      <c r="AB94" s="28"/>
    </row>
    <row r="95" spans="1:28" s="26" customFormat="1" ht="15.95" customHeight="1" x14ac:dyDescent="0.25">
      <c r="A95" s="175" t="s">
        <v>122</v>
      </c>
      <c r="B95" s="176">
        <f>J10</f>
        <v>2281</v>
      </c>
      <c r="C95" s="174">
        <f>B95/$B$114</f>
        <v>0.21343688593618415</v>
      </c>
      <c r="D95" s="1"/>
      <c r="E95" s="1"/>
      <c r="F95" s="1"/>
      <c r="G95" s="1"/>
      <c r="H95" s="1"/>
      <c r="I95" s="1"/>
      <c r="J95" s="10"/>
      <c r="K95" s="25"/>
      <c r="L95" s="1"/>
      <c r="M95" s="173" t="s">
        <v>135</v>
      </c>
      <c r="N95" s="104">
        <f>M70</f>
        <v>5890</v>
      </c>
      <c r="O95" s="174">
        <f>N95/$N$103</f>
        <v>0.55113689529334708</v>
      </c>
      <c r="P95" s="1"/>
      <c r="Q95" s="1"/>
      <c r="R95" s="1"/>
      <c r="S95" s="1"/>
      <c r="T95" s="1"/>
      <c r="U95" s="10"/>
      <c r="AB95" s="28"/>
    </row>
    <row r="96" spans="1:28" s="26" customFormat="1" ht="15.95" customHeight="1" x14ac:dyDescent="0.25">
      <c r="A96" s="175" t="s">
        <v>124</v>
      </c>
      <c r="B96" s="176">
        <f>J17</f>
        <v>698</v>
      </c>
      <c r="C96" s="174">
        <f t="shared" ref="C96:C113" si="37">B96/$B$114</f>
        <v>6.5312997099279499E-2</v>
      </c>
      <c r="D96" s="1"/>
      <c r="E96" s="1"/>
      <c r="F96" s="1"/>
      <c r="G96" s="1"/>
      <c r="H96" s="1"/>
      <c r="I96" s="1"/>
      <c r="J96" s="10"/>
      <c r="K96" s="25"/>
      <c r="L96" s="1"/>
      <c r="M96" s="173" t="s">
        <v>136</v>
      </c>
      <c r="N96" s="104">
        <f>N70</f>
        <v>1697</v>
      </c>
      <c r="O96" s="174">
        <f t="shared" ref="O96:O102" si="38">N96/$N$103</f>
        <v>0.15879105455225975</v>
      </c>
      <c r="P96" s="1"/>
      <c r="Q96" s="1"/>
      <c r="R96" s="1"/>
      <c r="S96" s="1"/>
      <c r="T96" s="1"/>
      <c r="U96" s="10"/>
      <c r="AB96" s="28"/>
    </row>
    <row r="97" spans="1:28" s="26" customFormat="1" ht="15.95" customHeight="1" x14ac:dyDescent="0.25">
      <c r="A97" s="175" t="s">
        <v>123</v>
      </c>
      <c r="B97" s="176">
        <f>J25</f>
        <v>330</v>
      </c>
      <c r="C97" s="174">
        <f t="shared" si="37"/>
        <v>3.0878637597080566E-2</v>
      </c>
      <c r="D97" s="1"/>
      <c r="E97" s="1"/>
      <c r="F97" s="1"/>
      <c r="G97" s="1"/>
      <c r="H97" s="1"/>
      <c r="I97" s="1"/>
      <c r="J97" s="10"/>
      <c r="K97" s="25"/>
      <c r="L97" s="1"/>
      <c r="M97" s="173" t="s">
        <v>137</v>
      </c>
      <c r="N97" s="104">
        <f>O70</f>
        <v>605</v>
      </c>
      <c r="O97" s="174">
        <f t="shared" si="38"/>
        <v>5.6610835594647704E-2</v>
      </c>
      <c r="P97" s="1"/>
      <c r="Q97" s="1"/>
      <c r="R97" s="1"/>
      <c r="S97" s="1"/>
      <c r="T97" s="1"/>
      <c r="U97" s="10"/>
      <c r="AB97" s="28"/>
    </row>
    <row r="98" spans="1:28" s="26" customFormat="1" ht="15.95" customHeight="1" x14ac:dyDescent="0.25">
      <c r="A98" s="175" t="s">
        <v>125</v>
      </c>
      <c r="B98" s="176">
        <f>J33</f>
        <v>888</v>
      </c>
      <c r="C98" s="174">
        <f t="shared" si="37"/>
        <v>8.3091606624871334E-2</v>
      </c>
      <c r="D98" s="1"/>
      <c r="E98" s="1"/>
      <c r="F98" s="1"/>
      <c r="G98" s="1"/>
      <c r="H98" s="1"/>
      <c r="I98" s="1"/>
      <c r="J98" s="10"/>
      <c r="K98" s="25"/>
      <c r="L98" s="1"/>
      <c r="M98" s="173" t="s">
        <v>138</v>
      </c>
      <c r="N98" s="104">
        <f>P70</f>
        <v>1030</v>
      </c>
      <c r="O98" s="174">
        <f t="shared" si="38"/>
        <v>9.6378777954524195E-2</v>
      </c>
      <c r="P98" s="1"/>
      <c r="Q98" s="1"/>
      <c r="R98" s="1"/>
      <c r="S98" s="1"/>
      <c r="T98" s="1"/>
      <c r="U98" s="10"/>
      <c r="AB98" s="28"/>
    </row>
    <row r="99" spans="1:28" s="26" customFormat="1" ht="15.95" customHeight="1" x14ac:dyDescent="0.25">
      <c r="A99" s="175" t="s">
        <v>126</v>
      </c>
      <c r="B99" s="176">
        <f>J39</f>
        <v>208</v>
      </c>
      <c r="C99" s="174">
        <f t="shared" si="37"/>
        <v>1.9462898849068964E-2</v>
      </c>
      <c r="D99" s="1"/>
      <c r="E99" s="1"/>
      <c r="F99" s="1"/>
      <c r="G99" s="1"/>
      <c r="H99" s="1"/>
      <c r="I99" s="1"/>
      <c r="J99" s="10"/>
      <c r="K99" s="25"/>
      <c r="L99" s="1"/>
      <c r="M99" s="173" t="s">
        <v>139</v>
      </c>
      <c r="N99" s="104">
        <f>Q70</f>
        <v>644</v>
      </c>
      <c r="O99" s="174">
        <f t="shared" si="38"/>
        <v>6.0260129128848136E-2</v>
      </c>
      <c r="P99" s="1"/>
      <c r="Q99" s="1"/>
      <c r="R99" s="1"/>
      <c r="S99" s="1"/>
      <c r="T99" s="1"/>
      <c r="U99" s="10"/>
      <c r="AB99" s="28"/>
    </row>
    <row r="100" spans="1:28" s="26" customFormat="1" ht="15.95" customHeight="1" x14ac:dyDescent="0.25">
      <c r="A100" s="175" t="s">
        <v>127</v>
      </c>
      <c r="B100" s="176">
        <f>J50</f>
        <v>427</v>
      </c>
      <c r="C100" s="174">
        <f>B100/$B$114</f>
        <v>3.9955085618040613E-2</v>
      </c>
      <c r="D100" s="174"/>
      <c r="E100" s="1"/>
      <c r="F100" s="1"/>
      <c r="G100" s="1"/>
      <c r="H100" s="1"/>
      <c r="I100" s="1"/>
      <c r="J100" s="10"/>
      <c r="K100" s="25"/>
      <c r="L100" s="1"/>
      <c r="M100" s="173" t="s">
        <v>140</v>
      </c>
      <c r="N100" s="104">
        <f>R70</f>
        <v>356</v>
      </c>
      <c r="O100" s="174">
        <f t="shared" si="38"/>
        <v>3.3311499953214183E-2</v>
      </c>
      <c r="P100" s="1"/>
      <c r="Q100" s="1"/>
      <c r="R100" s="1"/>
      <c r="S100" s="1"/>
      <c r="T100" s="1"/>
      <c r="U100" s="10"/>
      <c r="AB100" s="28"/>
    </row>
    <row r="101" spans="1:28" s="26" customFormat="1" ht="15.95" customHeight="1" x14ac:dyDescent="0.25">
      <c r="A101" s="175" t="s">
        <v>128</v>
      </c>
      <c r="B101" s="176">
        <f>J56</f>
        <v>381</v>
      </c>
      <c r="C101" s="174">
        <f t="shared" si="37"/>
        <v>3.5650790680265741E-2</v>
      </c>
      <c r="D101" s="174"/>
      <c r="E101" s="1"/>
      <c r="F101" s="1"/>
      <c r="G101" s="1"/>
      <c r="H101" s="1"/>
      <c r="I101" s="1"/>
      <c r="J101" s="10"/>
      <c r="K101" s="25"/>
      <c r="L101" s="1"/>
      <c r="M101" s="173" t="s">
        <v>141</v>
      </c>
      <c r="N101" s="104">
        <f>S70</f>
        <v>122</v>
      </c>
      <c r="O101" s="174">
        <f t="shared" si="38"/>
        <v>1.1415738748011602E-2</v>
      </c>
      <c r="P101" s="1"/>
      <c r="Q101" s="1"/>
      <c r="R101" s="1"/>
      <c r="S101" s="1"/>
      <c r="T101" s="1"/>
      <c r="U101" s="10"/>
      <c r="AB101" s="28"/>
    </row>
    <row r="102" spans="1:28" s="26" customFormat="1" ht="15.95" customHeight="1" x14ac:dyDescent="0.25">
      <c r="A102" s="175" t="s">
        <v>129</v>
      </c>
      <c r="B102" s="176">
        <f>J63</f>
        <v>404</v>
      </c>
      <c r="C102" s="174">
        <f t="shared" si="37"/>
        <v>3.7802938149153177E-2</v>
      </c>
      <c r="D102" s="174"/>
      <c r="E102" s="1"/>
      <c r="F102" s="1"/>
      <c r="G102" s="1"/>
      <c r="H102" s="1"/>
      <c r="I102" s="1"/>
      <c r="J102" s="10"/>
      <c r="K102" s="25"/>
      <c r="L102" s="1"/>
      <c r="M102" s="173" t="s">
        <v>142</v>
      </c>
      <c r="N102" s="104">
        <f>T70</f>
        <v>343</v>
      </c>
      <c r="O102" s="174">
        <f t="shared" si="38"/>
        <v>3.2095068775147374E-2</v>
      </c>
      <c r="P102" s="1"/>
      <c r="Q102" s="1"/>
      <c r="R102" s="1"/>
      <c r="S102" s="1"/>
      <c r="T102" s="1"/>
      <c r="U102" s="10"/>
      <c r="AB102" s="28"/>
    </row>
    <row r="103" spans="1:28" s="26" customFormat="1" ht="15.95" customHeight="1" x14ac:dyDescent="0.25">
      <c r="A103" s="175" t="s">
        <v>130</v>
      </c>
      <c r="B103" s="176">
        <f>J70</f>
        <v>252</v>
      </c>
      <c r="C103" s="174">
        <f t="shared" si="37"/>
        <v>2.3580050528679706E-2</v>
      </c>
      <c r="D103" s="174"/>
      <c r="E103" s="1"/>
      <c r="F103" s="1"/>
      <c r="G103" s="1"/>
      <c r="H103" s="1"/>
      <c r="I103" s="1"/>
      <c r="J103" s="10"/>
      <c r="K103" s="25"/>
      <c r="L103" s="1"/>
      <c r="M103" s="110"/>
      <c r="N103" s="104">
        <f>SUM(N95:N102)</f>
        <v>10687</v>
      </c>
      <c r="O103" s="110"/>
      <c r="P103" s="1"/>
      <c r="Q103" s="1"/>
      <c r="R103" s="1"/>
      <c r="S103" s="1"/>
      <c r="T103" s="1"/>
      <c r="U103" s="10"/>
      <c r="AB103" s="28"/>
    </row>
    <row r="104" spans="1:28" s="26" customFormat="1" ht="15.95" customHeight="1" x14ac:dyDescent="0.25">
      <c r="A104" s="175" t="s">
        <v>131</v>
      </c>
      <c r="B104" s="176">
        <f>U9</f>
        <v>482</v>
      </c>
      <c r="C104" s="174">
        <f t="shared" si="37"/>
        <v>4.5101525217554041E-2</v>
      </c>
      <c r="D104" s="174"/>
      <c r="E104" s="1"/>
      <c r="F104" s="1"/>
      <c r="G104" s="1"/>
      <c r="H104" s="1"/>
      <c r="I104" s="1"/>
      <c r="J104" s="10"/>
      <c r="K104" s="25"/>
      <c r="L104" s="1"/>
      <c r="M104" s="1"/>
      <c r="N104" s="1"/>
      <c r="O104" s="1"/>
      <c r="P104" s="1"/>
      <c r="Q104" s="1"/>
      <c r="R104" s="1"/>
      <c r="S104" s="1"/>
      <c r="T104" s="1"/>
      <c r="U104" s="10"/>
      <c r="AB104" s="28"/>
    </row>
    <row r="105" spans="1:28" s="26" customFormat="1" ht="15.95" customHeight="1" x14ac:dyDescent="0.25">
      <c r="A105" s="175" t="s">
        <v>132</v>
      </c>
      <c r="B105" s="176">
        <f>U16</f>
        <v>650</v>
      </c>
      <c r="C105" s="174">
        <f t="shared" si="37"/>
        <v>6.0821558903340504E-2</v>
      </c>
      <c r="D105" s="174"/>
      <c r="E105" s="1"/>
      <c r="F105" s="1"/>
      <c r="G105" s="1"/>
      <c r="H105" s="1"/>
      <c r="I105" s="1"/>
      <c r="J105" s="10"/>
      <c r="K105" s="25"/>
      <c r="L105" s="1"/>
      <c r="M105" s="1"/>
      <c r="N105" s="1"/>
      <c r="O105" s="1"/>
      <c r="P105" s="1"/>
      <c r="Q105" s="1"/>
      <c r="R105" s="1"/>
      <c r="S105" s="1"/>
      <c r="T105" s="1"/>
      <c r="U105" s="10"/>
      <c r="AB105" s="28"/>
    </row>
    <row r="106" spans="1:28" s="26" customFormat="1" ht="15.95" customHeight="1" x14ac:dyDescent="0.25">
      <c r="A106" s="175" t="s">
        <v>133</v>
      </c>
      <c r="B106" s="176">
        <f>U22</f>
        <v>228</v>
      </c>
      <c r="C106" s="174">
        <f t="shared" si="37"/>
        <v>2.1334331430710209E-2</v>
      </c>
      <c r="D106" s="174"/>
      <c r="E106" s="1"/>
      <c r="F106" s="1"/>
      <c r="G106" s="1"/>
      <c r="H106" s="1"/>
      <c r="I106" s="1"/>
      <c r="J106" s="10"/>
      <c r="K106" s="25"/>
      <c r="L106" s="1"/>
      <c r="M106" s="1"/>
      <c r="N106" s="1"/>
      <c r="O106" s="1"/>
      <c r="P106" s="1"/>
      <c r="Q106" s="1"/>
      <c r="R106" s="1"/>
      <c r="S106" s="1"/>
      <c r="T106" s="1"/>
      <c r="U106" s="10"/>
      <c r="AB106" s="28"/>
    </row>
    <row r="107" spans="1:28" s="26" customFormat="1" ht="15.95" customHeight="1" x14ac:dyDescent="0.25">
      <c r="A107" s="175" t="s">
        <v>187</v>
      </c>
      <c r="B107" s="176">
        <f>U29</f>
        <v>512</v>
      </c>
      <c r="C107" s="174">
        <f t="shared" si="37"/>
        <v>4.790867409001591E-2</v>
      </c>
      <c r="D107" s="174"/>
      <c r="E107" s="1"/>
      <c r="F107" s="1"/>
      <c r="G107" s="1"/>
      <c r="H107" s="1"/>
      <c r="I107" s="1"/>
      <c r="J107" s="10"/>
      <c r="K107" s="25"/>
      <c r="L107" s="1"/>
      <c r="M107" s="1"/>
      <c r="N107" s="1"/>
      <c r="O107" s="1"/>
      <c r="P107" s="1"/>
      <c r="Q107" s="1"/>
      <c r="R107" s="1"/>
      <c r="S107" s="1"/>
      <c r="T107" s="1"/>
      <c r="U107" s="10"/>
      <c r="AB107" s="28"/>
    </row>
    <row r="108" spans="1:28" ht="15.95" customHeight="1" x14ac:dyDescent="0.25">
      <c r="A108" s="175" t="s">
        <v>188</v>
      </c>
      <c r="B108" s="109">
        <f>U36</f>
        <v>232</v>
      </c>
      <c r="C108" s="174">
        <f t="shared" si="37"/>
        <v>2.1708617947038458E-2</v>
      </c>
      <c r="D108" s="174"/>
    </row>
    <row r="109" spans="1:28" x14ac:dyDescent="0.25">
      <c r="A109" s="175" t="s">
        <v>131</v>
      </c>
      <c r="B109" s="109">
        <f>U44</f>
        <v>1370</v>
      </c>
      <c r="C109" s="174">
        <f t="shared" si="37"/>
        <v>0.12819313184242537</v>
      </c>
      <c r="D109" s="174"/>
    </row>
    <row r="110" spans="1:28" x14ac:dyDescent="0.25">
      <c r="A110" s="175" t="s">
        <v>132</v>
      </c>
      <c r="B110" s="109">
        <f>U50</f>
        <v>291</v>
      </c>
      <c r="C110" s="174">
        <f t="shared" si="37"/>
        <v>2.7229344062880134E-2</v>
      </c>
      <c r="D110" s="174"/>
    </row>
    <row r="111" spans="1:28" x14ac:dyDescent="0.25">
      <c r="A111" s="175" t="s">
        <v>133</v>
      </c>
      <c r="B111" s="109">
        <f>U58</f>
        <v>464.99999999999994</v>
      </c>
      <c r="C111" s="174">
        <f t="shared" si="37"/>
        <v>4.3510807523158973E-2</v>
      </c>
      <c r="D111" s="174"/>
    </row>
    <row r="112" spans="1:28" x14ac:dyDescent="0.25">
      <c r="A112" s="175" t="s">
        <v>187</v>
      </c>
      <c r="B112" s="109">
        <f>U64</f>
        <v>6</v>
      </c>
      <c r="C112" s="174">
        <f t="shared" si="37"/>
        <v>5.6142977449237389E-4</v>
      </c>
      <c r="D112" s="174"/>
    </row>
    <row r="113" spans="1:4" x14ac:dyDescent="0.25">
      <c r="A113" s="175" t="s">
        <v>189</v>
      </c>
      <c r="B113" s="109">
        <f>U68</f>
        <v>582.00000000000011</v>
      </c>
      <c r="C113" s="174">
        <f t="shared" si="37"/>
        <v>5.4458688125760282E-2</v>
      </c>
      <c r="D113" s="174"/>
    </row>
    <row r="114" spans="1:4" x14ac:dyDescent="0.25">
      <c r="A114" s="110"/>
      <c r="B114" s="104">
        <f>SUM(B95:B113)</f>
        <v>10687</v>
      </c>
      <c r="C114" s="174"/>
      <c r="D114" s="174"/>
    </row>
  </sheetData>
  <mergeCells count="26">
    <mergeCell ref="L66:U66"/>
    <mergeCell ref="L46:U46"/>
    <mergeCell ref="A52:J52"/>
    <mergeCell ref="L52:U52"/>
    <mergeCell ref="A58:J58"/>
    <mergeCell ref="L60:U60"/>
    <mergeCell ref="A65:J65"/>
    <mergeCell ref="A41:J41"/>
    <mergeCell ref="A5:J5"/>
    <mergeCell ref="L5:U5"/>
    <mergeCell ref="L11:U11"/>
    <mergeCell ref="A12:J12"/>
    <mergeCell ref="L18:U18"/>
    <mergeCell ref="A19:J19"/>
    <mergeCell ref="L24:U24"/>
    <mergeCell ref="A27:J27"/>
    <mergeCell ref="L31:U31"/>
    <mergeCell ref="A35:J35"/>
    <mergeCell ref="L38:U38"/>
    <mergeCell ref="A2:U2"/>
    <mergeCell ref="A3:A4"/>
    <mergeCell ref="B3:I3"/>
    <mergeCell ref="J3:J4"/>
    <mergeCell ref="L3:L4"/>
    <mergeCell ref="M3:T3"/>
    <mergeCell ref="U3:U4"/>
  </mergeCells>
  <printOptions horizontalCentered="1"/>
  <pageMargins left="0.51181102362204722" right="0.27559055118110237" top="0.19685039370078741" bottom="0" header="0.19685039370078741" footer="0.28000000000000003"/>
  <pageSetup paperSize="9" scale="62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shapeId="92161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0</xdr:rowOff>
              </from>
              <to>
                <xdr:col>0</xdr:col>
                <xdr:colOff>819150</xdr:colOff>
                <xdr:row>0</xdr:row>
                <xdr:rowOff>438150</xdr:rowOff>
              </to>
            </anchor>
          </objectPr>
        </oleObject>
      </mc:Choice>
      <mc:Fallback>
        <oleObject shapeId="92161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2"/>
  <dimension ref="A1:AB86"/>
  <sheetViews>
    <sheetView showGridLines="0" zoomScaleNormal="100" zoomScaleSheetLayoutView="85" workbookViewId="0">
      <pane ySplit="4" topLeftCell="A65" activePane="bottomLeft" state="frozen"/>
      <selection activeCell="G91" sqref="G91"/>
      <selection pane="bottomLeft" activeCell="M13" sqref="M13"/>
    </sheetView>
  </sheetViews>
  <sheetFormatPr defaultRowHeight="15.75" x14ac:dyDescent="0.25"/>
  <cols>
    <col min="1" max="1" width="17.75" style="1" customWidth="1"/>
    <col min="2" max="2" width="10.125" style="1" customWidth="1"/>
    <col min="3" max="3" width="10.75" style="1" customWidth="1"/>
    <col min="4" max="4" width="10.125" style="1" customWidth="1"/>
    <col min="5" max="5" width="10.125" style="10" customWidth="1"/>
    <col min="6" max="6" width="0.875" style="2" customWidth="1"/>
    <col min="7" max="7" width="18.25" style="1" customWidth="1"/>
    <col min="8" max="10" width="10.125" style="1" customWidth="1"/>
    <col min="11" max="11" width="10.125" style="10" customWidth="1"/>
    <col min="19" max="26" width="6.625" style="19" customWidth="1"/>
    <col min="27" max="27" width="9" style="19"/>
    <col min="28" max="28" width="9" style="17"/>
  </cols>
  <sheetData>
    <row r="1" spans="1:20" ht="72.75" customHeight="1" thickBot="1" x14ac:dyDescent="0.3"/>
    <row r="2" spans="1:20" ht="16.5" thickBot="1" x14ac:dyDescent="0.3">
      <c r="A2" s="188" t="s">
        <v>234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</row>
    <row r="3" spans="1:20" ht="17.25" customHeight="1" thickBot="1" x14ac:dyDescent="0.3">
      <c r="A3" s="189" t="s">
        <v>87</v>
      </c>
      <c r="B3" s="191" t="s">
        <v>164</v>
      </c>
      <c r="C3" s="192"/>
      <c r="D3" s="192"/>
      <c r="E3" s="194" t="s">
        <v>0</v>
      </c>
      <c r="F3" s="8"/>
      <c r="G3" s="189" t="s">
        <v>87</v>
      </c>
      <c r="H3" s="191" t="s">
        <v>164</v>
      </c>
      <c r="I3" s="192"/>
      <c r="J3" s="192"/>
      <c r="K3" s="194" t="s">
        <v>0</v>
      </c>
    </row>
    <row r="4" spans="1:20" ht="30" customHeight="1" thickBot="1" x14ac:dyDescent="0.3">
      <c r="A4" s="190"/>
      <c r="B4" s="51" t="s">
        <v>92</v>
      </c>
      <c r="C4" s="52" t="s">
        <v>93</v>
      </c>
      <c r="D4" s="53" t="s">
        <v>153</v>
      </c>
      <c r="E4" s="195"/>
      <c r="F4" s="8"/>
      <c r="G4" s="190"/>
      <c r="H4" s="51" t="s">
        <v>92</v>
      </c>
      <c r="I4" s="52" t="s">
        <v>93</v>
      </c>
      <c r="J4" s="53" t="s">
        <v>153</v>
      </c>
      <c r="K4" s="195"/>
    </row>
    <row r="5" spans="1:20" ht="12.75" customHeight="1" x14ac:dyDescent="0.25">
      <c r="A5" s="116" t="s">
        <v>82</v>
      </c>
      <c r="B5" s="116"/>
      <c r="C5" s="116"/>
      <c r="D5" s="116"/>
      <c r="E5" s="116"/>
      <c r="F5" s="8"/>
      <c r="G5" s="116" t="s">
        <v>116</v>
      </c>
      <c r="H5" s="116"/>
      <c r="I5" s="116"/>
      <c r="J5" s="116"/>
      <c r="K5" s="116"/>
    </row>
    <row r="6" spans="1:20" ht="12.75" customHeight="1" x14ac:dyDescent="0.25">
      <c r="A6" s="29" t="s">
        <v>24</v>
      </c>
      <c r="B6" s="30">
        <v>3</v>
      </c>
      <c r="C6" s="30">
        <v>20</v>
      </c>
      <c r="D6" s="30">
        <v>1921</v>
      </c>
      <c r="E6" s="163">
        <f>IF(SUM(B6:D6),SUM(B6:D6),"")</f>
        <v>1944</v>
      </c>
      <c r="F6" s="8"/>
      <c r="G6" s="29" t="s">
        <v>6</v>
      </c>
      <c r="H6" s="30">
        <v>29.999999999999993</v>
      </c>
      <c r="I6" s="30">
        <v>132</v>
      </c>
      <c r="J6" s="30"/>
      <c r="K6" s="34">
        <f>IF(SUM(H6:J6),SUM(H6:J6),"")</f>
        <v>162</v>
      </c>
      <c r="S6" s="20"/>
      <c r="T6" s="20"/>
    </row>
    <row r="7" spans="1:20" ht="12.75" customHeight="1" x14ac:dyDescent="0.25">
      <c r="A7" s="39" t="s">
        <v>25</v>
      </c>
      <c r="B7" s="40"/>
      <c r="C7" s="40">
        <v>18</v>
      </c>
      <c r="D7" s="40"/>
      <c r="E7" s="171">
        <f>IF(SUM(B7:D7),SUM(B7:D7),"")</f>
        <v>18</v>
      </c>
      <c r="F7" s="8"/>
      <c r="G7" s="39" t="s">
        <v>49</v>
      </c>
      <c r="H7" s="40">
        <v>61.000000000000014</v>
      </c>
      <c r="I7" s="40">
        <v>203</v>
      </c>
      <c r="J7" s="40"/>
      <c r="K7" s="41">
        <f>IF(SUM(H7:J7),SUM(H7:J7),"")</f>
        <v>264</v>
      </c>
      <c r="S7" s="20"/>
      <c r="T7" s="20"/>
    </row>
    <row r="8" spans="1:20" ht="12.75" customHeight="1" x14ac:dyDescent="0.25">
      <c r="A8" s="96" t="s">
        <v>47</v>
      </c>
      <c r="B8" s="86">
        <v>2</v>
      </c>
      <c r="C8" s="86">
        <v>267</v>
      </c>
      <c r="D8" s="86"/>
      <c r="E8" s="124">
        <f>IF(SUM(B8:D8),SUM(B8:D8),"")</f>
        <v>269</v>
      </c>
      <c r="F8" s="8"/>
      <c r="G8" s="29" t="s">
        <v>63</v>
      </c>
      <c r="H8" s="30">
        <v>24</v>
      </c>
      <c r="I8" s="30">
        <v>32</v>
      </c>
      <c r="J8" s="30"/>
      <c r="K8" s="34">
        <f>IF(SUM(H8:J8),SUM(H8:J8),"")</f>
        <v>56</v>
      </c>
      <c r="S8" s="21"/>
      <c r="T8" s="20"/>
    </row>
    <row r="9" spans="1:20" ht="12.75" customHeight="1" x14ac:dyDescent="0.25">
      <c r="A9" s="39" t="s">
        <v>54</v>
      </c>
      <c r="B9" s="125">
        <v>2</v>
      </c>
      <c r="C9" s="125">
        <v>48</v>
      </c>
      <c r="D9" s="125"/>
      <c r="E9" s="126">
        <f>IF(SUM(B9:D9),SUM(B9:D9),"")</f>
        <v>50</v>
      </c>
      <c r="F9" s="8"/>
      <c r="G9" s="31" t="s">
        <v>117</v>
      </c>
      <c r="H9" s="33">
        <f>IF(SUM(H6:H8),SUM(H6:H8),"")</f>
        <v>115</v>
      </c>
      <c r="I9" s="33">
        <f t="shared" ref="I9:K9" si="0">IF(SUM(I6:I8),SUM(I6:I8),"")</f>
        <v>367</v>
      </c>
      <c r="J9" s="33" t="str">
        <f t="shared" si="0"/>
        <v/>
      </c>
      <c r="K9" s="33">
        <f t="shared" si="0"/>
        <v>482</v>
      </c>
      <c r="S9" s="20"/>
      <c r="T9" s="20"/>
    </row>
    <row r="10" spans="1:20" ht="12.75" customHeight="1" x14ac:dyDescent="0.25">
      <c r="A10" s="31" t="s">
        <v>107</v>
      </c>
      <c r="B10" s="32">
        <f>IF(SUM(B6:B9),SUM(B6:B9),"")</f>
        <v>7</v>
      </c>
      <c r="C10" s="32">
        <f t="shared" ref="C10:D10" si="1">IF(SUM(C6:C9),SUM(C6:C9),"")</f>
        <v>353</v>
      </c>
      <c r="D10" s="32">
        <f t="shared" si="1"/>
        <v>1921</v>
      </c>
      <c r="E10" s="164">
        <f>IF(SUM(E6:E9),SUM(E6:E9),"")</f>
        <v>2281</v>
      </c>
      <c r="F10" s="8"/>
      <c r="G10" s="9"/>
      <c r="H10" s="9"/>
      <c r="I10" s="9"/>
      <c r="J10" s="9"/>
      <c r="K10" s="11"/>
      <c r="S10" s="20"/>
      <c r="T10" s="20"/>
    </row>
    <row r="11" spans="1:20" ht="12.75" customHeight="1" x14ac:dyDescent="0.25">
      <c r="A11" s="9"/>
      <c r="B11" s="9"/>
      <c r="C11" s="9"/>
      <c r="D11" s="9"/>
      <c r="F11" s="8"/>
      <c r="G11" s="117" t="s">
        <v>118</v>
      </c>
      <c r="H11" s="118"/>
      <c r="I11" s="118"/>
      <c r="J11" s="118"/>
      <c r="K11" s="119"/>
      <c r="S11" s="20"/>
      <c r="T11" s="20"/>
    </row>
    <row r="12" spans="1:20" ht="12.75" customHeight="1" x14ac:dyDescent="0.25">
      <c r="A12" s="117" t="s">
        <v>83</v>
      </c>
      <c r="B12" s="118"/>
      <c r="C12" s="118"/>
      <c r="D12" s="118"/>
      <c r="E12" s="119"/>
      <c r="F12" s="8"/>
      <c r="G12" s="96" t="s">
        <v>9</v>
      </c>
      <c r="H12" s="30">
        <v>85</v>
      </c>
      <c r="I12" s="30">
        <v>71</v>
      </c>
      <c r="J12" s="30"/>
      <c r="K12" s="99">
        <f>IF(SUM(H12:J12),SUM(H12:J12),"")</f>
        <v>156</v>
      </c>
      <c r="S12" s="20"/>
      <c r="T12" s="20"/>
    </row>
    <row r="13" spans="1:20" ht="12.75" customHeight="1" x14ac:dyDescent="0.25">
      <c r="A13" s="29" t="s">
        <v>2</v>
      </c>
      <c r="B13" s="181">
        <v>128</v>
      </c>
      <c r="C13" s="181">
        <v>235</v>
      </c>
      <c r="D13" s="181">
        <v>24</v>
      </c>
      <c r="E13" s="163">
        <f>IF(SUM(B13:D13),SUM(B13:D13),"")</f>
        <v>387</v>
      </c>
      <c r="F13" s="8"/>
      <c r="G13" s="39" t="s">
        <v>18</v>
      </c>
      <c r="H13" s="88">
        <v>152</v>
      </c>
      <c r="I13" s="88">
        <v>44</v>
      </c>
      <c r="J13" s="88"/>
      <c r="K13" s="41">
        <f>IF(SUM(H13:J13),SUM(H13:J13),"")</f>
        <v>196</v>
      </c>
      <c r="S13" s="20"/>
      <c r="T13" s="20"/>
    </row>
    <row r="14" spans="1:20" ht="12.75" customHeight="1" x14ac:dyDescent="0.25">
      <c r="A14" s="39" t="s">
        <v>10</v>
      </c>
      <c r="B14" s="88">
        <v>5</v>
      </c>
      <c r="C14" s="182">
        <v>20</v>
      </c>
      <c r="D14" s="88">
        <v>197</v>
      </c>
      <c r="E14" s="171">
        <f>IF(SUM(B14:D14),SUM(B14:D14),"")</f>
        <v>222</v>
      </c>
      <c r="F14" s="8"/>
      <c r="G14" s="96" t="s">
        <v>20</v>
      </c>
      <c r="H14" s="30">
        <v>17</v>
      </c>
      <c r="I14" s="30">
        <v>14</v>
      </c>
      <c r="J14" s="30"/>
      <c r="K14" s="99">
        <f>IF(SUM(H14:J14),SUM(H14:J14),"")</f>
        <v>31</v>
      </c>
      <c r="S14" s="20"/>
      <c r="T14" s="21"/>
    </row>
    <row r="15" spans="1:20" ht="12.75" customHeight="1" x14ac:dyDescent="0.25">
      <c r="A15" s="29" t="s">
        <v>58</v>
      </c>
      <c r="B15" s="181">
        <v>3</v>
      </c>
      <c r="C15" s="181"/>
      <c r="D15" s="86"/>
      <c r="E15" s="124">
        <f>IF(SUM(B15:D15),SUM(B15:D15),"")</f>
        <v>3</v>
      </c>
      <c r="F15" s="8"/>
      <c r="G15" s="39" t="s">
        <v>61</v>
      </c>
      <c r="H15" s="88">
        <v>11</v>
      </c>
      <c r="I15" s="88">
        <v>256</v>
      </c>
      <c r="J15" s="88"/>
      <c r="K15" s="41">
        <f>IF(SUM(H15:J15),SUM(H15:J15),"")</f>
        <v>267</v>
      </c>
      <c r="S15" s="21"/>
      <c r="T15" s="20"/>
    </row>
    <row r="16" spans="1:20" ht="12.75" customHeight="1" x14ac:dyDescent="0.25">
      <c r="A16" s="39" t="s">
        <v>66</v>
      </c>
      <c r="B16" s="182">
        <v>1</v>
      </c>
      <c r="C16" s="182">
        <v>85</v>
      </c>
      <c r="D16" s="88"/>
      <c r="E16" s="126">
        <f>IF(SUM(B16:D16),SUM(B16:D16),"")</f>
        <v>86</v>
      </c>
      <c r="F16" s="8"/>
      <c r="G16" s="31" t="s">
        <v>119</v>
      </c>
      <c r="H16" s="33">
        <f>IF(SUM(H11:H15),SUM(H11:H15),"")</f>
        <v>265</v>
      </c>
      <c r="I16" s="33">
        <f>IF(SUM(I11:I15),SUM(I11:I15),"")</f>
        <v>385</v>
      </c>
      <c r="J16" s="33" t="str">
        <f t="shared" ref="J16:K16" si="2">IF(SUM(J12:J15),SUM(J12:J15),"")</f>
        <v/>
      </c>
      <c r="K16" s="33">
        <f t="shared" si="2"/>
        <v>650</v>
      </c>
      <c r="S16" s="20"/>
      <c r="T16" s="20"/>
    </row>
    <row r="17" spans="1:20" ht="12.75" customHeight="1" x14ac:dyDescent="0.25">
      <c r="A17" s="31" t="s">
        <v>88</v>
      </c>
      <c r="B17" s="33">
        <f>IF(SUM(B13:B16),SUM(B13:B16),"")</f>
        <v>137</v>
      </c>
      <c r="C17" s="33">
        <f t="shared" ref="C17:E17" si="3">IF(SUM(C13:C16),SUM(C13:C16),"")</f>
        <v>340</v>
      </c>
      <c r="D17" s="33">
        <f t="shared" si="3"/>
        <v>221</v>
      </c>
      <c r="E17" s="161">
        <f t="shared" si="3"/>
        <v>698</v>
      </c>
      <c r="F17" s="8"/>
      <c r="G17" s="9"/>
      <c r="H17" s="9"/>
      <c r="I17" s="9"/>
      <c r="J17" s="9"/>
      <c r="K17" s="11"/>
      <c r="S17" s="20"/>
      <c r="T17" s="20"/>
    </row>
    <row r="18" spans="1:20" ht="12.75" customHeight="1" x14ac:dyDescent="0.25">
      <c r="A18" s="9"/>
      <c r="B18" s="128"/>
      <c r="C18" s="128"/>
      <c r="D18" s="128"/>
      <c r="F18" s="8"/>
      <c r="G18" s="117" t="s">
        <v>120</v>
      </c>
      <c r="H18" s="118"/>
      <c r="I18" s="118"/>
      <c r="J18" s="118"/>
      <c r="K18" s="119"/>
      <c r="S18" s="20"/>
      <c r="T18" s="20"/>
    </row>
    <row r="19" spans="1:20" ht="12.75" customHeight="1" x14ac:dyDescent="0.25">
      <c r="A19" s="117" t="s">
        <v>84</v>
      </c>
      <c r="B19" s="118"/>
      <c r="C19" s="118"/>
      <c r="D19" s="118"/>
      <c r="E19" s="119"/>
      <c r="F19" s="8"/>
      <c r="G19" s="29" t="s">
        <v>30</v>
      </c>
      <c r="H19" s="30">
        <v>16.000000000000004</v>
      </c>
      <c r="I19" s="30"/>
      <c r="J19" s="30"/>
      <c r="K19" s="34">
        <f>IF(SUM(H19:J19),SUM(H19:J19),"")</f>
        <v>16.000000000000004</v>
      </c>
      <c r="S19" s="20"/>
      <c r="T19" s="20"/>
    </row>
    <row r="20" spans="1:20" ht="12.75" customHeight="1" x14ac:dyDescent="0.25">
      <c r="A20" s="29" t="s">
        <v>3</v>
      </c>
      <c r="B20" s="86">
        <v>24</v>
      </c>
      <c r="C20" s="86">
        <v>14</v>
      </c>
      <c r="D20" s="86"/>
      <c r="E20" s="163">
        <f>IF(SUM(B20:D20),SUM(B20:D20),"")</f>
        <v>38</v>
      </c>
      <c r="F20" s="8"/>
      <c r="G20" s="39" t="s">
        <v>100</v>
      </c>
      <c r="H20" s="40">
        <v>70.000000000000014</v>
      </c>
      <c r="I20" s="40"/>
      <c r="J20" s="40"/>
      <c r="K20" s="41">
        <f>IF(SUM(H20:J20),SUM(H20:J20),"")</f>
        <v>70.000000000000014</v>
      </c>
      <c r="S20" s="20"/>
      <c r="T20" s="20"/>
    </row>
    <row r="21" spans="1:20" ht="12.75" customHeight="1" x14ac:dyDescent="0.25">
      <c r="A21" s="39" t="s">
        <v>5</v>
      </c>
      <c r="B21" s="88"/>
      <c r="C21" s="88"/>
      <c r="D21" s="88">
        <v>84</v>
      </c>
      <c r="E21" s="171">
        <f>IF(SUM(B21:D21),SUM(B21:D21),"")</f>
        <v>84</v>
      </c>
      <c r="F21" s="8"/>
      <c r="G21" s="29" t="s">
        <v>64</v>
      </c>
      <c r="H21" s="30">
        <v>94</v>
      </c>
      <c r="I21" s="30">
        <v>48</v>
      </c>
      <c r="J21" s="30"/>
      <c r="K21" s="34">
        <f>IF(SUM(H21:J21),SUM(H21:J21),"")</f>
        <v>142</v>
      </c>
      <c r="M21" s="60"/>
      <c r="N21" s="60"/>
      <c r="O21" s="60"/>
      <c r="P21" s="60"/>
      <c r="Q21" s="60"/>
      <c r="R21" s="60"/>
      <c r="S21" s="20"/>
      <c r="T21" s="20"/>
    </row>
    <row r="22" spans="1:20" ht="12.75" customHeight="1" x14ac:dyDescent="0.25">
      <c r="A22" s="29" t="s">
        <v>16</v>
      </c>
      <c r="B22" s="86">
        <v>1</v>
      </c>
      <c r="C22" s="86">
        <v>85</v>
      </c>
      <c r="D22" s="86"/>
      <c r="E22" s="124">
        <f>IF(SUM(B22:D22),SUM(B22:D22),"")</f>
        <v>86</v>
      </c>
      <c r="F22" s="8"/>
      <c r="G22" s="31" t="s">
        <v>172</v>
      </c>
      <c r="H22" s="33">
        <f>IF(SUM(H19:H21),SUM(H19:H21),"")</f>
        <v>180</v>
      </c>
      <c r="I22" s="33">
        <f t="shared" ref="I22:K22" si="4">IF(SUM(I19:I21),SUM(I19:I21),"")</f>
        <v>48</v>
      </c>
      <c r="J22" s="33" t="str">
        <f t="shared" si="4"/>
        <v/>
      </c>
      <c r="K22" s="33">
        <f t="shared" si="4"/>
        <v>228</v>
      </c>
      <c r="S22" s="20"/>
      <c r="T22" s="20"/>
    </row>
    <row r="23" spans="1:20" ht="12.75" customHeight="1" x14ac:dyDescent="0.25">
      <c r="A23" s="39" t="s">
        <v>33</v>
      </c>
      <c r="B23" s="88">
        <v>3</v>
      </c>
      <c r="C23" s="88">
        <v>18</v>
      </c>
      <c r="D23" s="88"/>
      <c r="E23" s="126">
        <f>IF(SUM(B23:D23),SUM(B23:D23),"")</f>
        <v>21</v>
      </c>
      <c r="F23" s="8"/>
      <c r="G23" s="9"/>
      <c r="H23" s="9"/>
      <c r="I23" s="9"/>
      <c r="J23" s="9"/>
      <c r="K23" s="11"/>
      <c r="S23" s="20"/>
      <c r="T23" s="20"/>
    </row>
    <row r="24" spans="1:20" ht="12.75" customHeight="1" x14ac:dyDescent="0.25">
      <c r="A24" s="29" t="s">
        <v>36</v>
      </c>
      <c r="B24" s="86">
        <v>12</v>
      </c>
      <c r="C24" s="86">
        <v>89</v>
      </c>
      <c r="D24" s="86"/>
      <c r="E24" s="124">
        <f>IF(SUM(B24:D24),SUM(B24:D24),"")</f>
        <v>101</v>
      </c>
      <c r="F24" s="8"/>
      <c r="G24" s="117" t="s">
        <v>173</v>
      </c>
      <c r="H24" s="118"/>
      <c r="I24" s="118"/>
      <c r="J24" s="118"/>
      <c r="K24" s="119"/>
      <c r="S24" s="20"/>
      <c r="T24" s="21"/>
    </row>
    <row r="25" spans="1:20" ht="12.75" customHeight="1" x14ac:dyDescent="0.25">
      <c r="A25" s="31" t="s">
        <v>89</v>
      </c>
      <c r="B25" s="33">
        <f>IF(SUM(B20:B24),SUM(B20:B24),"")</f>
        <v>40</v>
      </c>
      <c r="C25" s="33">
        <f t="shared" ref="C25:E25" si="5">IF(SUM(C20:C24),SUM(C20:C24),"")</f>
        <v>206</v>
      </c>
      <c r="D25" s="33">
        <f t="shared" si="5"/>
        <v>84</v>
      </c>
      <c r="E25" s="161">
        <f t="shared" si="5"/>
        <v>330</v>
      </c>
      <c r="F25" s="8"/>
      <c r="G25" s="96" t="s">
        <v>31</v>
      </c>
      <c r="H25" s="30">
        <v>24</v>
      </c>
      <c r="I25" s="30">
        <v>27</v>
      </c>
      <c r="J25" s="30"/>
      <c r="K25" s="99">
        <f>IF(SUM(H25:J25),SUM(H25:J25),"")</f>
        <v>51</v>
      </c>
      <c r="S25" s="20"/>
      <c r="T25" s="20"/>
    </row>
    <row r="26" spans="1:20" ht="12.75" customHeight="1" x14ac:dyDescent="0.25">
      <c r="A26" s="9"/>
      <c r="B26" s="9"/>
      <c r="C26" s="9"/>
      <c r="D26" s="9"/>
      <c r="F26" s="8"/>
      <c r="G26" s="39" t="s">
        <v>37</v>
      </c>
      <c r="H26" s="40">
        <v>19</v>
      </c>
      <c r="I26" s="40"/>
      <c r="J26" s="40"/>
      <c r="K26" s="41">
        <f>IF(SUM(H26:J26),SUM(H26:J26),"")</f>
        <v>19</v>
      </c>
      <c r="S26" s="21"/>
      <c r="T26" s="20"/>
    </row>
    <row r="27" spans="1:20" ht="12.75" customHeight="1" x14ac:dyDescent="0.25">
      <c r="A27" s="120" t="s">
        <v>85</v>
      </c>
      <c r="B27" s="120"/>
      <c r="C27" s="120"/>
      <c r="D27" s="120"/>
      <c r="E27" s="120"/>
      <c r="F27" s="8"/>
      <c r="G27" s="96" t="s">
        <v>42</v>
      </c>
      <c r="H27" s="30">
        <v>2</v>
      </c>
      <c r="I27" s="30"/>
      <c r="J27" s="30"/>
      <c r="K27" s="99">
        <f>IF(SUM(H27:J27),SUM(H27:J27),"")</f>
        <v>2</v>
      </c>
      <c r="S27" s="20"/>
      <c r="T27" s="20"/>
    </row>
    <row r="28" spans="1:20" ht="12.75" customHeight="1" x14ac:dyDescent="0.25">
      <c r="A28" s="29" t="s">
        <v>11</v>
      </c>
      <c r="B28" s="86">
        <v>2</v>
      </c>
      <c r="C28" s="86">
        <v>112</v>
      </c>
      <c r="D28" s="86">
        <v>504</v>
      </c>
      <c r="E28" s="163">
        <f>IF(SUM(B28:D28),SUM(B28:D28),"")</f>
        <v>618</v>
      </c>
      <c r="F28" s="8"/>
      <c r="G28" s="39" t="s">
        <v>46</v>
      </c>
      <c r="H28" s="40">
        <v>1</v>
      </c>
      <c r="I28" s="40">
        <v>25</v>
      </c>
      <c r="J28" s="40">
        <v>414</v>
      </c>
      <c r="K28" s="41">
        <f>IF(SUM(H28:J28),SUM(H28:J28),"")</f>
        <v>440</v>
      </c>
      <c r="S28" s="20"/>
      <c r="T28" s="20"/>
    </row>
    <row r="29" spans="1:20" ht="12.75" customHeight="1" x14ac:dyDescent="0.25">
      <c r="A29" s="39" t="s">
        <v>99</v>
      </c>
      <c r="B29" s="89">
        <v>3</v>
      </c>
      <c r="C29" s="88"/>
      <c r="D29" s="88"/>
      <c r="E29" s="171">
        <f>IF(SUM(B29:D29),SUM(B29:D29),"")</f>
        <v>3</v>
      </c>
      <c r="F29" s="8"/>
      <c r="G29" s="31" t="s">
        <v>174</v>
      </c>
      <c r="H29" s="33">
        <f>IF(SUM(H24:H28),SUM(H24:H28),"")</f>
        <v>46</v>
      </c>
      <c r="I29" s="33">
        <f>IF(SUM(I24:I28),SUM(I24:I28),"")</f>
        <v>52</v>
      </c>
      <c r="J29" s="33">
        <f t="shared" ref="J29:K29" si="6">IF(SUM(J25:J28),SUM(J25:J28),"")</f>
        <v>414</v>
      </c>
      <c r="K29" s="33">
        <f t="shared" si="6"/>
        <v>512</v>
      </c>
      <c r="S29" s="20"/>
      <c r="T29" s="20"/>
    </row>
    <row r="30" spans="1:20" ht="12.75" customHeight="1" x14ac:dyDescent="0.25">
      <c r="A30" s="29" t="s">
        <v>19</v>
      </c>
      <c r="B30" s="86">
        <v>39</v>
      </c>
      <c r="C30" s="86">
        <v>56</v>
      </c>
      <c r="D30" s="86"/>
      <c r="E30" s="124">
        <f>IF(SUM(B30:D30),SUM(B30:D30),"")</f>
        <v>95</v>
      </c>
      <c r="F30" s="8"/>
      <c r="G30" s="9"/>
      <c r="H30" s="9"/>
      <c r="I30" s="9"/>
      <c r="J30" s="9"/>
      <c r="K30" s="11"/>
      <c r="S30" s="20"/>
      <c r="T30" s="20"/>
    </row>
    <row r="31" spans="1:20" ht="12.75" customHeight="1" x14ac:dyDescent="0.25">
      <c r="A31" s="39" t="s">
        <v>38</v>
      </c>
      <c r="B31" s="88">
        <v>8</v>
      </c>
      <c r="C31" s="88">
        <v>107</v>
      </c>
      <c r="D31" s="88"/>
      <c r="E31" s="126">
        <f>IF(SUM(B31:D31),SUM(B31:D31),"")</f>
        <v>115</v>
      </c>
      <c r="F31" s="8"/>
      <c r="G31" s="117" t="s">
        <v>175</v>
      </c>
      <c r="H31" s="118"/>
      <c r="I31" s="118"/>
      <c r="J31" s="118"/>
      <c r="K31" s="119"/>
      <c r="S31" s="20"/>
      <c r="T31" s="20"/>
    </row>
    <row r="32" spans="1:20" ht="12.75" customHeight="1" x14ac:dyDescent="0.25">
      <c r="A32" s="29" t="s">
        <v>39</v>
      </c>
      <c r="B32" s="86">
        <v>9</v>
      </c>
      <c r="C32" s="86">
        <v>48</v>
      </c>
      <c r="D32" s="86"/>
      <c r="E32" s="124">
        <f>IF(SUM(B32:D32),SUM(B32:D32),"")</f>
        <v>57</v>
      </c>
      <c r="F32" s="8"/>
      <c r="G32" s="29" t="s">
        <v>27</v>
      </c>
      <c r="H32" s="30">
        <v>26</v>
      </c>
      <c r="I32" s="30"/>
      <c r="J32" s="30"/>
      <c r="K32" s="99">
        <f>IF(SUM(H32:J32),SUM(H32:J32),"")</f>
        <v>26</v>
      </c>
      <c r="S32" s="20"/>
      <c r="T32" s="20"/>
    </row>
    <row r="33" spans="1:20" ht="12.75" customHeight="1" x14ac:dyDescent="0.25">
      <c r="A33" s="31" t="s">
        <v>90</v>
      </c>
      <c r="B33" s="33">
        <f>IF(SUM(B28:B32),SUM(B28:B32),"")</f>
        <v>61</v>
      </c>
      <c r="C33" s="33">
        <f t="shared" ref="C33:E33" si="7">IF(SUM(C28:C32),SUM(C28:C32),"")</f>
        <v>323</v>
      </c>
      <c r="D33" s="33">
        <f t="shared" si="7"/>
        <v>504</v>
      </c>
      <c r="E33" s="161">
        <f t="shared" si="7"/>
        <v>888</v>
      </c>
      <c r="F33" s="8"/>
      <c r="G33" s="39" t="s">
        <v>32</v>
      </c>
      <c r="H33" s="40">
        <v>14</v>
      </c>
      <c r="I33" s="40"/>
      <c r="J33" s="40"/>
      <c r="K33" s="41">
        <f>IF(SUM(H33:J33),SUM(H33:J33),"")</f>
        <v>14</v>
      </c>
      <c r="S33" s="20"/>
      <c r="T33" s="21"/>
    </row>
    <row r="34" spans="1:20" ht="12.75" customHeight="1" x14ac:dyDescent="0.25">
      <c r="A34" s="9"/>
      <c r="B34" s="9"/>
      <c r="C34" s="9"/>
      <c r="D34" s="9"/>
      <c r="F34" s="8"/>
      <c r="G34" s="29" t="s">
        <v>44</v>
      </c>
      <c r="H34" s="30">
        <v>55.000000000000007</v>
      </c>
      <c r="I34" s="30">
        <v>12</v>
      </c>
      <c r="J34" s="30"/>
      <c r="K34" s="99">
        <f>IF(SUM(H34:J34),SUM(H34:J34),"")</f>
        <v>67</v>
      </c>
      <c r="S34" s="20"/>
      <c r="T34" s="20"/>
    </row>
    <row r="35" spans="1:20" ht="12.75" customHeight="1" x14ac:dyDescent="0.25">
      <c r="A35" s="117" t="s">
        <v>86</v>
      </c>
      <c r="B35" s="118"/>
      <c r="C35" s="118"/>
      <c r="D35" s="118"/>
      <c r="E35" s="119"/>
      <c r="F35" s="8"/>
      <c r="G35" s="39" t="s">
        <v>68</v>
      </c>
      <c r="H35" s="40">
        <v>124.99999999999997</v>
      </c>
      <c r="I35" s="40"/>
      <c r="J35" s="40"/>
      <c r="K35" s="41">
        <f>IF(SUM(H35:J35),SUM(H35:J35),"")</f>
        <v>124.99999999999997</v>
      </c>
      <c r="S35" s="20"/>
      <c r="T35" s="20"/>
    </row>
    <row r="36" spans="1:20" ht="12.75" customHeight="1" x14ac:dyDescent="0.25">
      <c r="A36" s="29" t="s">
        <v>208</v>
      </c>
      <c r="B36" s="86">
        <v>4</v>
      </c>
      <c r="C36" s="86">
        <v>119</v>
      </c>
      <c r="D36" s="86"/>
      <c r="E36" s="163">
        <f>IF(SUM(B36:D36),SUM(B36:D36),"")</f>
        <v>123</v>
      </c>
      <c r="F36" s="8"/>
      <c r="G36" s="31" t="s">
        <v>177</v>
      </c>
      <c r="H36" s="33">
        <f>IF(SUM(H32:H35),SUM(H32:H35),"")</f>
        <v>219.99999999999997</v>
      </c>
      <c r="I36" s="33">
        <f t="shared" ref="I36:K36" si="8">IF(SUM(I32:I35),SUM(I32:I35),"")</f>
        <v>12</v>
      </c>
      <c r="J36" s="33" t="str">
        <f t="shared" si="8"/>
        <v/>
      </c>
      <c r="K36" s="33">
        <f t="shared" si="8"/>
        <v>231.99999999999997</v>
      </c>
      <c r="S36" s="21"/>
      <c r="T36" s="20"/>
    </row>
    <row r="37" spans="1:20" ht="12.75" customHeight="1" x14ac:dyDescent="0.25">
      <c r="A37" s="39" t="s">
        <v>26</v>
      </c>
      <c r="B37" s="88">
        <v>1</v>
      </c>
      <c r="C37" s="88">
        <v>46</v>
      </c>
      <c r="D37" s="88"/>
      <c r="E37" s="171">
        <f>IF(SUM(B37:D37),SUM(B37:D37),"")</f>
        <v>47</v>
      </c>
      <c r="F37" s="8"/>
      <c r="H37" s="69"/>
      <c r="S37" s="20"/>
      <c r="T37" s="20"/>
    </row>
    <row r="38" spans="1:20" ht="12.75" customHeight="1" x14ac:dyDescent="0.25">
      <c r="A38" s="35" t="s">
        <v>34</v>
      </c>
      <c r="B38" s="86">
        <v>2</v>
      </c>
      <c r="C38" s="86">
        <v>36</v>
      </c>
      <c r="D38" s="86"/>
      <c r="E38" s="124">
        <f>IF(SUM(B38:D38),SUM(B38:D38),"")</f>
        <v>38</v>
      </c>
      <c r="F38" s="8"/>
      <c r="G38" s="117" t="s">
        <v>176</v>
      </c>
      <c r="H38" s="118"/>
      <c r="I38" s="118"/>
      <c r="J38" s="118"/>
      <c r="K38" s="119"/>
      <c r="S38" s="20"/>
      <c r="T38" s="20"/>
    </row>
    <row r="39" spans="1:20" ht="12.75" customHeight="1" x14ac:dyDescent="0.25">
      <c r="A39" s="31" t="s">
        <v>91</v>
      </c>
      <c r="B39" s="33">
        <f>IF(SUM(B36:B38),SUM(B36:B38),"")</f>
        <v>7</v>
      </c>
      <c r="C39" s="33">
        <f t="shared" ref="C39:E39" si="9">IF(SUM(C36:C38),SUM(C36:C38),"")</f>
        <v>201</v>
      </c>
      <c r="D39" s="33" t="str">
        <f t="shared" si="9"/>
        <v/>
      </c>
      <c r="E39" s="161">
        <f t="shared" si="9"/>
        <v>208</v>
      </c>
      <c r="F39" s="8"/>
      <c r="G39" s="29" t="s">
        <v>21</v>
      </c>
      <c r="H39" s="86">
        <v>16</v>
      </c>
      <c r="I39" s="86">
        <v>252</v>
      </c>
      <c r="J39" s="86"/>
      <c r="K39" s="99">
        <f>IF(SUM(H39:J39),SUM(H39:J39),"")</f>
        <v>268</v>
      </c>
      <c r="S39" s="20"/>
      <c r="T39" s="20"/>
    </row>
    <row r="40" spans="1:20" ht="12.75" customHeight="1" x14ac:dyDescent="0.25">
      <c r="A40" s="9"/>
      <c r="B40" s="9"/>
      <c r="C40" s="9"/>
      <c r="D40" s="9"/>
      <c r="E40" s="6"/>
      <c r="F40" s="8"/>
      <c r="G40" s="39" t="s">
        <v>28</v>
      </c>
      <c r="H40" s="40">
        <v>16</v>
      </c>
      <c r="I40" s="40"/>
      <c r="J40" s="40"/>
      <c r="K40" s="41">
        <f>IF(SUM(H40:J40),SUM(H40:J40),"")</f>
        <v>16</v>
      </c>
      <c r="S40" s="20"/>
      <c r="T40" s="20"/>
    </row>
    <row r="41" spans="1:20" ht="12.75" customHeight="1" x14ac:dyDescent="0.25">
      <c r="A41" s="117" t="s">
        <v>108</v>
      </c>
      <c r="B41" s="118"/>
      <c r="C41" s="118"/>
      <c r="D41" s="118"/>
      <c r="E41" s="119"/>
      <c r="F41" s="8"/>
      <c r="G41" s="29" t="s">
        <v>40</v>
      </c>
      <c r="H41" s="86">
        <v>14</v>
      </c>
      <c r="I41" s="86">
        <v>368</v>
      </c>
      <c r="J41" s="86"/>
      <c r="K41" s="99">
        <f>IF(SUM(H41:J41),SUM(H41:J41),"")</f>
        <v>382</v>
      </c>
      <c r="S41" s="20"/>
      <c r="T41" s="20"/>
    </row>
    <row r="42" spans="1:20" ht="12.75" customHeight="1" x14ac:dyDescent="0.25">
      <c r="A42" s="96" t="s">
        <v>15</v>
      </c>
      <c r="B42" s="86">
        <v>18.000000000000004</v>
      </c>
      <c r="C42" s="86"/>
      <c r="D42" s="86"/>
      <c r="E42" s="163">
        <f t="shared" ref="E42:E49" si="10">IF(SUM(B42:D42),SUM(B42:D42),"")</f>
        <v>18.000000000000004</v>
      </c>
      <c r="F42" s="8"/>
      <c r="G42" s="39" t="s">
        <v>45</v>
      </c>
      <c r="H42" s="40">
        <v>27.999999999999996</v>
      </c>
      <c r="I42" s="40">
        <v>279.99999999999994</v>
      </c>
      <c r="J42" s="40">
        <v>331</v>
      </c>
      <c r="K42" s="41">
        <f>IF(SUM(H42:J42),SUM(H42:J42),"")</f>
        <v>639</v>
      </c>
      <c r="S42" s="20"/>
      <c r="T42" s="21"/>
    </row>
    <row r="43" spans="1:20" ht="12.75" customHeight="1" x14ac:dyDescent="0.25">
      <c r="A43" s="39" t="s">
        <v>22</v>
      </c>
      <c r="B43" s="88">
        <v>38</v>
      </c>
      <c r="C43" s="88"/>
      <c r="D43" s="88"/>
      <c r="E43" s="171">
        <f t="shared" si="10"/>
        <v>38</v>
      </c>
      <c r="F43" s="8"/>
      <c r="G43" s="96" t="s">
        <v>51</v>
      </c>
      <c r="H43" s="60">
        <v>27.999999999999996</v>
      </c>
      <c r="I43" s="60">
        <v>37</v>
      </c>
      <c r="J43" s="60"/>
      <c r="K43" s="99">
        <f>IF(SUM(H43:J43),SUM(H43:J43),"")</f>
        <v>65</v>
      </c>
      <c r="S43" s="20"/>
      <c r="T43" s="20"/>
    </row>
    <row r="44" spans="1:20" ht="12.75" customHeight="1" x14ac:dyDescent="0.25">
      <c r="A44" s="98" t="s">
        <v>101</v>
      </c>
      <c r="B44" s="86">
        <v>1</v>
      </c>
      <c r="C44" s="86"/>
      <c r="D44" s="86"/>
      <c r="E44" s="124">
        <f t="shared" si="10"/>
        <v>1</v>
      </c>
      <c r="F44" s="8"/>
      <c r="G44" s="31" t="s">
        <v>178</v>
      </c>
      <c r="H44" s="33">
        <f>IF(SUM(H39:H43),SUM(H39:H43),"")</f>
        <v>102</v>
      </c>
      <c r="I44" s="33">
        <f t="shared" ref="I44:K44" si="11">IF(SUM(I39:I43),SUM(I39:I43),"")</f>
        <v>937</v>
      </c>
      <c r="J44" s="33">
        <f t="shared" si="11"/>
        <v>331</v>
      </c>
      <c r="K44" s="33">
        <f t="shared" si="11"/>
        <v>1370</v>
      </c>
      <c r="S44" s="20"/>
      <c r="T44" s="20"/>
    </row>
    <row r="45" spans="1:20" ht="12.75" customHeight="1" x14ac:dyDescent="0.25">
      <c r="A45" s="39" t="s">
        <v>41</v>
      </c>
      <c r="B45" s="88">
        <v>6.9999999999999991</v>
      </c>
      <c r="C45" s="88"/>
      <c r="D45" s="88"/>
      <c r="E45" s="126">
        <f t="shared" si="10"/>
        <v>6.9999999999999991</v>
      </c>
      <c r="F45" s="8"/>
      <c r="S45" s="20"/>
      <c r="T45" s="20"/>
    </row>
    <row r="46" spans="1:20" ht="12.75" customHeight="1" x14ac:dyDescent="0.25">
      <c r="A46" s="96" t="s">
        <v>50</v>
      </c>
      <c r="B46" s="86">
        <v>240.00000000000017</v>
      </c>
      <c r="C46" s="86">
        <v>92</v>
      </c>
      <c r="D46" s="86"/>
      <c r="E46" s="124">
        <f t="shared" si="10"/>
        <v>332.00000000000017</v>
      </c>
      <c r="F46" s="8"/>
      <c r="G46" s="117" t="s">
        <v>179</v>
      </c>
      <c r="H46" s="118"/>
      <c r="I46" s="118"/>
      <c r="J46" s="118"/>
      <c r="K46" s="119"/>
      <c r="S46" s="20"/>
      <c r="T46" s="20"/>
    </row>
    <row r="47" spans="1:20" ht="12.75" customHeight="1" x14ac:dyDescent="0.25">
      <c r="A47" s="39" t="s">
        <v>52</v>
      </c>
      <c r="B47" s="88">
        <v>6</v>
      </c>
      <c r="C47" s="88"/>
      <c r="D47" s="88"/>
      <c r="E47" s="126">
        <f t="shared" si="10"/>
        <v>6</v>
      </c>
      <c r="F47" s="8"/>
      <c r="G47" s="29" t="s">
        <v>4</v>
      </c>
      <c r="H47" s="30">
        <v>76</v>
      </c>
      <c r="I47" s="30"/>
      <c r="J47" s="111"/>
      <c r="K47" s="99">
        <f>IF(SUM(H47:J47),SUM(H47:J47),"")</f>
        <v>76</v>
      </c>
      <c r="S47" s="20"/>
      <c r="T47" s="20"/>
    </row>
    <row r="48" spans="1:20" ht="12.75" customHeight="1" x14ac:dyDescent="0.25">
      <c r="A48" s="96" t="s">
        <v>53</v>
      </c>
      <c r="B48" s="86">
        <v>10</v>
      </c>
      <c r="C48" s="86"/>
      <c r="D48" s="86"/>
      <c r="E48" s="124">
        <f t="shared" si="10"/>
        <v>10</v>
      </c>
      <c r="F48" s="8"/>
      <c r="G48" s="39" t="s">
        <v>14</v>
      </c>
      <c r="H48" s="40">
        <v>71</v>
      </c>
      <c r="I48" s="40">
        <v>32</v>
      </c>
      <c r="J48" s="40"/>
      <c r="K48" s="41">
        <f>IF(SUM(H48:J48),SUM(H48:J48),"")</f>
        <v>103</v>
      </c>
      <c r="S48" s="20"/>
      <c r="T48" s="20"/>
    </row>
    <row r="49" spans="1:27" ht="12.75" customHeight="1" x14ac:dyDescent="0.25">
      <c r="A49" s="39" t="s">
        <v>55</v>
      </c>
      <c r="B49" s="88">
        <v>15.000000000000002</v>
      </c>
      <c r="C49" s="88"/>
      <c r="D49" s="88"/>
      <c r="E49" s="171">
        <f t="shared" si="10"/>
        <v>15.000000000000002</v>
      </c>
      <c r="F49" s="8"/>
      <c r="G49" s="29" t="s">
        <v>59</v>
      </c>
      <c r="H49" s="30">
        <v>111.99999999999997</v>
      </c>
      <c r="I49" s="30"/>
      <c r="J49" s="30"/>
      <c r="K49" s="99">
        <f>IF(SUM(H49:J49),SUM(H49:J49),"")</f>
        <v>111.99999999999997</v>
      </c>
      <c r="S49" s="20"/>
      <c r="T49" s="20"/>
    </row>
    <row r="50" spans="1:27" ht="12.75" customHeight="1" x14ac:dyDescent="0.25">
      <c r="A50" s="31" t="s">
        <v>109</v>
      </c>
      <c r="B50" s="33">
        <f>IF(SUM(B42:B49),SUM(B42:B49),"")</f>
        <v>335.00000000000017</v>
      </c>
      <c r="C50" s="33">
        <f t="shared" ref="C50:D50" si="12">IF(SUM(C42:C49),SUM(C42:C49),"")</f>
        <v>92</v>
      </c>
      <c r="D50" s="33" t="str">
        <f t="shared" si="12"/>
        <v/>
      </c>
      <c r="E50" s="161">
        <f>IF(SUM(E42:E49),SUM(E42:E49),"")</f>
        <v>427.00000000000017</v>
      </c>
      <c r="F50" s="8"/>
      <c r="G50" s="31" t="s">
        <v>180</v>
      </c>
      <c r="H50" s="33">
        <f>IF(SUM(H47:H49),SUM(H47:H49),"")</f>
        <v>259</v>
      </c>
      <c r="I50" s="33">
        <f>IF(SUM(I47:I49),SUM(I47:I49),"")</f>
        <v>32</v>
      </c>
      <c r="J50" s="33" t="str">
        <f t="shared" ref="J50" si="13">IF(SUM(J47:J49),SUM(J47:J49),"")</f>
        <v/>
      </c>
      <c r="K50" s="33">
        <f>IF(SUM(K47:K49),SUM(K47:K49),"")</f>
        <v>291</v>
      </c>
      <c r="S50" s="20"/>
      <c r="T50" s="20"/>
    </row>
    <row r="51" spans="1:27" ht="12.75" customHeight="1" x14ac:dyDescent="0.25">
      <c r="A51" s="9"/>
      <c r="B51" s="9"/>
      <c r="C51" s="9"/>
      <c r="D51" s="9"/>
      <c r="F51" s="162"/>
      <c r="S51" s="21"/>
      <c r="T51" s="20"/>
    </row>
    <row r="52" spans="1:27" ht="12.75" customHeight="1" x14ac:dyDescent="0.25">
      <c r="A52" s="117" t="s">
        <v>110</v>
      </c>
      <c r="B52" s="118"/>
      <c r="C52" s="118"/>
      <c r="D52" s="118"/>
      <c r="E52" s="119"/>
      <c r="F52" s="8"/>
      <c r="G52" s="117" t="s">
        <v>181</v>
      </c>
      <c r="H52" s="118"/>
      <c r="I52" s="118"/>
      <c r="J52" s="118"/>
      <c r="K52" s="119"/>
      <c r="S52" s="20"/>
      <c r="T52" s="20"/>
    </row>
    <row r="53" spans="1:27" ht="12.75" customHeight="1" x14ac:dyDescent="0.25">
      <c r="A53" s="96" t="s">
        <v>8</v>
      </c>
      <c r="B53" s="86">
        <v>29</v>
      </c>
      <c r="C53" s="86">
        <v>236</v>
      </c>
      <c r="D53" s="86"/>
      <c r="E53" s="124">
        <f>IF(SUM(B53:D53),SUM(B53:D53),"")</f>
        <v>265</v>
      </c>
      <c r="F53" s="8"/>
      <c r="G53" s="29" t="s">
        <v>98</v>
      </c>
      <c r="H53" s="86">
        <v>172.99999999999997</v>
      </c>
      <c r="I53" s="100"/>
      <c r="J53" s="86"/>
      <c r="K53" s="99">
        <f>IF(SUM(H53:J53),SUM(H53:J53),"")</f>
        <v>172.99999999999997</v>
      </c>
      <c r="S53" s="20"/>
      <c r="T53" s="20"/>
    </row>
    <row r="54" spans="1:27" ht="12.75" customHeight="1" x14ac:dyDescent="0.25">
      <c r="A54" s="39" t="s">
        <v>12</v>
      </c>
      <c r="B54" s="88">
        <v>41.999999999999993</v>
      </c>
      <c r="C54" s="88">
        <v>56</v>
      </c>
      <c r="D54" s="88"/>
      <c r="E54" s="126">
        <f>IF(SUM(B54:D54),SUM(B54:D54),"")</f>
        <v>98</v>
      </c>
      <c r="F54" s="8"/>
      <c r="G54" s="39" t="s">
        <v>23</v>
      </c>
      <c r="H54" s="40"/>
      <c r="I54" s="40"/>
      <c r="J54" s="40"/>
      <c r="K54" s="41" t="str">
        <f>IF(SUM(H54:J54),SUM(H54:J54),"")</f>
        <v/>
      </c>
      <c r="S54" s="20"/>
      <c r="T54" s="20"/>
    </row>
    <row r="55" spans="1:27" ht="12.75" customHeight="1" x14ac:dyDescent="0.25">
      <c r="A55" s="98" t="s">
        <v>35</v>
      </c>
      <c r="B55" s="86">
        <v>18</v>
      </c>
      <c r="C55" s="86"/>
      <c r="D55" s="86"/>
      <c r="E55" s="124">
        <f>IF(SUM(B55:D55),SUM(B55:D55),"")</f>
        <v>18</v>
      </c>
      <c r="F55" s="8"/>
      <c r="G55" s="29" t="s">
        <v>29</v>
      </c>
      <c r="H55" s="86">
        <v>17</v>
      </c>
      <c r="I55" s="86"/>
      <c r="J55" s="86"/>
      <c r="K55" s="99">
        <f>IF(SUM(H55:J55),SUM(H55:J55),"")</f>
        <v>17</v>
      </c>
      <c r="L55" s="7"/>
      <c r="M55" s="7"/>
      <c r="N55" s="7"/>
      <c r="O55" s="7"/>
      <c r="P55" s="7"/>
      <c r="Q55" s="7"/>
      <c r="R55" s="7"/>
      <c r="S55" s="20"/>
      <c r="T55" s="20"/>
    </row>
    <row r="56" spans="1:27" ht="12.75" customHeight="1" x14ac:dyDescent="0.25">
      <c r="A56" s="31" t="s">
        <v>111</v>
      </c>
      <c r="B56" s="33">
        <f t="shared" ref="B56:D56" si="14">IF(SUM(B53:B55),SUM(B53:B55),"")</f>
        <v>89</v>
      </c>
      <c r="C56" s="33">
        <f t="shared" si="14"/>
        <v>292</v>
      </c>
      <c r="D56" s="33" t="str">
        <f t="shared" si="14"/>
        <v/>
      </c>
      <c r="E56" s="161">
        <f>IF(SUM(E53:E55),SUM(E53:E55),"")</f>
        <v>381</v>
      </c>
      <c r="F56" s="8"/>
      <c r="G56" s="39" t="s">
        <v>62</v>
      </c>
      <c r="H56" s="40">
        <v>215.99999999999997</v>
      </c>
      <c r="I56" s="40"/>
      <c r="J56" s="40"/>
      <c r="K56" s="41">
        <f>IF(SUM(H56:J56),SUM(H56:J56),"")</f>
        <v>215.99999999999997</v>
      </c>
      <c r="S56" s="20"/>
      <c r="T56" s="21"/>
    </row>
    <row r="57" spans="1:27" ht="12.75" customHeight="1" x14ac:dyDescent="0.25">
      <c r="F57" s="8"/>
      <c r="G57" s="96" t="s">
        <v>65</v>
      </c>
      <c r="H57" s="30">
        <v>59.000000000000007</v>
      </c>
      <c r="I57" s="30"/>
      <c r="J57" s="30"/>
      <c r="K57" s="99">
        <f>IF(SUM(H57:J57),SUM(H57:J57),"")</f>
        <v>59.000000000000007</v>
      </c>
      <c r="S57" s="21"/>
      <c r="T57" s="20"/>
    </row>
    <row r="58" spans="1:27" ht="12.75" customHeight="1" x14ac:dyDescent="0.25">
      <c r="A58" s="117" t="s">
        <v>112</v>
      </c>
      <c r="B58" s="118"/>
      <c r="C58" s="118"/>
      <c r="D58" s="118"/>
      <c r="E58" s="119"/>
      <c r="F58" s="8"/>
      <c r="G58" s="31" t="s">
        <v>182</v>
      </c>
      <c r="H58" s="33">
        <f>IF(SUM(H53:H57),SUM(H53:H57),"")</f>
        <v>464.99999999999994</v>
      </c>
      <c r="I58" s="33" t="str">
        <f t="shared" ref="I58:K58" si="15">IF(SUM(I53:I57),SUM(I53:I57),"")</f>
        <v/>
      </c>
      <c r="J58" s="33" t="str">
        <f t="shared" si="15"/>
        <v/>
      </c>
      <c r="K58" s="33">
        <f t="shared" si="15"/>
        <v>464.99999999999994</v>
      </c>
      <c r="T58" s="20"/>
    </row>
    <row r="59" spans="1:27" ht="12.75" customHeight="1" x14ac:dyDescent="0.25">
      <c r="A59" s="96" t="s">
        <v>13</v>
      </c>
      <c r="B59" s="86">
        <v>23</v>
      </c>
      <c r="C59" s="86">
        <v>125</v>
      </c>
      <c r="D59" s="86"/>
      <c r="E59" s="124">
        <f>IF(SUM(B59:D59),SUM(B59:D59),"")</f>
        <v>148</v>
      </c>
      <c r="F59" s="8"/>
      <c r="T59" s="20"/>
    </row>
    <row r="60" spans="1:27" ht="12.75" customHeight="1" x14ac:dyDescent="0.25">
      <c r="A60" s="39" t="s">
        <v>43</v>
      </c>
      <c r="B60" s="88">
        <v>200.99999999999991</v>
      </c>
      <c r="C60" s="88"/>
      <c r="D60" s="88"/>
      <c r="E60" s="126">
        <f>IF(SUM(B60:D60),SUM(B60:D60),"")</f>
        <v>200.99999999999991</v>
      </c>
      <c r="F60" s="8"/>
      <c r="G60" s="117" t="s">
        <v>222</v>
      </c>
      <c r="H60" s="118"/>
      <c r="I60" s="118"/>
      <c r="J60" s="118"/>
      <c r="K60" s="119"/>
      <c r="L60" s="7"/>
      <c r="M60" s="7"/>
      <c r="N60" s="7"/>
      <c r="O60" s="7"/>
      <c r="P60" s="7"/>
      <c r="Q60" s="7"/>
      <c r="R60" s="7"/>
      <c r="T60" s="20"/>
    </row>
    <row r="61" spans="1:27" ht="12.75" customHeight="1" x14ac:dyDescent="0.25">
      <c r="A61" s="98" t="s">
        <v>56</v>
      </c>
      <c r="B61" s="86">
        <v>12</v>
      </c>
      <c r="C61" s="86"/>
      <c r="D61" s="86"/>
      <c r="E61" s="124">
        <f>IF(SUM(B61:D61),SUM(B61:D61),"")</f>
        <v>12</v>
      </c>
      <c r="F61" s="8"/>
      <c r="G61" s="29" t="s">
        <v>7</v>
      </c>
      <c r="H61" s="30">
        <v>2</v>
      </c>
      <c r="I61" s="30"/>
      <c r="J61" s="30"/>
      <c r="K61" s="99">
        <f>IF(SUM(H61:J61),SUM(H61:J61),"")</f>
        <v>2</v>
      </c>
      <c r="L61" s="7"/>
      <c r="M61" s="7"/>
      <c r="N61" s="7"/>
      <c r="O61" s="7"/>
      <c r="P61" s="7"/>
      <c r="Q61" s="7"/>
      <c r="R61" s="7"/>
      <c r="T61" s="20"/>
    </row>
    <row r="62" spans="1:27" ht="12.75" customHeight="1" x14ac:dyDescent="0.25">
      <c r="A62" s="39" t="s">
        <v>67</v>
      </c>
      <c r="B62" s="88">
        <v>43</v>
      </c>
      <c r="C62" s="88"/>
      <c r="D62" s="88"/>
      <c r="E62" s="126">
        <f>IF(SUM(B62:D62),SUM(B62:D62),"")</f>
        <v>43</v>
      </c>
      <c r="F62" s="8"/>
      <c r="G62" s="39" t="s">
        <v>48</v>
      </c>
      <c r="H62" s="40">
        <v>4</v>
      </c>
      <c r="I62" s="40"/>
      <c r="J62" s="40"/>
      <c r="K62" s="41">
        <f>IF(SUM(H62:J62),SUM(H62:J62),"")</f>
        <v>4</v>
      </c>
      <c r="L62" s="7"/>
      <c r="M62" s="7"/>
      <c r="N62" s="7"/>
      <c r="O62" s="7"/>
      <c r="P62" s="7"/>
      <c r="Q62" s="7"/>
      <c r="R62" s="7"/>
      <c r="AA62" s="20"/>
    </row>
    <row r="63" spans="1:27" ht="12.75" customHeight="1" x14ac:dyDescent="0.25">
      <c r="A63" s="31" t="s">
        <v>113</v>
      </c>
      <c r="B63" s="33">
        <f>IF(SUM(B59:B62),SUM(B59:B62),"")</f>
        <v>278.99999999999989</v>
      </c>
      <c r="C63" s="33">
        <f t="shared" ref="C63" si="16">IF(SUM(C59:C62),SUM(C59:C62),"")</f>
        <v>125</v>
      </c>
      <c r="D63" s="33" t="str">
        <f>IF(SUM(D59:D62),SUM(D59:D62),"")</f>
        <v/>
      </c>
      <c r="E63" s="161">
        <f>IF(SUM(E59:E62),SUM(E59:E62),"")</f>
        <v>403.99999999999989</v>
      </c>
      <c r="G63" s="29" t="s">
        <v>57</v>
      </c>
      <c r="H63" s="86"/>
      <c r="I63" s="101"/>
      <c r="J63" s="101"/>
      <c r="K63" s="99" t="str">
        <f>IF(SUM(H63:J63),SUM(H63:J63),"")</f>
        <v/>
      </c>
    </row>
    <row r="64" spans="1:27" ht="12.75" customHeight="1" x14ac:dyDescent="0.25">
      <c r="G64" s="31" t="s">
        <v>184</v>
      </c>
      <c r="H64" s="33">
        <f t="shared" ref="H64:J64" si="17">IF(SUM(H61:H63),SUM(H61:H63),"")</f>
        <v>6</v>
      </c>
      <c r="I64" s="33" t="str">
        <f t="shared" si="17"/>
        <v/>
      </c>
      <c r="J64" s="33" t="str">
        <f t="shared" si="17"/>
        <v/>
      </c>
      <c r="K64" s="33">
        <f>IF(SUM(K61:K63),SUM(K61:K63),"")</f>
        <v>6</v>
      </c>
    </row>
    <row r="65" spans="1:28" ht="12.75" customHeight="1" x14ac:dyDescent="0.25">
      <c r="A65" s="117" t="s">
        <v>114</v>
      </c>
      <c r="B65" s="118"/>
      <c r="C65" s="118"/>
      <c r="D65" s="118"/>
      <c r="E65" s="119"/>
      <c r="G65" s="5"/>
      <c r="K65" s="24"/>
    </row>
    <row r="66" spans="1:28" ht="12.75" customHeight="1" x14ac:dyDescent="0.25">
      <c r="A66" s="29" t="s">
        <v>1</v>
      </c>
      <c r="B66" s="86">
        <v>86.000000000000014</v>
      </c>
      <c r="C66" s="86"/>
      <c r="D66" s="86"/>
      <c r="E66" s="124">
        <f>IF(SUM(B66:D66),SUM(B66:D66),"")</f>
        <v>86.000000000000014</v>
      </c>
      <c r="G66" s="117" t="s">
        <v>185</v>
      </c>
      <c r="H66" s="118"/>
      <c r="I66" s="118"/>
      <c r="J66" s="118"/>
      <c r="K66" s="119"/>
    </row>
    <row r="67" spans="1:28" ht="12.75" customHeight="1" x14ac:dyDescent="0.25">
      <c r="A67" s="39" t="s">
        <v>209</v>
      </c>
      <c r="B67" s="88">
        <v>43.000000000000007</v>
      </c>
      <c r="C67" s="88"/>
      <c r="D67" s="88"/>
      <c r="E67" s="126">
        <f>IF(SUM(B67:D67),SUM(B67:D67),"")</f>
        <v>43.000000000000007</v>
      </c>
      <c r="G67" s="29" t="s">
        <v>97</v>
      </c>
      <c r="H67" s="86">
        <v>286.00000000000017</v>
      </c>
      <c r="I67" s="86">
        <v>296</v>
      </c>
      <c r="J67" s="86"/>
      <c r="K67" s="99">
        <f>IF(SUM(H67:J67),SUM(H67:J67),"")</f>
        <v>582.00000000000023</v>
      </c>
    </row>
    <row r="68" spans="1:28" ht="12.75" customHeight="1" x14ac:dyDescent="0.25">
      <c r="A68" s="96" t="s">
        <v>17</v>
      </c>
      <c r="B68" s="86">
        <v>113.99999999999997</v>
      </c>
      <c r="C68" s="86"/>
      <c r="D68" s="86"/>
      <c r="E68" s="124">
        <f>IF(SUM(B68:D68),SUM(B68:D68),"")</f>
        <v>113.99999999999997</v>
      </c>
      <c r="G68" s="31" t="s">
        <v>186</v>
      </c>
      <c r="H68" s="33">
        <f>IF(SUM(H67),SUM(H67),"")</f>
        <v>286.00000000000017</v>
      </c>
      <c r="I68" s="33">
        <f>IF(SUM(I67),SUM(I67),"")</f>
        <v>296</v>
      </c>
      <c r="J68" s="33" t="str">
        <f t="shared" ref="J68" si="18">IF(SUM(J67:J67),SUM(J67:J67),"")</f>
        <v/>
      </c>
      <c r="K68" s="33">
        <f>IF(SUM(K67:K67),SUM(K67:K67),"")</f>
        <v>582.00000000000023</v>
      </c>
    </row>
    <row r="69" spans="1:28" ht="12.75" customHeight="1" x14ac:dyDescent="0.25">
      <c r="A69" s="39" t="s">
        <v>60</v>
      </c>
      <c r="B69" s="88">
        <v>9</v>
      </c>
      <c r="C69" s="88"/>
      <c r="D69" s="88"/>
      <c r="E69" s="126">
        <f>IF(SUM(B69:D69),SUM(B69:D69),"")</f>
        <v>9</v>
      </c>
      <c r="G69" s="5"/>
      <c r="I69" s="69"/>
      <c r="K69" s="24"/>
      <c r="M69" s="7"/>
    </row>
    <row r="70" spans="1:28" ht="12.75" customHeight="1" x14ac:dyDescent="0.25">
      <c r="A70" s="31" t="s">
        <v>115</v>
      </c>
      <c r="B70" s="33">
        <f>IF(SUM(B66:B69),SUM(B66:B69),"")</f>
        <v>252</v>
      </c>
      <c r="C70" s="33" t="str">
        <f t="shared" ref="C70:E70" si="19">IF(SUM(C66:C69),SUM(C66:C69),"")</f>
        <v/>
      </c>
      <c r="D70" s="33" t="str">
        <f t="shared" si="19"/>
        <v/>
      </c>
      <c r="E70" s="161">
        <f t="shared" si="19"/>
        <v>252</v>
      </c>
      <c r="G70" s="31" t="s">
        <v>121</v>
      </c>
      <c r="H70" s="33">
        <f>IF(SUM(B10,B17,B25,B33,B39,B50,B56,B63,B70,H9,H16,H22,H29,H36,H44,H50,H58,H64,H68),SUM(B10,B17,B25,B33,B39,B50,B56,B63,B70,H9,H16,H22,H29,H36,H44,H50,H58,H64,H68),"")</f>
        <v>3151</v>
      </c>
      <c r="I70" s="33">
        <f>IF(SUM(C10,C17,C25,C33,C39,C50,C56,C63,C70,I9,I16,I22,I29,I36,I44,I50,I58,I64,I68),SUM(C10,C17,C25,C33,C39,C50,C56,C63,C70,I9,I16,I22,I29,I36,I44,I50,I58,I64,I68),"")</f>
        <v>4061</v>
      </c>
      <c r="J70" s="33">
        <f>IF(SUM(D10,D17,D25,D33,D39,D50,D56,D63,D70,J9,J16,J22,J29,J36,J44,J50,J58,J64,J68),SUM(D10,D17,D25,D33,D39,D50,D56,D63,D70,J9,J16,J22,J29,J36,J44,J50,J58,J64,J68),"")</f>
        <v>3475</v>
      </c>
      <c r="K70" s="33">
        <f>IF(SUM(E10,E17,E25,E33,E39,E50,E56,E63,E70,K9,K16,K22,K29,K36,K44,K50,K58,K64,K68),SUM(E10,E17,E25,E33,E39,E50,E56,E63,E70,K9,K16,K22,K29,K36,K44,K50,K58,K64,K68),"")</f>
        <v>10687</v>
      </c>
    </row>
    <row r="71" spans="1:28" ht="16.5" thickBot="1" x14ac:dyDescent="0.3">
      <c r="A71" s="2"/>
      <c r="E71" s="1"/>
      <c r="F71" s="10"/>
      <c r="G71"/>
      <c r="H71" s="7"/>
      <c r="I71" s="7"/>
      <c r="J71" s="7"/>
      <c r="K71"/>
      <c r="N71" s="19"/>
      <c r="O71" s="19"/>
      <c r="P71" s="19"/>
      <c r="Q71" s="19"/>
      <c r="R71" s="19"/>
      <c r="W71" s="17"/>
      <c r="X71"/>
      <c r="Y71"/>
      <c r="Z71"/>
      <c r="AA71"/>
      <c r="AB71"/>
    </row>
    <row r="72" spans="1:28" ht="16.5" thickBot="1" x14ac:dyDescent="0.3">
      <c r="A72" s="198" t="s">
        <v>226</v>
      </c>
      <c r="B72" s="198"/>
      <c r="C72" s="198"/>
      <c r="D72" s="198"/>
      <c r="E72" s="198"/>
      <c r="F72" s="10"/>
      <c r="G72"/>
      <c r="H72"/>
      <c r="I72"/>
      <c r="J72"/>
      <c r="K72"/>
      <c r="N72" s="19"/>
      <c r="O72" s="19"/>
      <c r="P72" s="19"/>
      <c r="Q72" s="19"/>
      <c r="R72" s="19"/>
      <c r="W72" s="17"/>
      <c r="X72"/>
      <c r="Y72"/>
      <c r="Z72"/>
      <c r="AA72"/>
      <c r="AB72"/>
    </row>
    <row r="73" spans="1:28" ht="26.25" thickBot="1" x14ac:dyDescent="0.3">
      <c r="A73" s="50" t="s">
        <v>69</v>
      </c>
      <c r="B73" s="51" t="s">
        <v>92</v>
      </c>
      <c r="C73" s="52" t="s">
        <v>93</v>
      </c>
      <c r="D73" s="53" t="s">
        <v>153</v>
      </c>
      <c r="E73" s="54" t="s">
        <v>0</v>
      </c>
      <c r="F73" s="10"/>
      <c r="G73"/>
      <c r="H73"/>
      <c r="I73"/>
      <c r="J73"/>
      <c r="K73"/>
      <c r="N73" s="19"/>
      <c r="O73" s="19"/>
      <c r="P73" s="19"/>
      <c r="Q73" s="19"/>
      <c r="R73" s="19"/>
      <c r="W73" s="17"/>
      <c r="X73"/>
      <c r="Y73"/>
      <c r="Z73"/>
      <c r="AA73"/>
      <c r="AB73"/>
    </row>
    <row r="74" spans="1:28" ht="12.75" customHeight="1" x14ac:dyDescent="0.25">
      <c r="A74" s="48" t="s">
        <v>70</v>
      </c>
      <c r="B74" s="55">
        <v>489</v>
      </c>
      <c r="C74" s="55">
        <v>683</v>
      </c>
      <c r="D74" s="55">
        <v>741</v>
      </c>
      <c r="E74" s="34">
        <f t="shared" ref="E74:E75" si="20">IF(SUM(B74:D74),SUM(B74:D74),"")</f>
        <v>1913</v>
      </c>
      <c r="F74" s="10"/>
      <c r="G74"/>
      <c r="H74"/>
      <c r="I74"/>
      <c r="J74"/>
      <c r="K74"/>
      <c r="N74" s="19"/>
      <c r="O74" s="19"/>
      <c r="P74" s="19"/>
      <c r="Q74" s="19"/>
      <c r="R74" s="19"/>
      <c r="W74" s="17"/>
      <c r="X74"/>
      <c r="Y74"/>
      <c r="Z74"/>
      <c r="AA74"/>
      <c r="AB74"/>
    </row>
    <row r="75" spans="1:28" ht="12.75" customHeight="1" x14ac:dyDescent="0.25">
      <c r="A75" s="47" t="s">
        <v>71</v>
      </c>
      <c r="B75" s="56">
        <v>628.00000000000023</v>
      </c>
      <c r="C75" s="56">
        <v>319</v>
      </c>
      <c r="D75" s="56">
        <v>348</v>
      </c>
      <c r="E75" s="41">
        <f t="shared" si="20"/>
        <v>1295.0000000000002</v>
      </c>
      <c r="F75" s="10"/>
      <c r="G75"/>
      <c r="H75"/>
      <c r="I75"/>
      <c r="J75"/>
      <c r="K75"/>
      <c r="N75" s="19"/>
      <c r="O75" s="19"/>
      <c r="P75" s="19"/>
      <c r="Q75" s="19"/>
      <c r="R75" s="19"/>
      <c r="W75" s="17"/>
      <c r="X75"/>
      <c r="Y75"/>
      <c r="Z75"/>
      <c r="AA75"/>
      <c r="AB75"/>
    </row>
    <row r="76" spans="1:28" ht="12.75" customHeight="1" x14ac:dyDescent="0.25">
      <c r="A76" s="48" t="s">
        <v>72</v>
      </c>
      <c r="B76" s="55">
        <v>471.00000000000023</v>
      </c>
      <c r="C76" s="55">
        <v>928.00000000000011</v>
      </c>
      <c r="D76" s="55">
        <v>766</v>
      </c>
      <c r="E76" s="34">
        <f>IF(SUM(B76:D76),SUM(B76:D76),"")</f>
        <v>2165.0000000000005</v>
      </c>
      <c r="F76" s="10"/>
      <c r="G76"/>
      <c r="H76"/>
      <c r="I76"/>
      <c r="J76"/>
      <c r="K76"/>
      <c r="N76" s="19"/>
      <c r="O76" s="19"/>
      <c r="P76" s="19"/>
      <c r="Q76" s="19"/>
      <c r="R76" s="19"/>
      <c r="W76" s="17"/>
      <c r="X76"/>
      <c r="Y76"/>
      <c r="Z76"/>
      <c r="AA76"/>
      <c r="AB76"/>
    </row>
    <row r="77" spans="1:28" ht="12.75" customHeight="1" x14ac:dyDescent="0.25">
      <c r="A77" s="47" t="s">
        <v>73</v>
      </c>
      <c r="B77" s="56">
        <v>458.00000000000028</v>
      </c>
      <c r="C77" s="56">
        <v>689</v>
      </c>
      <c r="D77" s="56">
        <v>265</v>
      </c>
      <c r="E77" s="41">
        <f>IF(SUM(B77:D77),SUM(B77:D77),"")</f>
        <v>1412.0000000000002</v>
      </c>
      <c r="F77" s="10"/>
      <c r="G77"/>
      <c r="H77"/>
      <c r="I77"/>
      <c r="J77"/>
      <c r="K77"/>
      <c r="N77" s="19"/>
      <c r="O77" s="19"/>
      <c r="P77" s="19"/>
      <c r="Q77" s="19"/>
      <c r="R77" s="19"/>
      <c r="W77" s="17"/>
      <c r="X77"/>
      <c r="Y77"/>
      <c r="Z77"/>
      <c r="AA77"/>
      <c r="AB77"/>
    </row>
    <row r="78" spans="1:28" ht="12.75" customHeight="1" x14ac:dyDescent="0.25">
      <c r="A78" s="48" t="s">
        <v>74</v>
      </c>
      <c r="B78" s="55">
        <v>628.00000000000023</v>
      </c>
      <c r="C78" s="55">
        <v>696</v>
      </c>
      <c r="D78" s="55">
        <v>1245</v>
      </c>
      <c r="E78" s="34">
        <f>IF(SUM(B78:D78),SUM(B78:D78),"")</f>
        <v>2569</v>
      </c>
      <c r="F78" s="10"/>
      <c r="G78"/>
      <c r="H78"/>
      <c r="I78"/>
      <c r="J78"/>
      <c r="K78"/>
      <c r="N78" s="19"/>
      <c r="O78" s="19"/>
      <c r="P78" s="19"/>
      <c r="Q78" s="19"/>
      <c r="R78" s="19"/>
      <c r="W78" s="17"/>
      <c r="X78"/>
      <c r="Y78"/>
      <c r="Z78"/>
      <c r="AA78"/>
      <c r="AB78"/>
    </row>
    <row r="79" spans="1:28" ht="12.75" customHeight="1" x14ac:dyDescent="0.25">
      <c r="A79" s="47" t="s">
        <v>75</v>
      </c>
      <c r="B79" s="56">
        <v>477</v>
      </c>
      <c r="C79" s="56">
        <v>746</v>
      </c>
      <c r="D79" s="56">
        <v>110</v>
      </c>
      <c r="E79" s="41">
        <f>IF(SUM(B79:D79),SUM(B79:D79),"")</f>
        <v>1333</v>
      </c>
      <c r="F79" s="10"/>
      <c r="G79"/>
      <c r="H79"/>
      <c r="I79"/>
      <c r="J79"/>
      <c r="K79"/>
      <c r="N79" s="19"/>
      <c r="O79" s="19"/>
      <c r="P79" s="19"/>
      <c r="Q79" s="19"/>
      <c r="R79" s="19"/>
      <c r="W79" s="17"/>
      <c r="X79"/>
      <c r="Y79"/>
      <c r="Z79"/>
      <c r="AA79"/>
      <c r="AB79"/>
    </row>
    <row r="80" spans="1:28" ht="12.75" customHeight="1" x14ac:dyDescent="0.25">
      <c r="A80" s="48" t="s">
        <v>76</v>
      </c>
      <c r="B80" s="55"/>
      <c r="C80" s="55"/>
      <c r="D80" s="55"/>
      <c r="E80" s="34" t="str">
        <f t="shared" ref="E80:E84" si="21">IF(SUM(B80:D80),SUM(B80:D80),"")</f>
        <v/>
      </c>
      <c r="F80" s="10"/>
      <c r="G80"/>
      <c r="H80"/>
      <c r="I80"/>
      <c r="J80"/>
      <c r="K80"/>
      <c r="N80" s="19"/>
      <c r="O80" s="19"/>
      <c r="P80" s="19"/>
      <c r="Q80" s="19"/>
      <c r="R80" s="19"/>
      <c r="W80" s="17"/>
      <c r="X80"/>
      <c r="Y80"/>
      <c r="Z80"/>
      <c r="AA80"/>
      <c r="AB80"/>
    </row>
    <row r="81" spans="1:5" ht="12.75" customHeight="1" x14ac:dyDescent="0.25">
      <c r="A81" s="47" t="s">
        <v>77</v>
      </c>
      <c r="B81" s="56"/>
      <c r="C81" s="56"/>
      <c r="D81" s="56"/>
      <c r="E81" s="41" t="str">
        <f t="shared" si="21"/>
        <v/>
      </c>
    </row>
    <row r="82" spans="1:5" ht="12.75" customHeight="1" x14ac:dyDescent="0.25">
      <c r="A82" s="48" t="s">
        <v>78</v>
      </c>
      <c r="B82" s="55"/>
      <c r="C82" s="55"/>
      <c r="D82" s="55"/>
      <c r="E82" s="34" t="str">
        <f t="shared" si="21"/>
        <v/>
      </c>
    </row>
    <row r="83" spans="1:5" ht="12.75" customHeight="1" x14ac:dyDescent="0.25">
      <c r="A83" s="47" t="s">
        <v>79</v>
      </c>
      <c r="B83" s="56"/>
      <c r="C83" s="56"/>
      <c r="D83" s="56"/>
      <c r="E83" s="41" t="str">
        <f t="shared" si="21"/>
        <v/>
      </c>
    </row>
    <row r="84" spans="1:5" ht="12.75" customHeight="1" x14ac:dyDescent="0.25">
      <c r="A84" s="48" t="s">
        <v>80</v>
      </c>
      <c r="B84" s="55"/>
      <c r="C84" s="55"/>
      <c r="D84" s="55"/>
      <c r="E84" s="34" t="str">
        <f t="shared" si="21"/>
        <v/>
      </c>
    </row>
    <row r="85" spans="1:5" ht="12.75" customHeight="1" x14ac:dyDescent="0.25">
      <c r="A85" s="47" t="s">
        <v>81</v>
      </c>
      <c r="B85" s="56"/>
      <c r="C85" s="56"/>
      <c r="D85" s="56"/>
      <c r="E85" s="41" t="str">
        <f>IF(SUM(B85:D85),SUM(B85:D85),"")</f>
        <v/>
      </c>
    </row>
    <row r="86" spans="1:5" ht="12.75" customHeight="1" x14ac:dyDescent="0.25">
      <c r="A86" s="45" t="s">
        <v>0</v>
      </c>
      <c r="B86" s="46">
        <f>IF(SUM(B74:B85),SUM(B74:B85),"")</f>
        <v>3151.0000000000009</v>
      </c>
      <c r="C86" s="46">
        <f t="shared" ref="C86:D86" si="22">IF(SUM(C74:C85),SUM(C74:C85),"")</f>
        <v>4061</v>
      </c>
      <c r="D86" s="46">
        <f t="shared" si="22"/>
        <v>3475</v>
      </c>
      <c r="E86" s="46">
        <f>IF(SUM(E74:E85),SUM(E74:E85),"")</f>
        <v>10687</v>
      </c>
    </row>
  </sheetData>
  <mergeCells count="8">
    <mergeCell ref="A72:E72"/>
    <mergeCell ref="K3:K4"/>
    <mergeCell ref="A2:K2"/>
    <mergeCell ref="A3:A4"/>
    <mergeCell ref="B3:D3"/>
    <mergeCell ref="E3:E4"/>
    <mergeCell ref="G3:G4"/>
    <mergeCell ref="H3:J3"/>
  </mergeCells>
  <phoneticPr fontId="0" type="noConversion"/>
  <printOptions horizontalCentered="1"/>
  <pageMargins left="0.27559055118110237" right="0.27559055118110237" top="0.2" bottom="0.31496062992125984" header="0.16" footer="0.51181102362204722"/>
  <pageSetup paperSize="9" scale="66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shapeId="8499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9525</xdr:rowOff>
              </from>
              <to>
                <xdr:col>0</xdr:col>
                <xdr:colOff>942975</xdr:colOff>
                <xdr:row>0</xdr:row>
                <xdr:rowOff>476250</xdr:rowOff>
              </to>
            </anchor>
          </objectPr>
        </oleObject>
      </mc:Choice>
      <mc:Fallback>
        <oleObject shapeId="84995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3"/>
  <dimension ref="A1:S94"/>
  <sheetViews>
    <sheetView showGridLines="0" view="pageBreakPreview" topLeftCell="B13" zoomScale="86" zoomScaleNormal="86" zoomScaleSheetLayoutView="86" workbookViewId="0">
      <selection activeCell="S31" sqref="S31"/>
    </sheetView>
  </sheetViews>
  <sheetFormatPr defaultColWidth="11" defaultRowHeight="12.75" x14ac:dyDescent="0.2"/>
  <cols>
    <col min="1" max="1" width="1.25" style="1" hidden="1" customWidth="1"/>
    <col min="2" max="2" width="10.125" style="1" customWidth="1"/>
    <col min="3" max="14" width="7.5" style="1" customWidth="1"/>
    <col min="15" max="15" width="8" style="1" bestFit="1" customWidth="1"/>
    <col min="16" max="16" width="1.375" style="1" customWidth="1"/>
    <col min="17" max="19" width="11" style="1" customWidth="1"/>
    <col min="20" max="16384" width="11" style="1"/>
  </cols>
  <sheetData>
    <row r="1" spans="1:15" ht="82.5" customHeight="1" x14ac:dyDescent="0.2"/>
    <row r="2" spans="1:15" ht="15" customHeight="1" x14ac:dyDescent="0.2">
      <c r="A2" s="1" t="s">
        <v>221</v>
      </c>
    </row>
    <row r="3" spans="1:15" ht="15" customHeight="1" x14ac:dyDescent="0.2"/>
    <row r="4" spans="1:15" ht="15" customHeight="1" x14ac:dyDescent="0.2"/>
    <row r="5" spans="1:15" ht="15" customHeight="1" thickBot="1" x14ac:dyDescent="0.25"/>
    <row r="6" spans="1:15" ht="19.5" customHeight="1" thickBot="1" x14ac:dyDescent="0.25">
      <c r="B6" s="198" t="s">
        <v>227</v>
      </c>
      <c r="C6" s="198"/>
      <c r="D6" s="198"/>
      <c r="E6" s="198"/>
      <c r="F6" s="198"/>
      <c r="G6" s="198"/>
      <c r="H6" s="198"/>
      <c r="I6" s="198"/>
      <c r="J6" s="198"/>
      <c r="K6" s="198"/>
      <c r="L6" s="198"/>
      <c r="M6" s="198"/>
      <c r="N6" s="198"/>
      <c r="O6" s="198"/>
    </row>
    <row r="7" spans="1:15" ht="18" customHeight="1" thickBot="1" x14ac:dyDescent="0.25">
      <c r="B7" s="199" t="s">
        <v>69</v>
      </c>
      <c r="C7" s="201" t="s">
        <v>165</v>
      </c>
      <c r="D7" s="202"/>
      <c r="E7" s="202"/>
      <c r="F7" s="203"/>
      <c r="G7" s="201" t="s">
        <v>166</v>
      </c>
      <c r="H7" s="202"/>
      <c r="I7" s="202"/>
      <c r="J7" s="203"/>
      <c r="K7" s="201" t="s">
        <v>213</v>
      </c>
      <c r="L7" s="202"/>
      <c r="M7" s="202"/>
      <c r="N7" s="203"/>
      <c r="O7" s="204" t="s">
        <v>0</v>
      </c>
    </row>
    <row r="8" spans="1:15" ht="17.25" customHeight="1" thickBot="1" x14ac:dyDescent="0.25">
      <c r="B8" s="200"/>
      <c r="C8" s="42" t="s">
        <v>94</v>
      </c>
      <c r="D8" s="43" t="s">
        <v>95</v>
      </c>
      <c r="E8" s="43" t="s">
        <v>96</v>
      </c>
      <c r="F8" s="44" t="s">
        <v>105</v>
      </c>
      <c r="G8" s="42" t="s">
        <v>102</v>
      </c>
      <c r="H8" s="43" t="s">
        <v>104</v>
      </c>
      <c r="I8" s="57" t="s">
        <v>106</v>
      </c>
      <c r="J8" s="49" t="s">
        <v>103</v>
      </c>
      <c r="K8" s="42" t="s">
        <v>214</v>
      </c>
      <c r="L8" s="43" t="s">
        <v>215</v>
      </c>
      <c r="M8" s="43" t="s">
        <v>216</v>
      </c>
      <c r="N8" s="43" t="s">
        <v>217</v>
      </c>
      <c r="O8" s="205"/>
    </row>
    <row r="9" spans="1:15" x14ac:dyDescent="0.2">
      <c r="B9" s="48" t="s">
        <v>70</v>
      </c>
      <c r="C9" s="55">
        <v>50</v>
      </c>
      <c r="D9" s="55">
        <v>130.99999999999997</v>
      </c>
      <c r="E9" s="55">
        <v>167.99999999999997</v>
      </c>
      <c r="F9" s="55">
        <v>71</v>
      </c>
      <c r="G9" s="55">
        <v>421</v>
      </c>
      <c r="H9" s="55"/>
      <c r="I9" s="55"/>
      <c r="J9" s="55">
        <v>1</v>
      </c>
      <c r="K9" s="55">
        <v>69</v>
      </c>
      <c r="L9" s="55">
        <v>5</v>
      </c>
      <c r="M9" s="55">
        <v>265</v>
      </c>
      <c r="N9" s="55">
        <v>732</v>
      </c>
      <c r="O9" s="34">
        <f>IF(SUM(C9:N9),SUM(C9:N9),"")</f>
        <v>1913</v>
      </c>
    </row>
    <row r="10" spans="1:15" x14ac:dyDescent="0.2">
      <c r="B10" s="47" t="s">
        <v>71</v>
      </c>
      <c r="C10" s="56">
        <v>5</v>
      </c>
      <c r="D10" s="56">
        <v>397</v>
      </c>
      <c r="E10" s="56">
        <v>157.00000000000003</v>
      </c>
      <c r="F10" s="56">
        <v>5</v>
      </c>
      <c r="G10" s="56">
        <v>126</v>
      </c>
      <c r="H10" s="56"/>
      <c r="I10" s="56"/>
      <c r="J10" s="56">
        <v>348</v>
      </c>
      <c r="K10" s="56">
        <v>89.000000000000014</v>
      </c>
      <c r="L10" s="56"/>
      <c r="M10" s="56">
        <v>14</v>
      </c>
      <c r="N10" s="56">
        <v>154</v>
      </c>
      <c r="O10" s="41">
        <f t="shared" ref="O10:O20" si="0">IF(SUM(C10:N10),SUM(C10:N10),"")</f>
        <v>1295</v>
      </c>
    </row>
    <row r="11" spans="1:15" x14ac:dyDescent="0.2">
      <c r="B11" s="48" t="s">
        <v>72</v>
      </c>
      <c r="C11" s="55">
        <v>7</v>
      </c>
      <c r="D11" s="55">
        <v>218.99999999999997</v>
      </c>
      <c r="E11" s="55">
        <v>89.000000000000014</v>
      </c>
      <c r="F11" s="55">
        <v>24</v>
      </c>
      <c r="G11" s="55">
        <v>452</v>
      </c>
      <c r="H11" s="55"/>
      <c r="I11" s="55"/>
      <c r="J11" s="55">
        <v>767</v>
      </c>
      <c r="K11" s="55">
        <v>125.00000000000001</v>
      </c>
      <c r="L11" s="55"/>
      <c r="M11" s="55">
        <v>78</v>
      </c>
      <c r="N11" s="55">
        <v>403.99999999999994</v>
      </c>
      <c r="O11" s="34">
        <f>IF(SUM(C11:N11),SUM(C11:N11),"")</f>
        <v>2165</v>
      </c>
    </row>
    <row r="12" spans="1:15" x14ac:dyDescent="0.2">
      <c r="B12" s="47" t="s">
        <v>73</v>
      </c>
      <c r="C12" s="56">
        <v>9</v>
      </c>
      <c r="D12" s="56">
        <v>157.00000000000003</v>
      </c>
      <c r="E12" s="56">
        <v>307</v>
      </c>
      <c r="F12" s="56">
        <v>9</v>
      </c>
      <c r="G12" s="56">
        <v>306</v>
      </c>
      <c r="H12" s="56"/>
      <c r="I12" s="56"/>
      <c r="J12" s="56">
        <v>68</v>
      </c>
      <c r="K12" s="56">
        <v>119.00000000000001</v>
      </c>
      <c r="L12" s="56"/>
      <c r="M12" s="56">
        <v>12</v>
      </c>
      <c r="N12" s="56">
        <v>424.99999999999994</v>
      </c>
      <c r="O12" s="41">
        <f>IF(SUM(C12:N12),SUM(C12:N12),"")</f>
        <v>1412</v>
      </c>
    </row>
    <row r="13" spans="1:15" x14ac:dyDescent="0.2">
      <c r="B13" s="48" t="s">
        <v>74</v>
      </c>
      <c r="C13" s="55">
        <v>9</v>
      </c>
      <c r="D13" s="55">
        <v>242.00000000000009</v>
      </c>
      <c r="E13" s="55">
        <v>387.00000000000006</v>
      </c>
      <c r="F13" s="55">
        <v>4</v>
      </c>
      <c r="G13" s="55">
        <v>354</v>
      </c>
      <c r="H13" s="55"/>
      <c r="I13" s="55"/>
      <c r="J13" s="55">
        <v>284</v>
      </c>
      <c r="K13" s="55">
        <v>155.00000000000009</v>
      </c>
      <c r="L13" s="55">
        <v>414</v>
      </c>
      <c r="M13" s="55">
        <v>39.999999999999993</v>
      </c>
      <c r="N13" s="55">
        <v>679.99999999999989</v>
      </c>
      <c r="O13" s="34">
        <f>IF(SUM(C13:N13),SUM(C13:N13),"")</f>
        <v>2569</v>
      </c>
    </row>
    <row r="14" spans="1:15" x14ac:dyDescent="0.2">
      <c r="B14" s="47" t="s">
        <v>75</v>
      </c>
      <c r="C14" s="56">
        <v>5</v>
      </c>
      <c r="D14" s="56">
        <v>203</v>
      </c>
      <c r="E14" s="56">
        <v>85</v>
      </c>
      <c r="F14" s="56">
        <v>107</v>
      </c>
      <c r="G14" s="56">
        <v>247</v>
      </c>
      <c r="H14" s="56"/>
      <c r="I14" s="56"/>
      <c r="J14" s="56">
        <v>18</v>
      </c>
      <c r="K14" s="56">
        <v>131</v>
      </c>
      <c r="L14" s="56"/>
      <c r="M14" s="56">
        <v>145</v>
      </c>
      <c r="N14" s="56">
        <v>392.00000000000006</v>
      </c>
      <c r="O14" s="41">
        <f>IF(SUM(C14:N14),SUM(C14:N14),"")</f>
        <v>1333</v>
      </c>
    </row>
    <row r="15" spans="1:15" x14ac:dyDescent="0.2">
      <c r="B15" s="48" t="s">
        <v>76</v>
      </c>
      <c r="C15" s="90"/>
      <c r="D15" s="90"/>
      <c r="E15" s="90"/>
      <c r="F15" s="90"/>
      <c r="G15" s="90"/>
      <c r="H15" s="90"/>
      <c r="I15" s="90"/>
      <c r="J15" s="55"/>
      <c r="K15" s="90"/>
      <c r="L15" s="90"/>
      <c r="M15" s="90"/>
      <c r="N15" s="55"/>
      <c r="O15" s="34" t="str">
        <f>IF(SUM(C15:N15),SUM(C15:N15),"")</f>
        <v/>
      </c>
    </row>
    <row r="16" spans="1:15" x14ac:dyDescent="0.2">
      <c r="B16" s="47" t="s">
        <v>77</v>
      </c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41" t="str">
        <f t="shared" si="0"/>
        <v/>
      </c>
    </row>
    <row r="17" spans="2:18" x14ac:dyDescent="0.2">
      <c r="B17" s="48" t="s">
        <v>78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34" t="str">
        <f>IF(SUM(C17:N17),SUM(C17:N17),"")</f>
        <v/>
      </c>
    </row>
    <row r="18" spans="2:18" x14ac:dyDescent="0.2">
      <c r="B18" s="47" t="s">
        <v>79</v>
      </c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41" t="str">
        <f t="shared" si="0"/>
        <v/>
      </c>
    </row>
    <row r="19" spans="2:18" x14ac:dyDescent="0.2">
      <c r="B19" s="48" t="s">
        <v>80</v>
      </c>
      <c r="C19" s="62"/>
      <c r="D19" s="62"/>
      <c r="E19" s="62"/>
      <c r="F19" s="62"/>
      <c r="G19" s="55"/>
      <c r="H19" s="62"/>
      <c r="I19" s="62"/>
      <c r="J19" s="55"/>
      <c r="K19" s="55"/>
      <c r="L19" s="62"/>
      <c r="M19" s="62"/>
      <c r="N19" s="55"/>
      <c r="O19" s="34" t="str">
        <f t="shared" si="0"/>
        <v/>
      </c>
    </row>
    <row r="20" spans="2:18" x14ac:dyDescent="0.2">
      <c r="B20" s="47" t="s">
        <v>81</v>
      </c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41" t="str">
        <f t="shared" si="0"/>
        <v/>
      </c>
    </row>
    <row r="21" spans="2:18" ht="18" customHeight="1" x14ac:dyDescent="0.2">
      <c r="B21" s="45" t="s">
        <v>0</v>
      </c>
      <c r="C21" s="46">
        <f t="shared" ref="C21:O21" si="1">IF(SUM(C9:C20),SUM(C9:C20),"")</f>
        <v>85</v>
      </c>
      <c r="D21" s="46">
        <f t="shared" si="1"/>
        <v>1349</v>
      </c>
      <c r="E21" s="46">
        <f t="shared" si="1"/>
        <v>1193</v>
      </c>
      <c r="F21" s="46">
        <f t="shared" si="1"/>
        <v>220</v>
      </c>
      <c r="G21" s="46">
        <f t="shared" si="1"/>
        <v>1906</v>
      </c>
      <c r="H21" s="46" t="str">
        <f t="shared" si="1"/>
        <v/>
      </c>
      <c r="I21" s="46" t="str">
        <f t="shared" si="1"/>
        <v/>
      </c>
      <c r="J21" s="46">
        <f t="shared" si="1"/>
        <v>1486</v>
      </c>
      <c r="K21" s="46">
        <f t="shared" si="1"/>
        <v>688.00000000000011</v>
      </c>
      <c r="L21" s="46">
        <f t="shared" si="1"/>
        <v>419</v>
      </c>
      <c r="M21" s="46">
        <f t="shared" si="1"/>
        <v>554</v>
      </c>
      <c r="N21" s="46">
        <f t="shared" si="1"/>
        <v>2787</v>
      </c>
      <c r="O21" s="63">
        <f t="shared" si="1"/>
        <v>10687</v>
      </c>
    </row>
    <row r="22" spans="2:18" ht="6" customHeight="1" thickBot="1" x14ac:dyDescent="0.25"/>
    <row r="23" spans="2:18" ht="19.5" customHeight="1" thickBot="1" x14ac:dyDescent="0.25">
      <c r="B23" s="198" t="s">
        <v>228</v>
      </c>
      <c r="C23" s="198"/>
      <c r="D23" s="198"/>
      <c r="E23" s="198"/>
      <c r="F23" s="198"/>
      <c r="G23" s="198"/>
      <c r="H23" s="198"/>
      <c r="I23" s="198"/>
      <c r="J23" s="198"/>
      <c r="K23" s="198"/>
      <c r="L23" s="198"/>
      <c r="M23" s="198"/>
      <c r="N23" s="198"/>
      <c r="O23" s="198"/>
    </row>
    <row r="24" spans="2:18" ht="18" customHeight="1" thickBot="1" x14ac:dyDescent="0.25">
      <c r="B24" s="199" t="s">
        <v>69</v>
      </c>
      <c r="C24" s="201" t="s">
        <v>165</v>
      </c>
      <c r="D24" s="202"/>
      <c r="E24" s="202"/>
      <c r="F24" s="203"/>
      <c r="G24" s="201" t="s">
        <v>166</v>
      </c>
      <c r="H24" s="202"/>
      <c r="I24" s="202"/>
      <c r="J24" s="203"/>
      <c r="K24" s="201" t="s">
        <v>213</v>
      </c>
      <c r="L24" s="202"/>
      <c r="M24" s="202"/>
      <c r="N24" s="203"/>
      <c r="O24" s="204" t="s">
        <v>0</v>
      </c>
    </row>
    <row r="25" spans="2:18" ht="18" customHeight="1" thickBot="1" x14ac:dyDescent="0.25">
      <c r="B25" s="200"/>
      <c r="C25" s="42" t="s">
        <v>94</v>
      </c>
      <c r="D25" s="43" t="s">
        <v>95</v>
      </c>
      <c r="E25" s="43" t="s">
        <v>96</v>
      </c>
      <c r="F25" s="44" t="s">
        <v>105</v>
      </c>
      <c r="G25" s="42" t="s">
        <v>102</v>
      </c>
      <c r="H25" s="43" t="s">
        <v>104</v>
      </c>
      <c r="I25" s="57" t="s">
        <v>106</v>
      </c>
      <c r="J25" s="49" t="s">
        <v>103</v>
      </c>
      <c r="K25" s="42" t="s">
        <v>214</v>
      </c>
      <c r="L25" s="43" t="s">
        <v>215</v>
      </c>
      <c r="M25" s="43" t="s">
        <v>216</v>
      </c>
      <c r="N25" s="43" t="s">
        <v>217</v>
      </c>
      <c r="O25" s="205"/>
    </row>
    <row r="26" spans="2:18" x14ac:dyDescent="0.2">
      <c r="B26" s="48" t="s">
        <v>70</v>
      </c>
      <c r="C26" s="55">
        <v>15927.32</v>
      </c>
      <c r="D26" s="55">
        <v>17478.439999999999</v>
      </c>
      <c r="E26" s="55">
        <v>37468.350000000013</v>
      </c>
      <c r="F26" s="55">
        <v>6484.67</v>
      </c>
      <c r="G26" s="55">
        <v>47214.509999999995</v>
      </c>
      <c r="H26" s="55"/>
      <c r="I26" s="55"/>
      <c r="J26" s="55">
        <v>1</v>
      </c>
      <c r="K26" s="55">
        <v>5341.4700000000012</v>
      </c>
      <c r="L26" s="55">
        <v>666.01</v>
      </c>
      <c r="M26" s="55">
        <v>27610.410000000003</v>
      </c>
      <c r="N26" s="55">
        <v>63104.12000000001</v>
      </c>
      <c r="O26" s="34">
        <f>IF(SUM(C26:N26),SUM(C26:N26),"")</f>
        <v>221296.3</v>
      </c>
      <c r="Q26" s="13"/>
    </row>
    <row r="27" spans="2:18" x14ac:dyDescent="0.2">
      <c r="B27" s="47" t="s">
        <v>71</v>
      </c>
      <c r="C27" s="56">
        <v>1680.2399999999998</v>
      </c>
      <c r="D27" s="56">
        <v>18469.250000000007</v>
      </c>
      <c r="E27" s="56">
        <v>31051.150000000016</v>
      </c>
      <c r="F27" s="56">
        <v>738.7</v>
      </c>
      <c r="G27" s="56">
        <v>8929.99</v>
      </c>
      <c r="H27" s="56"/>
      <c r="I27" s="56"/>
      <c r="J27" s="56">
        <v>31206.86</v>
      </c>
      <c r="K27" s="56">
        <v>6358.17</v>
      </c>
      <c r="L27" s="56"/>
      <c r="M27" s="56">
        <v>2944.2700000000009</v>
      </c>
      <c r="N27" s="56">
        <v>11335.490000000002</v>
      </c>
      <c r="O27" s="41">
        <f t="shared" ref="O27:O37" si="2">IF(SUM(C27:N27),SUM(C27:N27),"")</f>
        <v>112714.12000000002</v>
      </c>
      <c r="R27" s="69"/>
    </row>
    <row r="28" spans="2:18" x14ac:dyDescent="0.2">
      <c r="B28" s="48" t="s">
        <v>72</v>
      </c>
      <c r="C28" s="55">
        <v>1756.56</v>
      </c>
      <c r="D28" s="55">
        <v>25149.86</v>
      </c>
      <c r="E28" s="55">
        <v>9786.619999999999</v>
      </c>
      <c r="F28" s="55">
        <v>1325.24</v>
      </c>
      <c r="G28" s="55">
        <v>46220.77</v>
      </c>
      <c r="H28" s="55"/>
      <c r="I28" s="55"/>
      <c r="J28" s="55">
        <v>34980.519999999997</v>
      </c>
      <c r="K28" s="55">
        <v>8212.0200000000023</v>
      </c>
      <c r="L28" s="55"/>
      <c r="M28" s="55">
        <v>5788.09</v>
      </c>
      <c r="N28" s="55">
        <v>21420.579999999998</v>
      </c>
      <c r="O28" s="34">
        <f t="shared" si="2"/>
        <v>154640.25999999998</v>
      </c>
      <c r="P28" s="3"/>
      <c r="R28" s="69"/>
    </row>
    <row r="29" spans="2:18" x14ac:dyDescent="0.2">
      <c r="B29" s="47" t="s">
        <v>73</v>
      </c>
      <c r="C29" s="56">
        <v>1277.77</v>
      </c>
      <c r="D29" s="56">
        <v>23027.260000000006</v>
      </c>
      <c r="E29" s="56">
        <v>15746.120000000003</v>
      </c>
      <c r="F29" s="56">
        <v>897.86000000000013</v>
      </c>
      <c r="G29" s="56">
        <v>24303.59</v>
      </c>
      <c r="H29" s="56"/>
      <c r="I29" s="56"/>
      <c r="J29" s="56">
        <v>2782.08</v>
      </c>
      <c r="K29" s="56">
        <v>8182.43</v>
      </c>
      <c r="L29" s="56"/>
      <c r="M29" s="56">
        <v>1989.23</v>
      </c>
      <c r="N29" s="56">
        <v>31304.81</v>
      </c>
      <c r="O29" s="41">
        <f t="shared" si="2"/>
        <v>109511.15000000001</v>
      </c>
      <c r="R29" s="69"/>
    </row>
    <row r="30" spans="2:18" x14ac:dyDescent="0.2">
      <c r="B30" s="48" t="s">
        <v>74</v>
      </c>
      <c r="C30" s="55">
        <v>850.96999999999991</v>
      </c>
      <c r="D30" s="55">
        <v>29947.049999999996</v>
      </c>
      <c r="E30" s="55">
        <v>47226.649999999994</v>
      </c>
      <c r="F30" s="55">
        <v>364.59</v>
      </c>
      <c r="G30" s="55">
        <v>24210.25</v>
      </c>
      <c r="H30" s="55"/>
      <c r="I30" s="55"/>
      <c r="J30" s="55">
        <v>12963.85</v>
      </c>
      <c r="K30" s="55">
        <v>10523.730000000005</v>
      </c>
      <c r="L30" s="55">
        <v>18338.43</v>
      </c>
      <c r="M30" s="55">
        <v>3434.05</v>
      </c>
      <c r="N30" s="55">
        <v>24885.030000000002</v>
      </c>
      <c r="O30" s="34">
        <f t="shared" si="2"/>
        <v>172744.59999999998</v>
      </c>
      <c r="P30" s="3"/>
      <c r="R30" s="69"/>
    </row>
    <row r="31" spans="2:18" x14ac:dyDescent="0.2">
      <c r="B31" s="47" t="s">
        <v>75</v>
      </c>
      <c r="C31" s="56">
        <v>978.05</v>
      </c>
      <c r="D31" s="56">
        <v>19552.41</v>
      </c>
      <c r="E31" s="56">
        <v>8172.38</v>
      </c>
      <c r="F31" s="56">
        <v>2834.9500000000003</v>
      </c>
      <c r="G31" s="56">
        <v>16780.969999999998</v>
      </c>
      <c r="H31" s="56"/>
      <c r="I31" s="56"/>
      <c r="J31" s="56">
        <v>7113.67</v>
      </c>
      <c r="K31" s="56">
        <v>10418.519999999993</v>
      </c>
      <c r="L31" s="56"/>
      <c r="M31" s="56">
        <v>10165.359999999999</v>
      </c>
      <c r="N31" s="56">
        <v>38079.51999999999</v>
      </c>
      <c r="O31" s="41">
        <f t="shared" si="2"/>
        <v>114095.82999999997</v>
      </c>
      <c r="R31" s="69"/>
    </row>
    <row r="32" spans="2:18" x14ac:dyDescent="0.2">
      <c r="B32" s="48" t="s">
        <v>76</v>
      </c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34" t="str">
        <f t="shared" si="2"/>
        <v/>
      </c>
      <c r="R32" s="69"/>
    </row>
    <row r="33" spans="2:19" x14ac:dyDescent="0.2">
      <c r="B33" s="47" t="s">
        <v>77</v>
      </c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41" t="str">
        <f t="shared" si="2"/>
        <v/>
      </c>
      <c r="R33" s="61"/>
      <c r="S33" s="61"/>
    </row>
    <row r="34" spans="2:19" x14ac:dyDescent="0.2">
      <c r="B34" s="48" t="s">
        <v>78</v>
      </c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34" t="str">
        <f t="shared" si="2"/>
        <v/>
      </c>
      <c r="R34" s="61"/>
      <c r="S34" s="61"/>
    </row>
    <row r="35" spans="2:19" x14ac:dyDescent="0.2">
      <c r="B35" s="47" t="s">
        <v>79</v>
      </c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41" t="str">
        <f t="shared" si="2"/>
        <v/>
      </c>
    </row>
    <row r="36" spans="2:19" x14ac:dyDescent="0.2">
      <c r="B36" s="48" t="s">
        <v>80</v>
      </c>
      <c r="C36" s="62"/>
      <c r="D36" s="62"/>
      <c r="E36" s="62"/>
      <c r="F36" s="62"/>
      <c r="G36" s="55"/>
      <c r="H36" s="62"/>
      <c r="I36" s="62"/>
      <c r="J36" s="55"/>
      <c r="K36" s="55"/>
      <c r="L36" s="62"/>
      <c r="M36" s="62"/>
      <c r="N36" s="55"/>
      <c r="O36" s="34" t="str">
        <f t="shared" si="2"/>
        <v/>
      </c>
      <c r="R36" s="91"/>
      <c r="S36" s="61"/>
    </row>
    <row r="37" spans="2:19" x14ac:dyDescent="0.2">
      <c r="B37" s="47" t="s">
        <v>81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41" t="str">
        <f t="shared" si="2"/>
        <v/>
      </c>
      <c r="R37" s="61"/>
      <c r="S37" s="61"/>
    </row>
    <row r="38" spans="2:19" ht="18" customHeight="1" x14ac:dyDescent="0.2">
      <c r="B38" s="45" t="s">
        <v>0</v>
      </c>
      <c r="C38" s="46">
        <f t="shared" ref="C38:P38" si="3">IF(SUM(C26:C37),SUM(C26:C37),"")</f>
        <v>22470.91</v>
      </c>
      <c r="D38" s="46">
        <f t="shared" si="3"/>
        <v>133624.27000000002</v>
      </c>
      <c r="E38" s="46">
        <f t="shared" si="3"/>
        <v>149451.27000000002</v>
      </c>
      <c r="F38" s="46">
        <f t="shared" si="3"/>
        <v>12646.010000000002</v>
      </c>
      <c r="G38" s="46">
        <f t="shared" si="3"/>
        <v>167660.07999999999</v>
      </c>
      <c r="H38" s="46" t="str">
        <f t="shared" si="3"/>
        <v/>
      </c>
      <c r="I38" s="46" t="str">
        <f t="shared" si="3"/>
        <v/>
      </c>
      <c r="J38" s="46">
        <f t="shared" si="3"/>
        <v>89047.98000000001</v>
      </c>
      <c r="K38" s="46">
        <f t="shared" si="3"/>
        <v>49036.34</v>
      </c>
      <c r="L38" s="46">
        <f t="shared" si="3"/>
        <v>19004.439999999999</v>
      </c>
      <c r="M38" s="46">
        <f t="shared" si="3"/>
        <v>51931.410000000011</v>
      </c>
      <c r="N38" s="46">
        <f t="shared" si="3"/>
        <v>190129.55000000002</v>
      </c>
      <c r="O38" s="46">
        <f t="shared" si="3"/>
        <v>885002.26</v>
      </c>
      <c r="P38" s="68" t="str">
        <f t="shared" si="3"/>
        <v/>
      </c>
      <c r="R38" s="61"/>
      <c r="S38" s="61"/>
    </row>
    <row r="39" spans="2:19" x14ac:dyDescent="0.2"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2:19" x14ac:dyDescent="0.2"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2:19" x14ac:dyDescent="0.2">
      <c r="B41" s="14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spans="2:19" x14ac:dyDescent="0.2">
      <c r="B42" s="14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spans="2:19" x14ac:dyDescent="0.2">
      <c r="B43" s="14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spans="2:19" x14ac:dyDescent="0.2">
      <c r="B44" s="14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spans="2:19" x14ac:dyDescent="0.2">
      <c r="B45" s="14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spans="2:19" x14ac:dyDescent="0.2">
      <c r="B46" s="14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</row>
    <row r="47" spans="2:19" x14ac:dyDescent="0.2">
      <c r="B47" s="1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2:19" x14ac:dyDescent="0.2">
      <c r="B48" s="14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 spans="2:15" x14ac:dyDescent="0.2">
      <c r="B49" s="14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</row>
    <row r="50" spans="2:15" x14ac:dyDescent="0.2">
      <c r="B50" s="14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spans="2:15" x14ac:dyDescent="0.2">
      <c r="B51" s="14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2:15" x14ac:dyDescent="0.2">
      <c r="B52" s="14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spans="2:15" x14ac:dyDescent="0.2">
      <c r="B53" s="14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</row>
    <row r="54" spans="2:15" x14ac:dyDescent="0.2">
      <c r="B54" s="14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</row>
    <row r="55" spans="2:15" ht="2.25" customHeight="1" x14ac:dyDescent="0.2">
      <c r="B55" s="14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</row>
    <row r="56" spans="2:15" x14ac:dyDescent="0.2">
      <c r="B56" s="14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</row>
    <row r="57" spans="2:15" x14ac:dyDescent="0.2">
      <c r="B57" s="14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</row>
    <row r="58" spans="2:15" x14ac:dyDescent="0.2">
      <c r="B58" s="14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  <row r="59" spans="2:15" x14ac:dyDescent="0.2">
      <c r="B59" s="14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spans="2:15" x14ac:dyDescent="0.2">
      <c r="B60" s="14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 spans="2:15" x14ac:dyDescent="0.2">
      <c r="B61" s="14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2:15" x14ac:dyDescent="0.2">
      <c r="B62" s="14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</row>
    <row r="63" spans="2:15" x14ac:dyDescent="0.2">
      <c r="B63" s="14" t="s">
        <v>163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 spans="2:15" x14ac:dyDescent="0.2">
      <c r="B64" s="16" t="s">
        <v>144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</row>
    <row r="65" spans="2:16" ht="13.5" x14ac:dyDescent="0.2">
      <c r="B65" s="58" t="s">
        <v>219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</row>
    <row r="66" spans="2:16" ht="13.5" x14ac:dyDescent="0.2">
      <c r="B66" s="58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</row>
    <row r="67" spans="2:16" ht="13.5" x14ac:dyDescent="0.2">
      <c r="B67" s="58"/>
      <c r="P67" s="1">
        <v>7</v>
      </c>
    </row>
    <row r="73" spans="2:16" x14ac:dyDescent="0.2">
      <c r="C73" s="22"/>
      <c r="D73" s="22"/>
      <c r="E73" s="22"/>
    </row>
    <row r="82" spans="2:12" s="61" customFormat="1" x14ac:dyDescent="0.2">
      <c r="B82" s="64" t="s">
        <v>94</v>
      </c>
      <c r="C82" s="93">
        <f>C21</f>
        <v>85</v>
      </c>
      <c r="D82" s="94">
        <f t="shared" ref="D82:D93" si="4">C82/$C$94</f>
        <v>7.9535884719752967E-3</v>
      </c>
      <c r="E82" s="64" t="s">
        <v>94</v>
      </c>
      <c r="F82" s="93">
        <f>C38</f>
        <v>22470.91</v>
      </c>
      <c r="G82" s="94">
        <f t="shared" ref="G82:G93" si="5">F82/$F$94</f>
        <v>2.5390793917294627E-2</v>
      </c>
      <c r="H82" s="93"/>
      <c r="I82" s="93"/>
      <c r="J82" s="93"/>
    </row>
    <row r="83" spans="2:12" s="61" customFormat="1" x14ac:dyDescent="0.2">
      <c r="B83" s="64" t="s">
        <v>95</v>
      </c>
      <c r="C83" s="93">
        <f>D21</f>
        <v>1349</v>
      </c>
      <c r="D83" s="94">
        <f t="shared" si="4"/>
        <v>0.12622812763170208</v>
      </c>
      <c r="E83" s="64" t="s">
        <v>95</v>
      </c>
      <c r="F83" s="93">
        <f>D38</f>
        <v>133624.27000000002</v>
      </c>
      <c r="G83" s="94">
        <f t="shared" si="5"/>
        <v>0.15098749013364104</v>
      </c>
      <c r="H83" s="93"/>
      <c r="I83" s="93"/>
      <c r="J83" s="93"/>
    </row>
    <row r="84" spans="2:12" s="61" customFormat="1" x14ac:dyDescent="0.2">
      <c r="B84" s="64" t="s">
        <v>96</v>
      </c>
      <c r="C84" s="93">
        <f>E21</f>
        <v>1193</v>
      </c>
      <c r="D84" s="94">
        <f t="shared" si="4"/>
        <v>0.11163095349490035</v>
      </c>
      <c r="E84" s="64" t="s">
        <v>96</v>
      </c>
      <c r="F84" s="93">
        <f>E38</f>
        <v>149451.27000000002</v>
      </c>
      <c r="G84" s="94">
        <f t="shared" si="5"/>
        <v>0.16887106028407206</v>
      </c>
      <c r="H84" s="93"/>
      <c r="I84" s="93"/>
      <c r="J84" s="93"/>
    </row>
    <row r="85" spans="2:12" s="61" customFormat="1" x14ac:dyDescent="0.2">
      <c r="B85" s="64" t="s">
        <v>152</v>
      </c>
      <c r="C85" s="93">
        <f>F21</f>
        <v>220</v>
      </c>
      <c r="D85" s="94">
        <f t="shared" si="4"/>
        <v>2.0585758398053711E-2</v>
      </c>
      <c r="E85" s="64" t="s">
        <v>152</v>
      </c>
      <c r="F85" s="93">
        <f>F38</f>
        <v>12646.010000000002</v>
      </c>
      <c r="G85" s="94">
        <f t="shared" si="5"/>
        <v>1.42892403461207E-2</v>
      </c>
      <c r="H85" s="93"/>
      <c r="I85" s="93"/>
      <c r="J85" s="93"/>
    </row>
    <row r="86" spans="2:12" s="61" customFormat="1" x14ac:dyDescent="0.2">
      <c r="B86" s="64" t="s">
        <v>104</v>
      </c>
      <c r="C86" s="93">
        <f>G21</f>
        <v>1906</v>
      </c>
      <c r="D86" s="94">
        <f t="shared" si="4"/>
        <v>0.17834752503041079</v>
      </c>
      <c r="E86" s="64" t="s">
        <v>104</v>
      </c>
      <c r="F86" s="93">
        <f>G38</f>
        <v>167660.07999999999</v>
      </c>
      <c r="G86" s="94">
        <f t="shared" si="5"/>
        <v>0.18944593429625817</v>
      </c>
      <c r="H86" s="93"/>
      <c r="I86" s="93"/>
      <c r="J86" s="93"/>
    </row>
    <row r="87" spans="2:12" s="61" customFormat="1" x14ac:dyDescent="0.2">
      <c r="B87" s="64" t="s">
        <v>102</v>
      </c>
      <c r="C87" s="93" t="str">
        <f>H21</f>
        <v/>
      </c>
      <c r="D87" s="94" t="e">
        <f t="shared" si="4"/>
        <v>#VALUE!</v>
      </c>
      <c r="E87" s="64" t="s">
        <v>102</v>
      </c>
      <c r="F87" s="93" t="str">
        <f>H38</f>
        <v/>
      </c>
      <c r="G87" s="94" t="e">
        <f t="shared" si="5"/>
        <v>#VALUE!</v>
      </c>
      <c r="H87" s="93"/>
      <c r="I87" s="93"/>
      <c r="J87" s="93"/>
    </row>
    <row r="88" spans="2:12" s="61" customFormat="1" x14ac:dyDescent="0.2">
      <c r="B88" s="64" t="s">
        <v>151</v>
      </c>
      <c r="C88" s="93" t="str">
        <f>I21</f>
        <v/>
      </c>
      <c r="D88" s="94" t="e">
        <f t="shared" si="4"/>
        <v>#VALUE!</v>
      </c>
      <c r="E88" s="64" t="s">
        <v>151</v>
      </c>
      <c r="F88" s="93" t="str">
        <f>I38</f>
        <v/>
      </c>
      <c r="G88" s="94" t="e">
        <f t="shared" si="5"/>
        <v>#VALUE!</v>
      </c>
      <c r="H88" s="93"/>
      <c r="I88" s="93"/>
      <c r="J88" s="93"/>
    </row>
    <row r="89" spans="2:12" s="61" customFormat="1" x14ac:dyDescent="0.2">
      <c r="B89" s="64" t="s">
        <v>103</v>
      </c>
      <c r="C89" s="93">
        <f>J21</f>
        <v>1486</v>
      </c>
      <c r="D89" s="94">
        <f t="shared" si="4"/>
        <v>0.13904744081594461</v>
      </c>
      <c r="E89" s="64" t="s">
        <v>103</v>
      </c>
      <c r="F89" s="93">
        <f>J38</f>
        <v>89047.98000000001</v>
      </c>
      <c r="G89" s="94">
        <f t="shared" si="5"/>
        <v>0.10061892949290323</v>
      </c>
      <c r="H89" s="93"/>
      <c r="I89" s="93"/>
      <c r="J89" s="93"/>
    </row>
    <row r="90" spans="2:12" s="61" customFormat="1" x14ac:dyDescent="0.2">
      <c r="B90" s="64" t="s">
        <v>214</v>
      </c>
      <c r="C90" s="93">
        <f>K21</f>
        <v>688.00000000000011</v>
      </c>
      <c r="D90" s="94">
        <f t="shared" si="4"/>
        <v>6.4377280808458892E-2</v>
      </c>
      <c r="E90" s="64" t="s">
        <v>214</v>
      </c>
      <c r="F90" s="93">
        <f>K38</f>
        <v>49036.34</v>
      </c>
      <c r="G90" s="94">
        <f t="shared" si="5"/>
        <v>5.540815229104612E-2</v>
      </c>
      <c r="H90" s="93"/>
      <c r="I90" s="93"/>
      <c r="J90" s="93"/>
      <c r="K90" s="2"/>
    </row>
    <row r="91" spans="2:12" s="61" customFormat="1" x14ac:dyDescent="0.2">
      <c r="B91" s="64" t="s">
        <v>215</v>
      </c>
      <c r="C91" s="93">
        <f>L21</f>
        <v>419</v>
      </c>
      <c r="D91" s="94">
        <f t="shared" si="4"/>
        <v>3.9206512585384108E-2</v>
      </c>
      <c r="E91" s="64" t="s">
        <v>215</v>
      </c>
      <c r="F91" s="93">
        <f>L38</f>
        <v>19004.439999999999</v>
      </c>
      <c r="G91" s="94">
        <f t="shared" si="5"/>
        <v>2.1473888665549848E-2</v>
      </c>
      <c r="H91" s="1"/>
      <c r="I91" s="1"/>
      <c r="J91" s="1"/>
      <c r="K91" s="1"/>
    </row>
    <row r="92" spans="2:12" s="61" customFormat="1" x14ac:dyDescent="0.2">
      <c r="B92" s="64" t="s">
        <v>216</v>
      </c>
      <c r="C92" s="93">
        <f>M21</f>
        <v>554</v>
      </c>
      <c r="D92" s="94">
        <f t="shared" si="4"/>
        <v>5.1838682511462522E-2</v>
      </c>
      <c r="E92" s="64" t="s">
        <v>216</v>
      </c>
      <c r="F92" s="93">
        <f>M38</f>
        <v>51931.410000000011</v>
      </c>
      <c r="G92" s="94">
        <f t="shared" si="5"/>
        <v>5.8679409474050391E-2</v>
      </c>
    </row>
    <row r="93" spans="2:12" s="61" customFormat="1" x14ac:dyDescent="0.2">
      <c r="B93" s="64" t="s">
        <v>217</v>
      </c>
      <c r="C93" s="93">
        <f>N21</f>
        <v>2787</v>
      </c>
      <c r="D93" s="94">
        <f t="shared" si="4"/>
        <v>0.26078413025170766</v>
      </c>
      <c r="E93" s="64" t="s">
        <v>217</v>
      </c>
      <c r="F93" s="93">
        <f>N38</f>
        <v>190129.55000000002</v>
      </c>
      <c r="G93" s="94">
        <f t="shared" si="5"/>
        <v>0.21483510109906387</v>
      </c>
      <c r="H93" s="5"/>
      <c r="I93" s="5"/>
      <c r="J93" s="5"/>
      <c r="K93" s="25"/>
      <c r="L93" s="1"/>
    </row>
    <row r="94" spans="2:12" x14ac:dyDescent="0.2">
      <c r="C94" s="93">
        <f>SUM(C82:C93)</f>
        <v>10687</v>
      </c>
      <c r="F94" s="93">
        <f>SUM(F82:F93)</f>
        <v>885002.26</v>
      </c>
    </row>
  </sheetData>
  <mergeCells count="12">
    <mergeCell ref="B6:O6"/>
    <mergeCell ref="B24:B25"/>
    <mergeCell ref="C24:F24"/>
    <mergeCell ref="O24:O25"/>
    <mergeCell ref="K24:N24"/>
    <mergeCell ref="B7:B8"/>
    <mergeCell ref="C7:F7"/>
    <mergeCell ref="B23:O23"/>
    <mergeCell ref="O7:O8"/>
    <mergeCell ref="K7:N7"/>
    <mergeCell ref="G7:J7"/>
    <mergeCell ref="G24:J24"/>
  </mergeCells>
  <phoneticPr fontId="0" type="noConversion"/>
  <printOptions gridLinesSet="0"/>
  <pageMargins left="0.51181102362204722" right="0.15748031496062992" top="0.26" bottom="0" header="0" footer="0"/>
  <pageSetup paperSize="9" scale="78" orientation="portrait" r:id="rId1"/>
  <headerFooter alignWithMargins="0"/>
  <rowBreaks count="1" manualBreakCount="1">
    <brk id="68" min="1" max="10" man="1"/>
  </rowBreaks>
  <drawing r:id="rId2"/>
  <legacyDrawing r:id="rId3"/>
  <oleObjects>
    <mc:AlternateContent xmlns:mc="http://schemas.openxmlformats.org/markup-compatibility/2006">
      <mc:Choice Requires="x14">
        <oleObject shapeId="52229" r:id="rId4">
          <objectPr defaultSize="0" autoPict="0" r:id="rId5">
            <anchor moveWithCells="1" sizeWithCells="1">
              <from>
                <xdr:col>1</xdr:col>
                <xdr:colOff>19050</xdr:colOff>
                <xdr:row>0</xdr:row>
                <xdr:rowOff>190500</xdr:rowOff>
              </from>
              <to>
                <xdr:col>2</xdr:col>
                <xdr:colOff>285750</xdr:colOff>
                <xdr:row>0</xdr:row>
                <xdr:rowOff>704850</xdr:rowOff>
              </to>
            </anchor>
          </objectPr>
        </oleObject>
      </mc:Choice>
      <mc:Fallback>
        <oleObject shapeId="52229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4"/>
  <dimension ref="A1:AL114"/>
  <sheetViews>
    <sheetView showGridLines="0" view="pageBreakPreview" topLeftCell="A55" zoomScaleNormal="85" zoomScaleSheetLayoutView="100" workbookViewId="0">
      <selection activeCell="M67" sqref="M67:T67"/>
    </sheetView>
  </sheetViews>
  <sheetFormatPr defaultRowHeight="15.75" x14ac:dyDescent="0.25"/>
  <cols>
    <col min="1" max="1" width="16.375" style="1" bestFit="1" customWidth="1"/>
    <col min="2" max="9" width="5.375" style="1" customWidth="1"/>
    <col min="10" max="10" width="7.25" style="10" bestFit="1" customWidth="1"/>
    <col min="11" max="11" width="0.875" style="2" customWidth="1"/>
    <col min="12" max="12" width="17.125" style="1" customWidth="1"/>
    <col min="13" max="20" width="5.375" style="1" customWidth="1"/>
    <col min="21" max="21" width="7.25" style="10" customWidth="1"/>
    <col min="22" max="22" width="9.375" bestFit="1" customWidth="1"/>
    <col min="29" max="36" width="6.625" style="19" customWidth="1"/>
    <col min="37" max="37" width="9" style="19"/>
    <col min="38" max="38" width="9" style="17"/>
  </cols>
  <sheetData>
    <row r="1" spans="1:30" ht="69" customHeight="1" thickBot="1" x14ac:dyDescent="0.3"/>
    <row r="2" spans="1:30" ht="16.5" thickBot="1" x14ac:dyDescent="0.3">
      <c r="A2" s="188" t="s">
        <v>235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</row>
    <row r="3" spans="1:30" ht="17.25" customHeight="1" thickBot="1" x14ac:dyDescent="0.3">
      <c r="A3" s="189" t="s">
        <v>87</v>
      </c>
      <c r="B3" s="191" t="s">
        <v>143</v>
      </c>
      <c r="C3" s="192"/>
      <c r="D3" s="192"/>
      <c r="E3" s="192"/>
      <c r="F3" s="192"/>
      <c r="G3" s="192"/>
      <c r="H3" s="192"/>
      <c r="I3" s="193"/>
      <c r="J3" s="194" t="s">
        <v>0</v>
      </c>
      <c r="K3" s="8"/>
      <c r="L3" s="189" t="s">
        <v>87</v>
      </c>
      <c r="M3" s="191" t="s">
        <v>143</v>
      </c>
      <c r="N3" s="192"/>
      <c r="O3" s="192"/>
      <c r="P3" s="192"/>
      <c r="Q3" s="192"/>
      <c r="R3" s="192"/>
      <c r="S3" s="192"/>
      <c r="T3" s="193"/>
      <c r="U3" s="194" t="s">
        <v>0</v>
      </c>
    </row>
    <row r="4" spans="1:30" ht="25.5" customHeight="1" thickBot="1" x14ac:dyDescent="0.3">
      <c r="A4" s="190"/>
      <c r="B4" s="37" t="s">
        <v>135</v>
      </c>
      <c r="C4" s="37" t="s">
        <v>136</v>
      </c>
      <c r="D4" s="37" t="s">
        <v>137</v>
      </c>
      <c r="E4" s="37" t="s">
        <v>138</v>
      </c>
      <c r="F4" s="37" t="s">
        <v>139</v>
      </c>
      <c r="G4" s="37" t="s">
        <v>140</v>
      </c>
      <c r="H4" s="37" t="s">
        <v>141</v>
      </c>
      <c r="I4" s="38" t="s">
        <v>142</v>
      </c>
      <c r="J4" s="195"/>
      <c r="K4" s="8"/>
      <c r="L4" s="190"/>
      <c r="M4" s="36" t="s">
        <v>135</v>
      </c>
      <c r="N4" s="37" t="s">
        <v>136</v>
      </c>
      <c r="O4" s="37" t="s">
        <v>137</v>
      </c>
      <c r="P4" s="37" t="s">
        <v>138</v>
      </c>
      <c r="Q4" s="37" t="s">
        <v>139</v>
      </c>
      <c r="R4" s="37" t="s">
        <v>140</v>
      </c>
      <c r="S4" s="37" t="s">
        <v>141</v>
      </c>
      <c r="T4" s="37" t="s">
        <v>142</v>
      </c>
      <c r="U4" s="195"/>
    </row>
    <row r="5" spans="1:30" ht="12.75" customHeight="1" x14ac:dyDescent="0.25">
      <c r="A5" s="196" t="s">
        <v>82</v>
      </c>
      <c r="B5" s="206"/>
      <c r="C5" s="206"/>
      <c r="D5" s="206"/>
      <c r="E5" s="206"/>
      <c r="F5" s="206"/>
      <c r="G5" s="206"/>
      <c r="H5" s="206"/>
      <c r="I5" s="206"/>
      <c r="J5" s="207"/>
      <c r="K5" s="8"/>
      <c r="L5" s="196" t="s">
        <v>116</v>
      </c>
      <c r="M5" s="206"/>
      <c r="N5" s="206"/>
      <c r="O5" s="206"/>
      <c r="P5" s="206"/>
      <c r="Q5" s="206"/>
      <c r="R5" s="206"/>
      <c r="S5" s="206"/>
      <c r="T5" s="206"/>
      <c r="U5" s="207"/>
    </row>
    <row r="6" spans="1:30" ht="12.75" customHeight="1" x14ac:dyDescent="0.25">
      <c r="A6" s="29" t="s">
        <v>24</v>
      </c>
      <c r="B6" s="86">
        <v>1</v>
      </c>
      <c r="C6" s="86">
        <v>3</v>
      </c>
      <c r="D6" s="86">
        <v>4</v>
      </c>
      <c r="E6" s="86"/>
      <c r="F6" s="87"/>
      <c r="G6" s="86">
        <v>1</v>
      </c>
      <c r="H6" s="86"/>
      <c r="I6" s="86">
        <v>2</v>
      </c>
      <c r="J6" s="159">
        <f t="shared" ref="J6:J9" si="0">IF(SUM(B6:I6),SUM(B6:I6),"")</f>
        <v>11</v>
      </c>
      <c r="K6" s="8"/>
      <c r="L6" s="29" t="s">
        <v>6</v>
      </c>
      <c r="M6" s="30">
        <v>2</v>
      </c>
      <c r="N6" s="30"/>
      <c r="O6" s="30"/>
      <c r="P6" s="30"/>
      <c r="Q6" s="30"/>
      <c r="R6" s="30"/>
      <c r="S6" s="30"/>
      <c r="T6" s="30">
        <v>1</v>
      </c>
      <c r="U6" s="34">
        <f t="shared" ref="U6:U8" si="1">IF(SUM(M6:T6),SUM(M6:T6),"")</f>
        <v>3</v>
      </c>
      <c r="AC6" s="20">
        <f>J6/$U$36</f>
        <v>0.2391304347826087</v>
      </c>
      <c r="AD6" s="20" t="e">
        <f>#REF!/$U$36</f>
        <v>#REF!</v>
      </c>
    </row>
    <row r="7" spans="1:30" ht="12.75" customHeight="1" x14ac:dyDescent="0.25">
      <c r="A7" s="39" t="s">
        <v>25</v>
      </c>
      <c r="B7" s="88"/>
      <c r="C7" s="88"/>
      <c r="D7" s="88"/>
      <c r="E7" s="88"/>
      <c r="F7" s="88"/>
      <c r="G7" s="88"/>
      <c r="H7" s="88"/>
      <c r="I7" s="88"/>
      <c r="J7" s="113" t="str">
        <f t="shared" si="0"/>
        <v/>
      </c>
      <c r="K7" s="8"/>
      <c r="L7" s="39" t="s">
        <v>49</v>
      </c>
      <c r="M7" s="40">
        <v>1</v>
      </c>
      <c r="N7" s="40"/>
      <c r="O7" s="40"/>
      <c r="P7" s="40"/>
      <c r="Q7" s="40"/>
      <c r="R7" s="40"/>
      <c r="S7" s="40"/>
      <c r="T7" s="40"/>
      <c r="U7" s="41">
        <f t="shared" si="1"/>
        <v>1</v>
      </c>
      <c r="AC7" s="20"/>
      <c r="AD7" s="20" t="e">
        <f>#REF!/$U$36</f>
        <v>#REF!</v>
      </c>
    </row>
    <row r="8" spans="1:30" ht="12.75" customHeight="1" x14ac:dyDescent="0.25">
      <c r="A8" s="96" t="s">
        <v>47</v>
      </c>
      <c r="B8" s="86"/>
      <c r="C8" s="86">
        <v>2</v>
      </c>
      <c r="D8" s="86"/>
      <c r="E8" s="86"/>
      <c r="F8" s="86">
        <v>1</v>
      </c>
      <c r="G8" s="86"/>
      <c r="H8" s="86"/>
      <c r="I8" s="86">
        <v>8</v>
      </c>
      <c r="J8" s="159">
        <f t="shared" si="0"/>
        <v>11</v>
      </c>
      <c r="K8" s="8"/>
      <c r="L8" s="29" t="s">
        <v>63</v>
      </c>
      <c r="M8" s="30"/>
      <c r="N8" s="30"/>
      <c r="O8" s="30"/>
      <c r="P8" s="30"/>
      <c r="Q8" s="30"/>
      <c r="R8" s="30"/>
      <c r="S8" s="30"/>
      <c r="T8" s="30">
        <v>1</v>
      </c>
      <c r="U8" s="34">
        <f t="shared" si="1"/>
        <v>1</v>
      </c>
      <c r="X8" s="155"/>
      <c r="Y8" s="155"/>
      <c r="Z8" s="156"/>
      <c r="AA8" s="156"/>
      <c r="AC8" s="20"/>
      <c r="AD8" s="20"/>
    </row>
    <row r="9" spans="1:30" ht="12.75" customHeight="1" x14ac:dyDescent="0.25">
      <c r="A9" s="39" t="s">
        <v>54</v>
      </c>
      <c r="B9" s="95">
        <v>3</v>
      </c>
      <c r="C9" s="95"/>
      <c r="D9" s="95"/>
      <c r="E9" s="95"/>
      <c r="F9" s="95"/>
      <c r="G9" s="95">
        <v>1</v>
      </c>
      <c r="H9" s="95">
        <v>1</v>
      </c>
      <c r="I9" s="95"/>
      <c r="J9" s="113">
        <f t="shared" si="0"/>
        <v>5</v>
      </c>
      <c r="K9" s="8"/>
      <c r="L9" s="31" t="s">
        <v>117</v>
      </c>
      <c r="M9" s="33">
        <f>IF(SUM(M6:M8),SUM(M6:M8),"")</f>
        <v>3</v>
      </c>
      <c r="N9" s="33" t="str">
        <f t="shared" ref="N9:U9" si="2">IF(SUM(N6:N8),SUM(N6:N8),"")</f>
        <v/>
      </c>
      <c r="O9" s="33" t="str">
        <f t="shared" si="2"/>
        <v/>
      </c>
      <c r="P9" s="33" t="str">
        <f t="shared" si="2"/>
        <v/>
      </c>
      <c r="Q9" s="33" t="str">
        <f t="shared" si="2"/>
        <v/>
      </c>
      <c r="R9" s="33" t="str">
        <f t="shared" si="2"/>
        <v/>
      </c>
      <c r="S9" s="33" t="str">
        <f t="shared" si="2"/>
        <v/>
      </c>
      <c r="T9" s="33">
        <f t="shared" si="2"/>
        <v>2</v>
      </c>
      <c r="U9" s="33">
        <f t="shared" si="2"/>
        <v>5</v>
      </c>
      <c r="X9" s="155"/>
      <c r="Y9" s="155"/>
      <c r="Z9" s="156"/>
      <c r="AA9" s="156"/>
      <c r="AC9" s="20"/>
      <c r="AD9" s="20"/>
    </row>
    <row r="10" spans="1:30" ht="12.75" customHeight="1" x14ac:dyDescent="0.25">
      <c r="A10" s="31" t="s">
        <v>107</v>
      </c>
      <c r="B10" s="32">
        <f>IF(SUM(B6:B9),SUM(B6:B9),"")</f>
        <v>4</v>
      </c>
      <c r="C10" s="32">
        <f t="shared" ref="C10:J10" si="3">IF(SUM(C6:C9),SUM(C6:C9),"")</f>
        <v>5</v>
      </c>
      <c r="D10" s="32">
        <f t="shared" si="3"/>
        <v>4</v>
      </c>
      <c r="E10" s="32" t="str">
        <f t="shared" si="3"/>
        <v/>
      </c>
      <c r="F10" s="32">
        <f t="shared" si="3"/>
        <v>1</v>
      </c>
      <c r="G10" s="32">
        <f t="shared" si="3"/>
        <v>2</v>
      </c>
      <c r="H10" s="32">
        <f t="shared" si="3"/>
        <v>1</v>
      </c>
      <c r="I10" s="32">
        <f t="shared" si="3"/>
        <v>10</v>
      </c>
      <c r="J10" s="32">
        <f t="shared" si="3"/>
        <v>27</v>
      </c>
      <c r="K10" s="8"/>
      <c r="L10" s="9"/>
      <c r="M10" s="9"/>
      <c r="N10" s="9"/>
      <c r="O10" s="9"/>
      <c r="P10" s="9"/>
      <c r="Q10" s="9"/>
      <c r="R10" s="9"/>
      <c r="S10" s="9"/>
      <c r="T10" s="9"/>
      <c r="U10" s="11"/>
      <c r="X10" s="155"/>
      <c r="Y10" s="155"/>
      <c r="Z10" s="156"/>
      <c r="AA10" s="156"/>
      <c r="AC10" s="21">
        <f>J10/$U$36</f>
        <v>0.58695652173913049</v>
      </c>
      <c r="AD10" s="20" t="e">
        <f>#REF!/$U$36</f>
        <v>#REF!</v>
      </c>
    </row>
    <row r="11" spans="1:30" ht="12.75" customHeight="1" x14ac:dyDescent="0.25">
      <c r="A11" s="9"/>
      <c r="B11" s="9"/>
      <c r="C11" s="9" t="s">
        <v>212</v>
      </c>
      <c r="D11" s="9"/>
      <c r="E11" s="9"/>
      <c r="F11" s="9"/>
      <c r="G11" s="9"/>
      <c r="H11" s="9"/>
      <c r="I11" s="9"/>
      <c r="K11" s="8"/>
      <c r="L11" s="196" t="s">
        <v>118</v>
      </c>
      <c r="M11" s="206"/>
      <c r="N11" s="206"/>
      <c r="O11" s="206"/>
      <c r="P11" s="206"/>
      <c r="Q11" s="206"/>
      <c r="R11" s="206"/>
      <c r="S11" s="206"/>
      <c r="T11" s="206"/>
      <c r="U11" s="207"/>
      <c r="X11" s="155"/>
      <c r="Y11" s="155"/>
      <c r="Z11" s="156"/>
      <c r="AA11" s="156"/>
      <c r="AC11" s="20"/>
      <c r="AD11" s="20" t="e">
        <f>#REF!/$U$36</f>
        <v>#REF!</v>
      </c>
    </row>
    <row r="12" spans="1:30" ht="12.75" customHeight="1" x14ac:dyDescent="0.25">
      <c r="A12" s="196" t="s">
        <v>83</v>
      </c>
      <c r="B12" s="206"/>
      <c r="C12" s="206"/>
      <c r="D12" s="206"/>
      <c r="E12" s="206"/>
      <c r="F12" s="206"/>
      <c r="G12" s="206"/>
      <c r="H12" s="206"/>
      <c r="I12" s="206"/>
      <c r="J12" s="207"/>
      <c r="K12" s="8"/>
      <c r="L12" s="96" t="s">
        <v>9</v>
      </c>
      <c r="M12" s="86"/>
      <c r="N12" s="86"/>
      <c r="O12" s="86"/>
      <c r="P12" s="86">
        <v>2</v>
      </c>
      <c r="Q12" s="86"/>
      <c r="R12" s="86">
        <v>1</v>
      </c>
      <c r="S12" s="86"/>
      <c r="T12" s="86">
        <v>2</v>
      </c>
      <c r="U12" s="159">
        <f t="shared" ref="U12:U15" si="4">IF(SUM(M12:T12),SUM(M12:T12),"")</f>
        <v>5</v>
      </c>
      <c r="X12" s="155"/>
      <c r="Y12" s="155"/>
      <c r="Z12" s="156"/>
      <c r="AA12" s="156"/>
      <c r="AC12" s="20"/>
      <c r="AD12" s="20" t="e">
        <f>#REF!/$U$36</f>
        <v>#REF!</v>
      </c>
    </row>
    <row r="13" spans="1:30" ht="12.75" customHeight="1" x14ac:dyDescent="0.25">
      <c r="A13" s="29" t="s">
        <v>2</v>
      </c>
      <c r="B13" s="181">
        <v>2</v>
      </c>
      <c r="C13" s="86"/>
      <c r="D13" s="181">
        <v>2</v>
      </c>
      <c r="E13" s="181"/>
      <c r="F13" s="181">
        <v>1</v>
      </c>
      <c r="G13" s="181"/>
      <c r="H13" s="181">
        <v>1</v>
      </c>
      <c r="I13" s="181">
        <v>2</v>
      </c>
      <c r="J13" s="159">
        <f>IF(SUM(B13:I13),SUM(B13:I13),"")</f>
        <v>8</v>
      </c>
      <c r="K13" s="8"/>
      <c r="L13" s="39" t="s">
        <v>18</v>
      </c>
      <c r="M13" s="88"/>
      <c r="N13" s="88"/>
      <c r="O13" s="88">
        <v>2</v>
      </c>
      <c r="P13" s="88">
        <v>6</v>
      </c>
      <c r="Q13" s="88">
        <v>1</v>
      </c>
      <c r="R13" s="88"/>
      <c r="S13" s="88">
        <v>1</v>
      </c>
      <c r="T13" s="88">
        <v>1</v>
      </c>
      <c r="U13" s="41">
        <f t="shared" si="4"/>
        <v>11</v>
      </c>
      <c r="X13" s="155"/>
      <c r="Y13" s="155"/>
      <c r="Z13" s="156"/>
      <c r="AA13" s="156"/>
      <c r="AC13" s="20">
        <f>J13/$U$36</f>
        <v>0.17391304347826086</v>
      </c>
      <c r="AD13" s="20" t="e">
        <f>#REF!/$U$36</f>
        <v>#REF!</v>
      </c>
    </row>
    <row r="14" spans="1:30" ht="12.75" customHeight="1" x14ac:dyDescent="0.25">
      <c r="A14" s="39" t="s">
        <v>10</v>
      </c>
      <c r="B14" s="88">
        <v>2</v>
      </c>
      <c r="C14" s="88"/>
      <c r="D14" s="88">
        <v>2</v>
      </c>
      <c r="E14" s="182"/>
      <c r="F14" s="182">
        <v>2</v>
      </c>
      <c r="G14" s="88"/>
      <c r="H14" s="88"/>
      <c r="I14" s="182">
        <v>4</v>
      </c>
      <c r="J14" s="160">
        <f t="shared" ref="J14:J15" si="5">IF(SUM(B14:I14),SUM(B14:I14),"")</f>
        <v>10</v>
      </c>
      <c r="K14" s="8"/>
      <c r="L14" s="96" t="s">
        <v>20</v>
      </c>
      <c r="M14" s="86"/>
      <c r="N14" s="86"/>
      <c r="O14" s="86"/>
      <c r="P14" s="86">
        <v>1</v>
      </c>
      <c r="Q14" s="86"/>
      <c r="R14" s="86">
        <v>1</v>
      </c>
      <c r="S14" s="86"/>
      <c r="T14" s="86"/>
      <c r="U14" s="159">
        <f t="shared" si="4"/>
        <v>2</v>
      </c>
      <c r="V14" s="60"/>
      <c r="X14" s="155"/>
      <c r="Y14" s="155"/>
      <c r="Z14" s="156"/>
      <c r="AA14" s="156"/>
      <c r="AC14" s="20">
        <f>J14/$U$36</f>
        <v>0.21739130434782608</v>
      </c>
      <c r="AD14" s="20" t="e">
        <f>#REF!/$U$36</f>
        <v>#REF!</v>
      </c>
    </row>
    <row r="15" spans="1:30" ht="12.75" customHeight="1" x14ac:dyDescent="0.25">
      <c r="A15" s="29" t="s">
        <v>58</v>
      </c>
      <c r="B15" s="181"/>
      <c r="C15" s="86"/>
      <c r="D15" s="86"/>
      <c r="E15" s="86"/>
      <c r="F15" s="181"/>
      <c r="G15" s="86"/>
      <c r="H15" s="86"/>
      <c r="I15" s="181"/>
      <c r="J15" s="159" t="str">
        <f t="shared" si="5"/>
        <v/>
      </c>
      <c r="K15" s="8"/>
      <c r="L15" s="39" t="s">
        <v>61</v>
      </c>
      <c r="M15" s="88"/>
      <c r="N15" s="88"/>
      <c r="O15" s="88"/>
      <c r="P15" s="88"/>
      <c r="Q15" s="88"/>
      <c r="R15" s="88"/>
      <c r="S15" s="88"/>
      <c r="T15" s="88">
        <v>2</v>
      </c>
      <c r="U15" s="41">
        <f t="shared" si="4"/>
        <v>2</v>
      </c>
      <c r="X15" s="155"/>
      <c r="Y15" s="155"/>
      <c r="Z15" s="156"/>
      <c r="AA15" s="156"/>
      <c r="AC15" s="20" t="e">
        <f>J15/$U$36</f>
        <v>#VALUE!</v>
      </c>
      <c r="AD15" s="20" t="e">
        <f>#REF!/$U$36</f>
        <v>#REF!</v>
      </c>
    </row>
    <row r="16" spans="1:30" ht="12.75" customHeight="1" x14ac:dyDescent="0.25">
      <c r="A16" s="39" t="s">
        <v>66</v>
      </c>
      <c r="B16" s="88"/>
      <c r="C16" s="88"/>
      <c r="D16" s="88"/>
      <c r="E16" s="182"/>
      <c r="F16" s="182"/>
      <c r="G16" s="88"/>
      <c r="H16" s="88"/>
      <c r="I16" s="88">
        <v>2</v>
      </c>
      <c r="J16" s="160">
        <f>IF(SUM(B16:I16),SUM(B16:I16),"")</f>
        <v>2</v>
      </c>
      <c r="K16" s="8"/>
      <c r="L16" s="31" t="s">
        <v>119</v>
      </c>
      <c r="M16" s="33" t="str">
        <f>IF(SUM(M12:M15),SUM(M12:M15),"")</f>
        <v/>
      </c>
      <c r="N16" s="33" t="str">
        <f t="shared" ref="N16:U16" si="6">IF(SUM(N12:N15),SUM(N12:N15),"")</f>
        <v/>
      </c>
      <c r="O16" s="33">
        <f t="shared" si="6"/>
        <v>2</v>
      </c>
      <c r="P16" s="33">
        <f t="shared" si="6"/>
        <v>9</v>
      </c>
      <c r="Q16" s="33">
        <f t="shared" si="6"/>
        <v>1</v>
      </c>
      <c r="R16" s="33">
        <f t="shared" si="6"/>
        <v>2</v>
      </c>
      <c r="S16" s="33">
        <f t="shared" si="6"/>
        <v>1</v>
      </c>
      <c r="T16" s="33">
        <f t="shared" si="6"/>
        <v>5</v>
      </c>
      <c r="U16" s="33">
        <f t="shared" si="6"/>
        <v>20</v>
      </c>
      <c r="X16" s="155"/>
      <c r="Y16" s="155"/>
      <c r="Z16" s="156"/>
      <c r="AA16" s="156"/>
      <c r="AC16" s="20">
        <f>J16/$U$36</f>
        <v>4.3478260869565216E-2</v>
      </c>
      <c r="AD16" s="21" t="e">
        <f>#REF!/$U$36</f>
        <v>#REF!</v>
      </c>
    </row>
    <row r="17" spans="1:30" ht="12.75" customHeight="1" x14ac:dyDescent="0.25">
      <c r="A17" s="31" t="s">
        <v>88</v>
      </c>
      <c r="B17" s="33">
        <f>IF(SUM(B13:B16),SUM(B13:B16),"")</f>
        <v>4</v>
      </c>
      <c r="C17" s="33" t="str">
        <f t="shared" ref="C17:J17" si="7">IF(SUM(C13:C16),SUM(C13:C16),"")</f>
        <v/>
      </c>
      <c r="D17" s="33">
        <f t="shared" si="7"/>
        <v>4</v>
      </c>
      <c r="E17" s="33" t="str">
        <f t="shared" si="7"/>
        <v/>
      </c>
      <c r="F17" s="33">
        <f t="shared" si="7"/>
        <v>3</v>
      </c>
      <c r="G17" s="33" t="str">
        <f t="shared" si="7"/>
        <v/>
      </c>
      <c r="H17" s="33">
        <f t="shared" si="7"/>
        <v>1</v>
      </c>
      <c r="I17" s="33">
        <f t="shared" si="7"/>
        <v>8</v>
      </c>
      <c r="J17" s="33">
        <f t="shared" si="7"/>
        <v>20</v>
      </c>
      <c r="K17" s="8"/>
      <c r="L17" s="9"/>
      <c r="M17" s="9"/>
      <c r="N17" s="9"/>
      <c r="O17" s="9"/>
      <c r="P17" s="9"/>
      <c r="Q17" s="9"/>
      <c r="R17" s="9"/>
      <c r="S17" s="9"/>
      <c r="T17" s="9"/>
      <c r="U17" s="11"/>
      <c r="X17" s="155"/>
      <c r="Y17" s="155"/>
      <c r="Z17" s="156"/>
      <c r="AA17" s="156"/>
      <c r="AC17" s="21">
        <f>J17/$U$36</f>
        <v>0.43478260869565216</v>
      </c>
      <c r="AD17" s="20"/>
    </row>
    <row r="18" spans="1:30" ht="12.75" customHeight="1" x14ac:dyDescent="0.25">
      <c r="A18" s="9"/>
      <c r="B18" s="157"/>
      <c r="C18" s="157"/>
      <c r="D18" s="157"/>
      <c r="E18" s="157"/>
      <c r="F18" s="157"/>
      <c r="G18" s="157"/>
      <c r="H18" s="157"/>
      <c r="I18" s="157"/>
      <c r="J18" s="158"/>
      <c r="K18" s="8"/>
      <c r="L18" s="196" t="s">
        <v>120</v>
      </c>
      <c r="M18" s="206"/>
      <c r="N18" s="206"/>
      <c r="O18" s="206"/>
      <c r="P18" s="206"/>
      <c r="Q18" s="206"/>
      <c r="R18" s="206"/>
      <c r="S18" s="206"/>
      <c r="T18" s="206"/>
      <c r="U18" s="207"/>
      <c r="X18" s="155"/>
      <c r="Y18" s="155"/>
      <c r="Z18" s="156"/>
      <c r="AA18" s="156"/>
      <c r="AC18" s="20"/>
      <c r="AD18" s="20"/>
    </row>
    <row r="19" spans="1:30" ht="12.75" customHeight="1" x14ac:dyDescent="0.25">
      <c r="A19" s="196" t="s">
        <v>84</v>
      </c>
      <c r="B19" s="206"/>
      <c r="C19" s="206"/>
      <c r="D19" s="206"/>
      <c r="E19" s="206"/>
      <c r="F19" s="206"/>
      <c r="G19" s="206"/>
      <c r="H19" s="206"/>
      <c r="I19" s="206"/>
      <c r="J19" s="207"/>
      <c r="K19" s="8"/>
      <c r="L19" s="29" t="s">
        <v>30</v>
      </c>
      <c r="M19" s="30"/>
      <c r="N19" s="30"/>
      <c r="O19" s="30"/>
      <c r="P19" s="30"/>
      <c r="Q19" s="30">
        <v>1</v>
      </c>
      <c r="R19" s="30"/>
      <c r="S19" s="30"/>
      <c r="T19" s="30"/>
      <c r="U19" s="34">
        <f t="shared" ref="U19:U21" si="8">IF(SUM(M19:T19),SUM(M19:T19),"")</f>
        <v>1</v>
      </c>
      <c r="X19" s="155"/>
      <c r="Y19" s="155"/>
      <c r="Z19" s="156"/>
      <c r="AA19" s="156"/>
      <c r="AC19" s="20"/>
      <c r="AD19" s="20">
        <f>U6/$U$36</f>
        <v>6.5217391304347824E-2</v>
      </c>
    </row>
    <row r="20" spans="1:30" ht="12.75" customHeight="1" x14ac:dyDescent="0.25">
      <c r="A20" s="29" t="s">
        <v>3</v>
      </c>
      <c r="B20" s="86"/>
      <c r="C20" s="86"/>
      <c r="D20" s="86"/>
      <c r="E20" s="86"/>
      <c r="F20" s="86">
        <v>2</v>
      </c>
      <c r="G20" s="86"/>
      <c r="H20" s="86"/>
      <c r="I20" s="86"/>
      <c r="J20" s="159">
        <f>IF(SUM(B20:I20),SUM(B20:I20),"")</f>
        <v>2</v>
      </c>
      <c r="K20" s="8"/>
      <c r="L20" s="39" t="s">
        <v>100</v>
      </c>
      <c r="M20" s="40">
        <v>5</v>
      </c>
      <c r="N20" s="40"/>
      <c r="O20" s="40"/>
      <c r="P20" s="40"/>
      <c r="Q20" s="40"/>
      <c r="R20" s="40"/>
      <c r="S20" s="40"/>
      <c r="T20" s="40"/>
      <c r="U20" s="41">
        <f t="shared" si="8"/>
        <v>5</v>
      </c>
      <c r="X20" s="155"/>
      <c r="Y20" s="155"/>
      <c r="Z20" s="156"/>
      <c r="AA20" s="156"/>
      <c r="AC20" s="20">
        <f t="shared" ref="AC20:AC24" si="9">J20/$U$36</f>
        <v>4.3478260869565216E-2</v>
      </c>
      <c r="AD20" s="20">
        <f>U7/$U$36</f>
        <v>2.1739130434782608E-2</v>
      </c>
    </row>
    <row r="21" spans="1:30" ht="12.75" customHeight="1" x14ac:dyDescent="0.25">
      <c r="A21" s="39" t="s">
        <v>5</v>
      </c>
      <c r="B21" s="88"/>
      <c r="C21" s="88"/>
      <c r="D21" s="88"/>
      <c r="E21" s="88"/>
      <c r="F21" s="88"/>
      <c r="G21" s="88"/>
      <c r="H21" s="88"/>
      <c r="I21" s="88"/>
      <c r="J21" s="160" t="str">
        <f t="shared" ref="J21:J23" si="10">IF(SUM(B21:I21),SUM(B21:I21),"")</f>
        <v/>
      </c>
      <c r="K21" s="8"/>
      <c r="L21" s="29" t="s">
        <v>64</v>
      </c>
      <c r="M21" s="30"/>
      <c r="N21" s="30">
        <v>1</v>
      </c>
      <c r="O21" s="30"/>
      <c r="P21" s="30">
        <v>1</v>
      </c>
      <c r="Q21" s="30"/>
      <c r="R21" s="30"/>
      <c r="S21" s="30">
        <v>1</v>
      </c>
      <c r="T21" s="30">
        <v>1</v>
      </c>
      <c r="U21" s="34">
        <f t="shared" si="8"/>
        <v>4</v>
      </c>
      <c r="X21" s="155"/>
      <c r="Y21" s="155"/>
      <c r="Z21" s="156"/>
      <c r="AA21" s="156"/>
      <c r="AC21" s="20" t="e">
        <f t="shared" si="9"/>
        <v>#VALUE!</v>
      </c>
      <c r="AD21" s="20">
        <f>U8/$U$36</f>
        <v>2.1739130434782608E-2</v>
      </c>
    </row>
    <row r="22" spans="1:30" ht="12.75" customHeight="1" x14ac:dyDescent="0.25">
      <c r="A22" s="29" t="s">
        <v>16</v>
      </c>
      <c r="B22" s="86"/>
      <c r="C22" s="86"/>
      <c r="D22" s="86"/>
      <c r="E22" s="86">
        <v>3</v>
      </c>
      <c r="F22" s="86"/>
      <c r="G22" s="86"/>
      <c r="H22" s="86"/>
      <c r="I22" s="86"/>
      <c r="J22" s="159">
        <f t="shared" si="10"/>
        <v>3</v>
      </c>
      <c r="K22" s="8"/>
      <c r="L22" s="31" t="s">
        <v>172</v>
      </c>
      <c r="M22" s="33">
        <f>IF(SUM(M19:M21),SUM(M19:M21),"")</f>
        <v>5</v>
      </c>
      <c r="N22" s="33">
        <f t="shared" ref="N22:U22" si="11">IF(SUM(N19:N21),SUM(N19:N21),"")</f>
        <v>1</v>
      </c>
      <c r="O22" s="33" t="str">
        <f t="shared" si="11"/>
        <v/>
      </c>
      <c r="P22" s="33">
        <f t="shared" si="11"/>
        <v>1</v>
      </c>
      <c r="Q22" s="33">
        <f t="shared" si="11"/>
        <v>1</v>
      </c>
      <c r="R22" s="33" t="str">
        <f t="shared" si="11"/>
        <v/>
      </c>
      <c r="S22" s="33">
        <f t="shared" si="11"/>
        <v>1</v>
      </c>
      <c r="T22" s="33">
        <f t="shared" si="11"/>
        <v>1</v>
      </c>
      <c r="U22" s="33">
        <f t="shared" si="11"/>
        <v>10</v>
      </c>
      <c r="X22" s="155"/>
      <c r="Y22" s="155"/>
      <c r="Z22" s="156"/>
      <c r="AA22" s="156"/>
      <c r="AC22" s="20">
        <f t="shared" si="9"/>
        <v>6.5217391304347824E-2</v>
      </c>
      <c r="AD22" s="20" t="e">
        <f>#REF!/$U$36</f>
        <v>#REF!</v>
      </c>
    </row>
    <row r="23" spans="1:30" ht="12.75" customHeight="1" x14ac:dyDescent="0.25">
      <c r="A23" s="39" t="s">
        <v>33</v>
      </c>
      <c r="B23" s="88"/>
      <c r="C23" s="88"/>
      <c r="D23" s="88"/>
      <c r="E23" s="88"/>
      <c r="F23" s="88"/>
      <c r="G23" s="88"/>
      <c r="H23" s="88"/>
      <c r="I23" s="88">
        <v>2</v>
      </c>
      <c r="J23" s="160">
        <f t="shared" si="10"/>
        <v>2</v>
      </c>
      <c r="K23" s="8"/>
      <c r="L23" s="9"/>
      <c r="M23" s="9"/>
      <c r="N23" s="9"/>
      <c r="O23" s="9"/>
      <c r="P23" s="9"/>
      <c r="Q23" s="9"/>
      <c r="R23" s="9"/>
      <c r="S23" s="9"/>
      <c r="T23" s="9"/>
      <c r="U23" s="11"/>
      <c r="V23" s="60"/>
      <c r="W23" s="60"/>
      <c r="X23" s="155"/>
      <c r="Y23" s="155"/>
      <c r="Z23" s="156"/>
      <c r="AA23" s="156"/>
      <c r="AB23" s="60"/>
      <c r="AC23" s="20">
        <f t="shared" si="9"/>
        <v>4.3478260869565216E-2</v>
      </c>
      <c r="AD23" s="20" t="e">
        <f>#REF!/$U$36</f>
        <v>#REF!</v>
      </c>
    </row>
    <row r="24" spans="1:30" ht="12.75" customHeight="1" x14ac:dyDescent="0.25">
      <c r="A24" s="29" t="s">
        <v>36</v>
      </c>
      <c r="B24" s="86"/>
      <c r="C24" s="86">
        <v>1</v>
      </c>
      <c r="D24" s="86"/>
      <c r="E24" s="86"/>
      <c r="F24" s="86"/>
      <c r="G24" s="86">
        <v>3</v>
      </c>
      <c r="H24" s="86"/>
      <c r="I24" s="86">
        <v>2</v>
      </c>
      <c r="J24" s="159">
        <f>IF(SUM(B24:I24),SUM(B24:I24),"")</f>
        <v>6</v>
      </c>
      <c r="K24" s="8"/>
      <c r="L24" s="196" t="s">
        <v>173</v>
      </c>
      <c r="M24" s="206"/>
      <c r="N24" s="206"/>
      <c r="O24" s="206"/>
      <c r="P24" s="206"/>
      <c r="Q24" s="206"/>
      <c r="R24" s="206"/>
      <c r="S24" s="206"/>
      <c r="T24" s="206"/>
      <c r="U24" s="207"/>
      <c r="X24" s="155"/>
      <c r="Y24" s="155"/>
      <c r="Z24" s="156"/>
      <c r="AA24" s="156"/>
      <c r="AC24" s="20">
        <f t="shared" si="9"/>
        <v>0.13043478260869565</v>
      </c>
      <c r="AD24" s="20" t="e">
        <f>#REF!/$U$36</f>
        <v>#REF!</v>
      </c>
    </row>
    <row r="25" spans="1:30" ht="12.75" customHeight="1" x14ac:dyDescent="0.25">
      <c r="A25" s="31" t="s">
        <v>89</v>
      </c>
      <c r="B25" s="33" t="str">
        <f>IF(SUM(B20:B24),SUM(B20:B24),"")</f>
        <v/>
      </c>
      <c r="C25" s="33">
        <f t="shared" ref="C25:J25" si="12">IF(SUM(C20:C24),SUM(C20:C24),"")</f>
        <v>1</v>
      </c>
      <c r="D25" s="33" t="str">
        <f t="shared" si="12"/>
        <v/>
      </c>
      <c r="E25" s="33">
        <f t="shared" si="12"/>
        <v>3</v>
      </c>
      <c r="F25" s="33">
        <f t="shared" si="12"/>
        <v>2</v>
      </c>
      <c r="G25" s="33">
        <f t="shared" si="12"/>
        <v>3</v>
      </c>
      <c r="H25" s="33" t="str">
        <f t="shared" si="12"/>
        <v/>
      </c>
      <c r="I25" s="33">
        <f t="shared" si="12"/>
        <v>4</v>
      </c>
      <c r="J25" s="33">
        <f t="shared" si="12"/>
        <v>13</v>
      </c>
      <c r="K25" s="8"/>
      <c r="L25" s="96" t="s">
        <v>31</v>
      </c>
      <c r="M25" s="86"/>
      <c r="N25" s="86"/>
      <c r="O25" s="86"/>
      <c r="P25" s="86">
        <v>1</v>
      </c>
      <c r="Q25" s="86"/>
      <c r="R25" s="86">
        <v>1</v>
      </c>
      <c r="S25" s="86"/>
      <c r="T25" s="86"/>
      <c r="U25" s="159">
        <f t="shared" ref="U25:U28" si="13">IF(SUM(M25:T25),SUM(M25:T25),"")</f>
        <v>2</v>
      </c>
      <c r="X25" s="155"/>
      <c r="Y25" s="155"/>
      <c r="Z25" s="156"/>
      <c r="AA25" s="156"/>
      <c r="AC25" s="20" t="e">
        <f>#REF!/$U$36</f>
        <v>#REF!</v>
      </c>
      <c r="AD25" s="20" t="e">
        <f>#REF!/$U$36</f>
        <v>#REF!</v>
      </c>
    </row>
    <row r="26" spans="1:30" ht="12.75" customHeight="1" x14ac:dyDescent="0.25">
      <c r="A26" s="9"/>
      <c r="B26" s="9"/>
      <c r="C26" s="9"/>
      <c r="D26" s="9"/>
      <c r="E26" s="9"/>
      <c r="F26" s="9"/>
      <c r="G26" s="9"/>
      <c r="H26" s="9"/>
      <c r="I26" s="9"/>
      <c r="K26" s="8"/>
      <c r="L26" s="39" t="s">
        <v>37</v>
      </c>
      <c r="M26" s="40"/>
      <c r="N26" s="40"/>
      <c r="O26" s="40"/>
      <c r="P26" s="40"/>
      <c r="Q26" s="40"/>
      <c r="R26" s="40"/>
      <c r="S26" s="40"/>
      <c r="T26" s="40"/>
      <c r="U26" s="41" t="str">
        <f t="shared" si="13"/>
        <v/>
      </c>
      <c r="X26" s="155"/>
      <c r="Y26" s="155"/>
      <c r="Z26" s="156"/>
      <c r="AA26" s="156"/>
      <c r="AC26" s="20" t="e">
        <f>#REF!/$U$36</f>
        <v>#REF!</v>
      </c>
      <c r="AD26" s="21">
        <f>U9/$U$36</f>
        <v>0.10869565217391304</v>
      </c>
    </row>
    <row r="27" spans="1:30" ht="12.75" customHeight="1" x14ac:dyDescent="0.25">
      <c r="A27" s="196" t="s">
        <v>85</v>
      </c>
      <c r="B27" s="196"/>
      <c r="C27" s="196"/>
      <c r="D27" s="196"/>
      <c r="E27" s="196"/>
      <c r="F27" s="196"/>
      <c r="G27" s="196"/>
      <c r="H27" s="196"/>
      <c r="I27" s="196"/>
      <c r="J27" s="208"/>
      <c r="K27" s="8"/>
      <c r="L27" s="96" t="s">
        <v>42</v>
      </c>
      <c r="M27" s="86"/>
      <c r="N27" s="86"/>
      <c r="O27" s="86"/>
      <c r="P27" s="86"/>
      <c r="Q27" s="86"/>
      <c r="R27" s="86"/>
      <c r="S27" s="86"/>
      <c r="T27" s="86">
        <v>6</v>
      </c>
      <c r="U27" s="159">
        <f>IF(SUM(M27:T27),SUM(M27:T27),"")</f>
        <v>6</v>
      </c>
      <c r="X27" s="155"/>
      <c r="Y27" s="155"/>
      <c r="Z27" s="156"/>
      <c r="AA27" s="156"/>
      <c r="AC27" s="20" t="e">
        <f>#REF!/$U$36</f>
        <v>#REF!</v>
      </c>
      <c r="AD27" s="20"/>
    </row>
    <row r="28" spans="1:30" ht="12.75" customHeight="1" x14ac:dyDescent="0.25">
      <c r="A28" s="29" t="s">
        <v>11</v>
      </c>
      <c r="B28" s="86"/>
      <c r="C28" s="86"/>
      <c r="D28" s="86"/>
      <c r="E28" s="86">
        <v>1</v>
      </c>
      <c r="F28" s="86">
        <v>1</v>
      </c>
      <c r="G28" s="86">
        <v>1</v>
      </c>
      <c r="H28" s="86">
        <v>1</v>
      </c>
      <c r="I28" s="86"/>
      <c r="J28" s="34">
        <f t="shared" ref="J28:J32" si="14">IF(SUM(B28:I28),SUM(B28:I28),"")</f>
        <v>4</v>
      </c>
      <c r="K28" s="8"/>
      <c r="L28" s="39" t="s">
        <v>46</v>
      </c>
      <c r="M28" s="40"/>
      <c r="N28" s="40"/>
      <c r="O28" s="40"/>
      <c r="P28" s="40"/>
      <c r="Q28" s="40"/>
      <c r="R28" s="40"/>
      <c r="S28" s="40"/>
      <c r="T28" s="40"/>
      <c r="U28" s="41" t="str">
        <f t="shared" si="13"/>
        <v/>
      </c>
      <c r="X28" s="155"/>
      <c r="Y28" s="155"/>
      <c r="Z28" s="156"/>
      <c r="AA28" s="156"/>
      <c r="AC28" s="21">
        <f>J25/$U$36</f>
        <v>0.28260869565217389</v>
      </c>
      <c r="AD28" s="20"/>
    </row>
    <row r="29" spans="1:30" ht="12.75" customHeight="1" x14ac:dyDescent="0.25">
      <c r="A29" s="39" t="s">
        <v>99</v>
      </c>
      <c r="B29" s="89"/>
      <c r="C29" s="88"/>
      <c r="D29" s="88"/>
      <c r="E29" s="88"/>
      <c r="F29" s="88"/>
      <c r="G29" s="88"/>
      <c r="H29" s="88"/>
      <c r="I29" s="88">
        <v>4</v>
      </c>
      <c r="J29" s="41">
        <f t="shared" si="14"/>
        <v>4</v>
      </c>
      <c r="K29" s="8"/>
      <c r="L29" s="31" t="s">
        <v>174</v>
      </c>
      <c r="M29" s="33" t="str">
        <f>IF(SUM(M25:M28),SUM(M25:M28),"")</f>
        <v/>
      </c>
      <c r="N29" s="33" t="str">
        <f t="shared" ref="N29:U29" si="15">IF(SUM(N25:N28),SUM(N25:N28),"")</f>
        <v/>
      </c>
      <c r="O29" s="33" t="str">
        <f t="shared" si="15"/>
        <v/>
      </c>
      <c r="P29" s="33">
        <f t="shared" si="15"/>
        <v>1</v>
      </c>
      <c r="Q29" s="33" t="str">
        <f t="shared" si="15"/>
        <v/>
      </c>
      <c r="R29" s="33">
        <f t="shared" si="15"/>
        <v>1</v>
      </c>
      <c r="S29" s="33" t="str">
        <f t="shared" si="15"/>
        <v/>
      </c>
      <c r="T29" s="33">
        <f t="shared" si="15"/>
        <v>6</v>
      </c>
      <c r="U29" s="33">
        <f t="shared" si="15"/>
        <v>8</v>
      </c>
      <c r="X29" s="155"/>
      <c r="Y29" s="155"/>
      <c r="Z29" s="156"/>
      <c r="AA29" s="156"/>
      <c r="AC29" s="20"/>
      <c r="AD29" s="20" t="e">
        <f>#REF!/$U$36</f>
        <v>#REF!</v>
      </c>
    </row>
    <row r="30" spans="1:30" ht="12.75" customHeight="1" x14ac:dyDescent="0.25">
      <c r="A30" s="29" t="s">
        <v>19</v>
      </c>
      <c r="B30" s="86"/>
      <c r="C30" s="86"/>
      <c r="D30" s="86">
        <v>2</v>
      </c>
      <c r="E30" s="86"/>
      <c r="F30" s="86"/>
      <c r="G30" s="86"/>
      <c r="H30" s="86"/>
      <c r="I30" s="86"/>
      <c r="J30" s="34">
        <f t="shared" si="14"/>
        <v>2</v>
      </c>
      <c r="K30" s="8"/>
      <c r="L30" s="9"/>
      <c r="M30" s="9"/>
      <c r="N30" s="9"/>
      <c r="O30" s="9"/>
      <c r="P30" s="9"/>
      <c r="Q30" s="9"/>
      <c r="R30" s="9"/>
      <c r="S30" s="9"/>
      <c r="T30" s="9"/>
      <c r="U30" s="11"/>
      <c r="X30" s="155"/>
      <c r="Y30" s="155"/>
      <c r="Z30" s="156"/>
      <c r="AA30" s="156"/>
      <c r="AC30" s="20"/>
      <c r="AD30" s="20">
        <f>U12/$U$36</f>
        <v>0.10869565217391304</v>
      </c>
    </row>
    <row r="31" spans="1:30" ht="12.75" customHeight="1" x14ac:dyDescent="0.25">
      <c r="A31" s="39" t="s">
        <v>38</v>
      </c>
      <c r="B31" s="88"/>
      <c r="C31" s="88"/>
      <c r="D31" s="88">
        <v>1</v>
      </c>
      <c r="E31" s="88"/>
      <c r="F31" s="88">
        <v>1</v>
      </c>
      <c r="G31" s="88"/>
      <c r="H31" s="88"/>
      <c r="I31" s="88">
        <v>3</v>
      </c>
      <c r="J31" s="41">
        <f t="shared" si="14"/>
        <v>5</v>
      </c>
      <c r="K31" s="8"/>
      <c r="L31" s="196" t="s">
        <v>175</v>
      </c>
      <c r="M31" s="206"/>
      <c r="N31" s="206"/>
      <c r="O31" s="206"/>
      <c r="P31" s="206"/>
      <c r="Q31" s="206"/>
      <c r="R31" s="206"/>
      <c r="S31" s="206"/>
      <c r="T31" s="206"/>
      <c r="U31" s="207"/>
      <c r="X31" s="155"/>
      <c r="Y31" s="155"/>
      <c r="Z31" s="156"/>
      <c r="AA31" s="156"/>
      <c r="AC31" s="20">
        <f>J28/$U$36</f>
        <v>8.6956521739130432E-2</v>
      </c>
      <c r="AD31" s="20">
        <f>U13/$U$36</f>
        <v>0.2391304347826087</v>
      </c>
    </row>
    <row r="32" spans="1:30" ht="12.75" customHeight="1" x14ac:dyDescent="0.25">
      <c r="A32" s="29" t="s">
        <v>39</v>
      </c>
      <c r="B32" s="86"/>
      <c r="C32" s="86"/>
      <c r="D32" s="86"/>
      <c r="E32" s="86"/>
      <c r="F32" s="86"/>
      <c r="G32" s="86"/>
      <c r="H32" s="86"/>
      <c r="I32" s="86">
        <v>1</v>
      </c>
      <c r="J32" s="34">
        <f t="shared" si="14"/>
        <v>1</v>
      </c>
      <c r="K32" s="8"/>
      <c r="L32" s="29" t="s">
        <v>27</v>
      </c>
      <c r="M32" s="86"/>
      <c r="N32" s="86"/>
      <c r="O32" s="86"/>
      <c r="P32" s="86"/>
      <c r="Q32" s="86"/>
      <c r="R32" s="86"/>
      <c r="S32" s="86"/>
      <c r="T32" s="86"/>
      <c r="U32" s="99" t="str">
        <f t="shared" ref="U32:U35" si="16">IF(SUM(M32:T32),SUM(M32:T32),"")</f>
        <v/>
      </c>
      <c r="X32" s="155"/>
      <c r="Y32" s="155"/>
      <c r="Z32" s="156"/>
      <c r="AA32" s="156"/>
      <c r="AC32" s="20"/>
      <c r="AD32" s="20">
        <f>U14/$U$36</f>
        <v>4.3478260869565216E-2</v>
      </c>
    </row>
    <row r="33" spans="1:30" ht="12.75" customHeight="1" x14ac:dyDescent="0.25">
      <c r="A33" s="31" t="s">
        <v>90</v>
      </c>
      <c r="B33" s="33" t="str">
        <f>IF(SUM(B28:B32),SUM(B28:B32),"")</f>
        <v/>
      </c>
      <c r="C33" s="33" t="str">
        <f t="shared" ref="C33:J33" si="17">IF(SUM(C28:C32),SUM(C28:C32),"")</f>
        <v/>
      </c>
      <c r="D33" s="33">
        <f t="shared" si="17"/>
        <v>3</v>
      </c>
      <c r="E33" s="33">
        <f t="shared" si="17"/>
        <v>1</v>
      </c>
      <c r="F33" s="33">
        <f t="shared" si="17"/>
        <v>2</v>
      </c>
      <c r="G33" s="33">
        <f t="shared" si="17"/>
        <v>1</v>
      </c>
      <c r="H33" s="33">
        <f t="shared" si="17"/>
        <v>1</v>
      </c>
      <c r="I33" s="33">
        <f t="shared" si="17"/>
        <v>8</v>
      </c>
      <c r="J33" s="33">
        <f t="shared" si="17"/>
        <v>16</v>
      </c>
      <c r="K33" s="8"/>
      <c r="L33" s="39" t="s">
        <v>32</v>
      </c>
      <c r="M33" s="40">
        <v>4</v>
      </c>
      <c r="N33" s="40"/>
      <c r="O33" s="40"/>
      <c r="P33" s="40">
        <v>1</v>
      </c>
      <c r="Q33" s="40">
        <v>3</v>
      </c>
      <c r="R33" s="40">
        <v>3</v>
      </c>
      <c r="S33" s="40">
        <v>1</v>
      </c>
      <c r="T33" s="40">
        <v>6</v>
      </c>
      <c r="U33" s="41">
        <f t="shared" si="16"/>
        <v>18</v>
      </c>
      <c r="X33" s="155"/>
      <c r="Y33" s="155"/>
      <c r="Z33" s="156"/>
      <c r="AA33" s="156"/>
      <c r="AC33" s="20">
        <f>J30/$U$36</f>
        <v>4.3478260869565216E-2</v>
      </c>
      <c r="AD33" s="20" t="e">
        <f>#REF!/$U$36</f>
        <v>#REF!</v>
      </c>
    </row>
    <row r="34" spans="1:30" ht="12.75" customHeight="1" x14ac:dyDescent="0.25">
      <c r="A34" s="9"/>
      <c r="B34" s="9"/>
      <c r="C34" s="9"/>
      <c r="D34" s="9"/>
      <c r="E34" s="9"/>
      <c r="F34" s="9"/>
      <c r="G34" s="9"/>
      <c r="H34" s="9"/>
      <c r="I34" s="9"/>
      <c r="K34" s="8"/>
      <c r="L34" s="29" t="s">
        <v>44</v>
      </c>
      <c r="M34" s="86"/>
      <c r="N34" s="86"/>
      <c r="O34" s="86"/>
      <c r="P34" s="86">
        <v>1</v>
      </c>
      <c r="Q34" s="86">
        <v>2</v>
      </c>
      <c r="R34" s="86"/>
      <c r="S34" s="86"/>
      <c r="T34" s="86"/>
      <c r="U34" s="99">
        <f t="shared" si="16"/>
        <v>3</v>
      </c>
      <c r="X34" s="155"/>
      <c r="Y34" s="155"/>
      <c r="Z34" s="156"/>
      <c r="AA34" s="156"/>
      <c r="AC34" s="20">
        <f>J31/$U$36</f>
        <v>0.10869565217391304</v>
      </c>
      <c r="AD34" s="20">
        <f>U15/$U$36</f>
        <v>4.3478260869565216E-2</v>
      </c>
    </row>
    <row r="35" spans="1:30" ht="12.75" customHeight="1" x14ac:dyDescent="0.25">
      <c r="A35" s="196" t="s">
        <v>86</v>
      </c>
      <c r="B35" s="206"/>
      <c r="C35" s="206"/>
      <c r="D35" s="206"/>
      <c r="E35" s="206"/>
      <c r="F35" s="206"/>
      <c r="G35" s="206"/>
      <c r="H35" s="206"/>
      <c r="I35" s="206"/>
      <c r="J35" s="207"/>
      <c r="K35" s="8"/>
      <c r="L35" s="39" t="s">
        <v>68</v>
      </c>
      <c r="M35" s="40"/>
      <c r="N35" s="40"/>
      <c r="O35" s="40"/>
      <c r="P35" s="40">
        <v>5</v>
      </c>
      <c r="Q35" s="40">
        <v>3</v>
      </c>
      <c r="R35" s="40">
        <v>1</v>
      </c>
      <c r="S35" s="40">
        <v>3</v>
      </c>
      <c r="T35" s="40">
        <v>13</v>
      </c>
      <c r="U35" s="41">
        <f t="shared" si="16"/>
        <v>25</v>
      </c>
      <c r="X35" s="155"/>
      <c r="Y35" s="155"/>
      <c r="Z35" s="156"/>
      <c r="AA35" s="156"/>
      <c r="AC35" s="20">
        <f>J32/$U$36</f>
        <v>2.1739130434782608E-2</v>
      </c>
      <c r="AD35" s="21">
        <f>U16/$U$36</f>
        <v>0.43478260869565216</v>
      </c>
    </row>
    <row r="36" spans="1:30" ht="12.75" customHeight="1" x14ac:dyDescent="0.25">
      <c r="A36" s="29" t="s">
        <v>208</v>
      </c>
      <c r="B36" s="86"/>
      <c r="C36" s="86">
        <v>3</v>
      </c>
      <c r="D36" s="86"/>
      <c r="E36" s="86">
        <v>1</v>
      </c>
      <c r="F36" s="86">
        <v>3</v>
      </c>
      <c r="G36" s="86"/>
      <c r="H36" s="86"/>
      <c r="I36" s="86">
        <v>3</v>
      </c>
      <c r="J36" s="34">
        <f>IF(SUM(B36:I36),SUM(B36:I36),"")</f>
        <v>10</v>
      </c>
      <c r="K36" s="8"/>
      <c r="L36" s="31" t="s">
        <v>177</v>
      </c>
      <c r="M36" s="33">
        <f>IF(SUM(M32:M35),SUM(M32:M35),"")</f>
        <v>4</v>
      </c>
      <c r="N36" s="33" t="str">
        <f t="shared" ref="N36:U36" si="18">IF(SUM(N32:N35),SUM(N32:N35),"")</f>
        <v/>
      </c>
      <c r="O36" s="33" t="str">
        <f t="shared" si="18"/>
        <v/>
      </c>
      <c r="P36" s="33">
        <f t="shared" si="18"/>
        <v>7</v>
      </c>
      <c r="Q36" s="33">
        <f t="shared" si="18"/>
        <v>8</v>
      </c>
      <c r="R36" s="33">
        <f t="shared" si="18"/>
        <v>4</v>
      </c>
      <c r="S36" s="33">
        <f t="shared" si="18"/>
        <v>4</v>
      </c>
      <c r="T36" s="33">
        <f t="shared" si="18"/>
        <v>19</v>
      </c>
      <c r="U36" s="33">
        <f t="shared" si="18"/>
        <v>46</v>
      </c>
      <c r="X36" s="155"/>
      <c r="Y36" s="155"/>
      <c r="Z36" s="156"/>
      <c r="AA36" s="156"/>
      <c r="AC36" s="20" t="e">
        <f>#REF!/$U$36</f>
        <v>#REF!</v>
      </c>
      <c r="AD36" s="20"/>
    </row>
    <row r="37" spans="1:30" ht="12.75" customHeight="1" x14ac:dyDescent="0.25">
      <c r="A37" s="39" t="s">
        <v>26</v>
      </c>
      <c r="B37" s="88"/>
      <c r="C37" s="88"/>
      <c r="D37" s="88"/>
      <c r="E37" s="88">
        <v>1</v>
      </c>
      <c r="F37" s="88"/>
      <c r="G37" s="88"/>
      <c r="H37" s="88"/>
      <c r="I37" s="88">
        <v>1</v>
      </c>
      <c r="J37" s="41">
        <f t="shared" ref="J37" si="19">IF(SUM(B37:I37),SUM(B37:I37),"")</f>
        <v>2</v>
      </c>
      <c r="K37" s="8"/>
      <c r="M37" s="69"/>
      <c r="X37" s="155"/>
      <c r="Y37" s="155"/>
      <c r="Z37" s="156"/>
      <c r="AA37" s="156"/>
      <c r="AC37" s="20"/>
      <c r="AD37" s="20"/>
    </row>
    <row r="38" spans="1:30" ht="12.75" customHeight="1" x14ac:dyDescent="0.25">
      <c r="A38" s="35" t="s">
        <v>34</v>
      </c>
      <c r="B38" s="86"/>
      <c r="C38" s="86"/>
      <c r="D38" s="86"/>
      <c r="E38" s="86"/>
      <c r="F38" s="86">
        <v>1</v>
      </c>
      <c r="G38" s="86">
        <v>1</v>
      </c>
      <c r="H38" s="86"/>
      <c r="I38" s="86"/>
      <c r="J38" s="34">
        <f>IF(SUM(B38:I38),SUM(B38:I38),"")</f>
        <v>2</v>
      </c>
      <c r="K38" s="8"/>
      <c r="L38" s="196" t="s">
        <v>176</v>
      </c>
      <c r="M38" s="206"/>
      <c r="N38" s="206"/>
      <c r="O38" s="206"/>
      <c r="P38" s="206"/>
      <c r="Q38" s="206"/>
      <c r="R38" s="206"/>
      <c r="S38" s="206"/>
      <c r="T38" s="206"/>
      <c r="U38" s="207"/>
      <c r="X38" s="155"/>
      <c r="Y38" s="155"/>
      <c r="Z38" s="156"/>
      <c r="AA38" s="156"/>
      <c r="AC38" s="21">
        <f>J33/$U$36</f>
        <v>0.34782608695652173</v>
      </c>
      <c r="AD38" s="20">
        <f>U19/$U$36</f>
        <v>2.1739130434782608E-2</v>
      </c>
    </row>
    <row r="39" spans="1:30" ht="12.75" customHeight="1" x14ac:dyDescent="0.25">
      <c r="A39" s="31" t="s">
        <v>91</v>
      </c>
      <c r="B39" s="33" t="str">
        <f>IF(SUM(B36:B38),SUM(B36:B38),"")</f>
        <v/>
      </c>
      <c r="C39" s="33">
        <f t="shared" ref="C39:J39" si="20">IF(SUM(C36:C38),SUM(C36:C38),"")</f>
        <v>3</v>
      </c>
      <c r="D39" s="33" t="str">
        <f t="shared" si="20"/>
        <v/>
      </c>
      <c r="E39" s="33">
        <f t="shared" si="20"/>
        <v>2</v>
      </c>
      <c r="F39" s="33">
        <f t="shared" si="20"/>
        <v>4</v>
      </c>
      <c r="G39" s="33">
        <f t="shared" si="20"/>
        <v>1</v>
      </c>
      <c r="H39" s="33" t="str">
        <f t="shared" si="20"/>
        <v/>
      </c>
      <c r="I39" s="33">
        <f t="shared" si="20"/>
        <v>4</v>
      </c>
      <c r="J39" s="161">
        <f t="shared" si="20"/>
        <v>14</v>
      </c>
      <c r="K39" s="8"/>
      <c r="L39" s="29" t="s">
        <v>21</v>
      </c>
      <c r="M39" s="86"/>
      <c r="N39" s="86"/>
      <c r="O39" s="86"/>
      <c r="P39" s="86">
        <v>4</v>
      </c>
      <c r="Q39" s="86">
        <v>1</v>
      </c>
      <c r="R39" s="86"/>
      <c r="S39" s="86"/>
      <c r="T39" s="86">
        <v>3</v>
      </c>
      <c r="U39" s="99">
        <f>IF(SUM(M39:T39),SUM(M39:T39),"")</f>
        <v>8</v>
      </c>
      <c r="X39" s="155"/>
      <c r="Y39" s="155"/>
      <c r="Z39" s="156"/>
      <c r="AA39" s="156"/>
      <c r="AC39" s="20"/>
      <c r="AD39" s="20">
        <f>U20/$U$36</f>
        <v>0.10869565217391304</v>
      </c>
    </row>
    <row r="40" spans="1:30" ht="12.75" customHeight="1" x14ac:dyDescent="0.25">
      <c r="A40" s="9"/>
      <c r="B40" s="9"/>
      <c r="C40" s="9"/>
      <c r="D40" s="9"/>
      <c r="E40" s="9"/>
      <c r="F40" s="9"/>
      <c r="G40" s="9"/>
      <c r="H40" s="9"/>
      <c r="I40" s="9"/>
      <c r="J40" s="6"/>
      <c r="K40" s="8"/>
      <c r="L40" s="39" t="s">
        <v>28</v>
      </c>
      <c r="M40" s="40"/>
      <c r="N40" s="40"/>
      <c r="O40" s="40"/>
      <c r="P40" s="40"/>
      <c r="Q40" s="40"/>
      <c r="R40" s="40"/>
      <c r="S40" s="40"/>
      <c r="T40" s="40">
        <v>1</v>
      </c>
      <c r="U40" s="41">
        <f t="shared" ref="U40" si="21">IF(SUM(M40:T40),SUM(M40:T40),"")</f>
        <v>1</v>
      </c>
      <c r="X40" s="155"/>
      <c r="Y40" s="155"/>
      <c r="Z40" s="156"/>
      <c r="AA40" s="156"/>
      <c r="AC40" s="20"/>
      <c r="AD40" s="20">
        <f>U21/$U$36</f>
        <v>8.6956521739130432E-2</v>
      </c>
    </row>
    <row r="41" spans="1:30" ht="12.75" customHeight="1" x14ac:dyDescent="0.25">
      <c r="A41" s="196" t="s">
        <v>108</v>
      </c>
      <c r="B41" s="206"/>
      <c r="C41" s="206"/>
      <c r="D41" s="206"/>
      <c r="E41" s="206"/>
      <c r="F41" s="206"/>
      <c r="G41" s="206"/>
      <c r="H41" s="206"/>
      <c r="I41" s="206"/>
      <c r="J41" s="207"/>
      <c r="K41" s="8"/>
      <c r="L41" s="29" t="s">
        <v>40</v>
      </c>
      <c r="M41" s="86"/>
      <c r="N41" s="86"/>
      <c r="O41" s="86"/>
      <c r="P41" s="86"/>
      <c r="Q41" s="86">
        <v>1</v>
      </c>
      <c r="R41" s="86"/>
      <c r="S41" s="86"/>
      <c r="T41" s="86">
        <v>1</v>
      </c>
      <c r="U41" s="99">
        <f>IF(SUM(M41:T41),SUM(M41:T41),"")</f>
        <v>2</v>
      </c>
      <c r="X41" s="155"/>
      <c r="Y41" s="155"/>
      <c r="Z41" s="156"/>
      <c r="AA41" s="156"/>
      <c r="AC41" s="20">
        <f>J36/$U$36</f>
        <v>0.21739130434782608</v>
      </c>
      <c r="AD41" s="20" t="e">
        <f>#REF!/$U$36</f>
        <v>#REF!</v>
      </c>
    </row>
    <row r="42" spans="1:30" ht="12.75" customHeight="1" x14ac:dyDescent="0.25">
      <c r="A42" s="96" t="s">
        <v>15</v>
      </c>
      <c r="B42" s="86"/>
      <c r="C42" s="86"/>
      <c r="D42" s="86"/>
      <c r="E42" s="86"/>
      <c r="F42" s="86">
        <v>1</v>
      </c>
      <c r="G42" s="86"/>
      <c r="H42" s="86"/>
      <c r="I42" s="86"/>
      <c r="J42" s="159">
        <f>IF(SUM(B42:I42),SUM(B42:I42),"")</f>
        <v>1</v>
      </c>
      <c r="K42" s="8"/>
      <c r="L42" s="39" t="s">
        <v>45</v>
      </c>
      <c r="M42" s="40">
        <v>1</v>
      </c>
      <c r="N42" s="40">
        <v>1</v>
      </c>
      <c r="O42" s="40">
        <v>2</v>
      </c>
      <c r="P42" s="40">
        <v>1</v>
      </c>
      <c r="Q42" s="40">
        <v>1</v>
      </c>
      <c r="R42" s="40"/>
      <c r="S42" s="40"/>
      <c r="T42" s="40"/>
      <c r="U42" s="41">
        <f>IF(SUM(M42:T42),SUM(M42:T42),"")</f>
        <v>6</v>
      </c>
      <c r="X42" s="155"/>
      <c r="Y42" s="155"/>
      <c r="Z42" s="156"/>
      <c r="AA42" s="156"/>
      <c r="AC42" s="20">
        <f>J37/$U$36</f>
        <v>4.3478260869565216E-2</v>
      </c>
      <c r="AD42" s="20" t="e">
        <f>#REF!/$U$36</f>
        <v>#REF!</v>
      </c>
    </row>
    <row r="43" spans="1:30" ht="12.75" customHeight="1" x14ac:dyDescent="0.25">
      <c r="A43" s="39" t="s">
        <v>22</v>
      </c>
      <c r="B43" s="88"/>
      <c r="C43" s="88"/>
      <c r="D43" s="88"/>
      <c r="E43" s="88"/>
      <c r="F43" s="88"/>
      <c r="G43" s="88"/>
      <c r="H43" s="88"/>
      <c r="I43" s="88"/>
      <c r="J43" s="160" t="str">
        <f t="shared" ref="J43:J49" si="22">IF(SUM(B43:I43),SUM(B43:I43),"")</f>
        <v/>
      </c>
      <c r="K43" s="8"/>
      <c r="L43" s="96" t="s">
        <v>51</v>
      </c>
      <c r="M43" s="86"/>
      <c r="N43" s="86"/>
      <c r="O43" s="86">
        <v>2</v>
      </c>
      <c r="P43" s="86"/>
      <c r="Q43" s="86"/>
      <c r="R43" s="86"/>
      <c r="S43" s="86"/>
      <c r="T43" s="86"/>
      <c r="U43" s="159">
        <f>IF(SUM(M43:T43),SUM(M43:T43),"")</f>
        <v>2</v>
      </c>
      <c r="AC43" s="20">
        <f>J38/$U$36</f>
        <v>4.3478260869565216E-2</v>
      </c>
      <c r="AD43" s="20" t="e">
        <f>#REF!/$U$36</f>
        <v>#REF!</v>
      </c>
    </row>
    <row r="44" spans="1:30" ht="12.75" customHeight="1" x14ac:dyDescent="0.25">
      <c r="A44" s="98" t="s">
        <v>101</v>
      </c>
      <c r="B44" s="86"/>
      <c r="C44" s="86"/>
      <c r="D44" s="86"/>
      <c r="E44" s="86"/>
      <c r="F44" s="86"/>
      <c r="G44" s="86"/>
      <c r="H44" s="86"/>
      <c r="I44" s="86"/>
      <c r="J44" s="159" t="str">
        <f t="shared" si="22"/>
        <v/>
      </c>
      <c r="K44" s="8"/>
      <c r="L44" s="31" t="s">
        <v>178</v>
      </c>
      <c r="M44" s="33">
        <f>IF(SUM(M39:M43),SUM(M39:M43),"")</f>
        <v>1</v>
      </c>
      <c r="N44" s="33">
        <f t="shared" ref="N44:U44" si="23">IF(SUM(N39:N43),SUM(N39:N43),"")</f>
        <v>1</v>
      </c>
      <c r="O44" s="33">
        <f t="shared" si="23"/>
        <v>4</v>
      </c>
      <c r="P44" s="33">
        <f t="shared" si="23"/>
        <v>5</v>
      </c>
      <c r="Q44" s="33">
        <f t="shared" si="23"/>
        <v>3</v>
      </c>
      <c r="R44" s="33" t="str">
        <f t="shared" si="23"/>
        <v/>
      </c>
      <c r="S44" s="33" t="str">
        <f t="shared" si="23"/>
        <v/>
      </c>
      <c r="T44" s="33">
        <f t="shared" si="23"/>
        <v>5</v>
      </c>
      <c r="U44" s="33">
        <f t="shared" si="23"/>
        <v>19</v>
      </c>
      <c r="AC44" s="20"/>
      <c r="AD44" s="21">
        <f>U22/$U$36</f>
        <v>0.21739130434782608</v>
      </c>
    </row>
    <row r="45" spans="1:30" ht="12.75" customHeight="1" x14ac:dyDescent="0.25">
      <c r="A45" s="39" t="s">
        <v>41</v>
      </c>
      <c r="B45" s="88"/>
      <c r="C45" s="88"/>
      <c r="D45" s="88"/>
      <c r="E45" s="88"/>
      <c r="F45" s="88"/>
      <c r="G45" s="88"/>
      <c r="H45" s="88"/>
      <c r="I45" s="88">
        <v>2</v>
      </c>
      <c r="J45" s="160">
        <f t="shared" si="22"/>
        <v>2</v>
      </c>
      <c r="K45" s="8"/>
      <c r="AC45" s="20" t="e">
        <f>#REF!/$U$36</f>
        <v>#REF!</v>
      </c>
      <c r="AD45" s="20"/>
    </row>
    <row r="46" spans="1:30" ht="12.75" customHeight="1" x14ac:dyDescent="0.25">
      <c r="A46" s="96" t="s">
        <v>50</v>
      </c>
      <c r="B46" s="86"/>
      <c r="C46" s="86"/>
      <c r="D46" s="86">
        <v>6</v>
      </c>
      <c r="E46" s="86"/>
      <c r="F46" s="86"/>
      <c r="G46" s="86">
        <v>1</v>
      </c>
      <c r="H46" s="86"/>
      <c r="I46" s="86"/>
      <c r="J46" s="112">
        <f t="shared" si="22"/>
        <v>7</v>
      </c>
      <c r="K46" s="8"/>
      <c r="L46" s="196" t="s">
        <v>179</v>
      </c>
      <c r="M46" s="206"/>
      <c r="N46" s="206"/>
      <c r="O46" s="206"/>
      <c r="P46" s="206"/>
      <c r="Q46" s="206"/>
      <c r="R46" s="206"/>
      <c r="S46" s="206"/>
      <c r="T46" s="206"/>
      <c r="U46" s="207"/>
      <c r="AC46" s="20" t="e">
        <f>#REF!/$U$36</f>
        <v>#REF!</v>
      </c>
      <c r="AD46" s="20"/>
    </row>
    <row r="47" spans="1:30" ht="12.75" customHeight="1" x14ac:dyDescent="0.25">
      <c r="A47" s="39" t="s">
        <v>52</v>
      </c>
      <c r="B47" s="88"/>
      <c r="C47" s="88"/>
      <c r="D47" s="88"/>
      <c r="E47" s="88"/>
      <c r="F47" s="88"/>
      <c r="G47" s="88"/>
      <c r="H47" s="88"/>
      <c r="I47" s="88"/>
      <c r="J47" s="160" t="str">
        <f t="shared" si="22"/>
        <v/>
      </c>
      <c r="K47" s="8"/>
      <c r="L47" s="29" t="s">
        <v>4</v>
      </c>
      <c r="M47" s="30"/>
      <c r="N47" s="30"/>
      <c r="O47" s="30"/>
      <c r="P47" s="30">
        <v>3</v>
      </c>
      <c r="Q47" s="30">
        <v>1</v>
      </c>
      <c r="R47" s="30"/>
      <c r="S47" s="30">
        <v>1</v>
      </c>
      <c r="T47" s="30">
        <v>2</v>
      </c>
      <c r="U47" s="99">
        <f>IF(SUM(M47:T47),SUM(M47:T47),"")</f>
        <v>7</v>
      </c>
      <c r="AC47" s="20"/>
      <c r="AD47" s="20" t="e">
        <f>#REF!/$U$36</f>
        <v>#REF!</v>
      </c>
    </row>
    <row r="48" spans="1:30" ht="12.75" customHeight="1" x14ac:dyDescent="0.25">
      <c r="A48" s="96" t="s">
        <v>53</v>
      </c>
      <c r="B48" s="86"/>
      <c r="C48" s="86"/>
      <c r="D48" s="86"/>
      <c r="E48" s="86"/>
      <c r="F48" s="86"/>
      <c r="G48" s="86"/>
      <c r="H48" s="86"/>
      <c r="I48" s="86">
        <v>1</v>
      </c>
      <c r="J48" s="159">
        <f t="shared" si="22"/>
        <v>1</v>
      </c>
      <c r="K48" s="8"/>
      <c r="L48" s="39" t="s">
        <v>14</v>
      </c>
      <c r="M48" s="40"/>
      <c r="N48" s="40">
        <v>23</v>
      </c>
      <c r="O48" s="40"/>
      <c r="P48" s="40">
        <v>1</v>
      </c>
      <c r="Q48" s="40">
        <v>3</v>
      </c>
      <c r="R48" s="40">
        <v>2</v>
      </c>
      <c r="S48" s="40">
        <v>4</v>
      </c>
      <c r="T48" s="40">
        <v>23.000000000000004</v>
      </c>
      <c r="U48" s="41">
        <f>IF(SUM(M48:T48),SUM(M48:T48),"")</f>
        <v>56</v>
      </c>
      <c r="AC48" s="20" t="e">
        <f>#REF!/$U$36</f>
        <v>#REF!</v>
      </c>
      <c r="AD48" s="20"/>
    </row>
    <row r="49" spans="1:37" ht="12.75" customHeight="1" x14ac:dyDescent="0.25">
      <c r="A49" s="39" t="s">
        <v>55</v>
      </c>
      <c r="B49" s="88"/>
      <c r="C49" s="88"/>
      <c r="D49" s="88"/>
      <c r="E49" s="88"/>
      <c r="F49" s="88"/>
      <c r="G49" s="88"/>
      <c r="H49" s="88"/>
      <c r="I49" s="88"/>
      <c r="J49" s="160" t="str">
        <f t="shared" si="22"/>
        <v/>
      </c>
      <c r="K49" s="8"/>
      <c r="L49" s="29" t="s">
        <v>59</v>
      </c>
      <c r="M49" s="30"/>
      <c r="N49" s="30"/>
      <c r="O49" s="30">
        <v>3</v>
      </c>
      <c r="P49" s="30">
        <v>4</v>
      </c>
      <c r="Q49" s="30">
        <v>2</v>
      </c>
      <c r="R49" s="30">
        <v>1</v>
      </c>
      <c r="S49" s="30">
        <v>1</v>
      </c>
      <c r="T49" s="30">
        <v>4</v>
      </c>
      <c r="U49" s="99">
        <f t="shared" ref="U49" si="24">IF(SUM(M49:T49),SUM(M49:T49),"")</f>
        <v>15</v>
      </c>
      <c r="AC49" s="20" t="e">
        <f>#REF!/$U$36</f>
        <v>#REF!</v>
      </c>
      <c r="AD49" s="20" t="e">
        <f>U26/$U$36</f>
        <v>#VALUE!</v>
      </c>
    </row>
    <row r="50" spans="1:37" ht="12.75" customHeight="1" x14ac:dyDescent="0.25">
      <c r="A50" s="31" t="s">
        <v>109</v>
      </c>
      <c r="B50" s="33" t="str">
        <f t="shared" ref="B50:J50" si="25">IF(SUM(B42:B49),SUM(B42:B49),"")</f>
        <v/>
      </c>
      <c r="C50" s="33" t="str">
        <f t="shared" si="25"/>
        <v/>
      </c>
      <c r="D50" s="33">
        <f t="shared" si="25"/>
        <v>6</v>
      </c>
      <c r="E50" s="33" t="str">
        <f t="shared" si="25"/>
        <v/>
      </c>
      <c r="F50" s="33">
        <f t="shared" si="25"/>
        <v>1</v>
      </c>
      <c r="G50" s="33">
        <f t="shared" si="25"/>
        <v>1</v>
      </c>
      <c r="H50" s="33" t="str">
        <f t="shared" si="25"/>
        <v/>
      </c>
      <c r="I50" s="33">
        <f t="shared" si="25"/>
        <v>3</v>
      </c>
      <c r="J50" s="33">
        <f t="shared" si="25"/>
        <v>11</v>
      </c>
      <c r="K50" s="8"/>
      <c r="L50" s="31" t="s">
        <v>180</v>
      </c>
      <c r="M50" s="33" t="str">
        <f t="shared" ref="M50:U50" si="26">IF(SUM(M47:M49),SUM(M47:M49),"")</f>
        <v/>
      </c>
      <c r="N50" s="33">
        <f t="shared" si="26"/>
        <v>23</v>
      </c>
      <c r="O50" s="33">
        <f t="shared" si="26"/>
        <v>3</v>
      </c>
      <c r="P50" s="33">
        <f t="shared" si="26"/>
        <v>8</v>
      </c>
      <c r="Q50" s="33">
        <f t="shared" si="26"/>
        <v>6</v>
      </c>
      <c r="R50" s="33">
        <f t="shared" si="26"/>
        <v>3</v>
      </c>
      <c r="S50" s="33">
        <f t="shared" si="26"/>
        <v>6</v>
      </c>
      <c r="T50" s="33">
        <f t="shared" si="26"/>
        <v>29.000000000000004</v>
      </c>
      <c r="U50" s="33">
        <f t="shared" si="26"/>
        <v>78</v>
      </c>
      <c r="AC50" s="20" t="e">
        <f>#REF!/$U$36</f>
        <v>#REF!</v>
      </c>
      <c r="AD50" s="20"/>
    </row>
    <row r="51" spans="1:37" ht="12.75" customHeight="1" x14ac:dyDescent="0.25">
      <c r="A51" s="9"/>
      <c r="B51" s="9"/>
      <c r="C51" s="9"/>
      <c r="D51" s="9"/>
      <c r="E51" s="9"/>
      <c r="F51" s="9"/>
      <c r="G51" s="9"/>
      <c r="H51" s="9"/>
      <c r="I51" s="9"/>
      <c r="K51" s="162"/>
      <c r="AC51" s="20" t="e">
        <f>#REF!/$U$36</f>
        <v>#REF!</v>
      </c>
      <c r="AD51" s="20"/>
    </row>
    <row r="52" spans="1:37" ht="12.75" customHeight="1" x14ac:dyDescent="0.25">
      <c r="A52" s="196" t="s">
        <v>110</v>
      </c>
      <c r="B52" s="206"/>
      <c r="C52" s="206"/>
      <c r="D52" s="206"/>
      <c r="E52" s="206"/>
      <c r="F52" s="206"/>
      <c r="G52" s="206"/>
      <c r="H52" s="206"/>
      <c r="I52" s="206"/>
      <c r="J52" s="207"/>
      <c r="K52" s="8"/>
      <c r="L52" s="196" t="s">
        <v>181</v>
      </c>
      <c r="M52" s="206"/>
      <c r="N52" s="206"/>
      <c r="O52" s="206"/>
      <c r="P52" s="206"/>
      <c r="Q52" s="206"/>
      <c r="R52" s="206"/>
      <c r="S52" s="206"/>
      <c r="T52" s="206"/>
      <c r="U52" s="207"/>
      <c r="AC52" s="20" t="e">
        <f>#REF!/$U$36</f>
        <v>#REF!</v>
      </c>
      <c r="AD52" s="20"/>
    </row>
    <row r="53" spans="1:37" ht="12.75" customHeight="1" x14ac:dyDescent="0.25">
      <c r="A53" s="96" t="s">
        <v>8</v>
      </c>
      <c r="B53" s="86">
        <v>5</v>
      </c>
      <c r="C53" s="86"/>
      <c r="D53" s="86"/>
      <c r="E53" s="86"/>
      <c r="F53" s="86">
        <v>1</v>
      </c>
      <c r="G53" s="86"/>
      <c r="H53" s="86"/>
      <c r="I53" s="86">
        <v>3</v>
      </c>
      <c r="J53" s="159">
        <f>IF(SUM(B53:I53),SUM(B53:I53),"")</f>
        <v>9</v>
      </c>
      <c r="K53" s="8"/>
      <c r="L53" s="29" t="s">
        <v>98</v>
      </c>
      <c r="M53" s="86"/>
      <c r="N53" s="86"/>
      <c r="O53" s="86"/>
      <c r="P53" s="86"/>
      <c r="Q53" s="86">
        <v>2</v>
      </c>
      <c r="R53" s="86"/>
      <c r="S53" s="86">
        <v>1</v>
      </c>
      <c r="T53" s="86">
        <v>2</v>
      </c>
      <c r="U53" s="99">
        <f>IF(SUM(M53:T53),SUM(M53:T53),"")</f>
        <v>5</v>
      </c>
      <c r="AC53" s="21">
        <f>J39/$U$36</f>
        <v>0.30434782608695654</v>
      </c>
      <c r="AD53" s="20"/>
    </row>
    <row r="54" spans="1:37" ht="12.75" customHeight="1" x14ac:dyDescent="0.25">
      <c r="A54" s="39" t="s">
        <v>12</v>
      </c>
      <c r="B54" s="88"/>
      <c r="C54" s="88"/>
      <c r="D54" s="88"/>
      <c r="E54" s="88"/>
      <c r="F54" s="88"/>
      <c r="G54" s="88"/>
      <c r="H54" s="88"/>
      <c r="I54" s="88">
        <v>3</v>
      </c>
      <c r="J54" s="160">
        <f t="shared" ref="J54" si="27">IF(SUM(B54:I54),SUM(B54:I54),"")</f>
        <v>3</v>
      </c>
      <c r="K54" s="8"/>
      <c r="L54" s="39" t="s">
        <v>23</v>
      </c>
      <c r="M54" s="40"/>
      <c r="N54" s="40"/>
      <c r="O54" s="40"/>
      <c r="P54" s="40"/>
      <c r="Q54" s="40"/>
      <c r="R54" s="40"/>
      <c r="S54" s="40"/>
      <c r="T54" s="40"/>
      <c r="U54" s="41" t="str">
        <f t="shared" ref="U54:U55" si="28">IF(SUM(M54:T54),SUM(M54:T54),"")</f>
        <v/>
      </c>
      <c r="AC54" s="20"/>
      <c r="AD54" s="20"/>
    </row>
    <row r="55" spans="1:37" ht="12.75" customHeight="1" x14ac:dyDescent="0.25">
      <c r="A55" s="98" t="s">
        <v>35</v>
      </c>
      <c r="B55" s="86"/>
      <c r="C55" s="86">
        <v>2</v>
      </c>
      <c r="D55" s="86"/>
      <c r="E55" s="86">
        <v>6</v>
      </c>
      <c r="F55" s="86"/>
      <c r="G55" s="86">
        <v>4</v>
      </c>
      <c r="H55" s="86"/>
      <c r="I55" s="86">
        <v>1</v>
      </c>
      <c r="J55" s="159">
        <f>IF(SUM(B55:I55),SUM(B55:I55),"")</f>
        <v>13</v>
      </c>
      <c r="K55" s="8"/>
      <c r="L55" s="29" t="s">
        <v>29</v>
      </c>
      <c r="M55" s="86"/>
      <c r="N55" s="86"/>
      <c r="O55" s="86"/>
      <c r="P55" s="86"/>
      <c r="Q55" s="86">
        <v>1</v>
      </c>
      <c r="R55" s="86"/>
      <c r="S55" s="86"/>
      <c r="T55" s="86">
        <v>1</v>
      </c>
      <c r="U55" s="99">
        <f t="shared" si="28"/>
        <v>2</v>
      </c>
      <c r="AC55" s="20"/>
      <c r="AD55" s="20" t="e">
        <f>#REF!/$U$36</f>
        <v>#REF!</v>
      </c>
    </row>
    <row r="56" spans="1:37" ht="12.75" customHeight="1" x14ac:dyDescent="0.25">
      <c r="A56" s="31" t="s">
        <v>111</v>
      </c>
      <c r="B56" s="33">
        <f t="shared" ref="B56:J56" si="29">IF(SUM(B53:B55),SUM(B53:B55),"")</f>
        <v>5</v>
      </c>
      <c r="C56" s="33">
        <f t="shared" si="29"/>
        <v>2</v>
      </c>
      <c r="D56" s="33" t="str">
        <f t="shared" si="29"/>
        <v/>
      </c>
      <c r="E56" s="33">
        <f t="shared" si="29"/>
        <v>6</v>
      </c>
      <c r="F56" s="33">
        <f t="shared" si="29"/>
        <v>1</v>
      </c>
      <c r="G56" s="33">
        <f t="shared" si="29"/>
        <v>4</v>
      </c>
      <c r="H56" s="33" t="str">
        <f t="shared" si="29"/>
        <v/>
      </c>
      <c r="I56" s="33">
        <f t="shared" si="29"/>
        <v>7</v>
      </c>
      <c r="J56" s="33">
        <f t="shared" si="29"/>
        <v>25</v>
      </c>
      <c r="K56" s="8"/>
      <c r="L56" s="39" t="s">
        <v>62</v>
      </c>
      <c r="M56" s="40"/>
      <c r="N56" s="40"/>
      <c r="O56" s="40"/>
      <c r="P56" s="40">
        <v>4</v>
      </c>
      <c r="Q56" s="40"/>
      <c r="R56" s="40">
        <v>3</v>
      </c>
      <c r="S56" s="40">
        <v>1</v>
      </c>
      <c r="T56" s="40">
        <v>4</v>
      </c>
      <c r="U56" s="41">
        <f>IF(SUM(M56:T56),SUM(M56:T56),"")</f>
        <v>12</v>
      </c>
      <c r="AC56" s="20" t="e">
        <f>#REF!/$U$36</f>
        <v>#REF!</v>
      </c>
      <c r="AD56" s="20" t="e">
        <f>#REF!/$U$36</f>
        <v>#REF!</v>
      </c>
    </row>
    <row r="57" spans="1:37" ht="12.75" customHeight="1" x14ac:dyDescent="0.25">
      <c r="K57" s="8"/>
      <c r="L57" s="96" t="s">
        <v>65</v>
      </c>
      <c r="M57" s="86"/>
      <c r="N57" s="86"/>
      <c r="O57" s="86">
        <v>2</v>
      </c>
      <c r="P57" s="86"/>
      <c r="Q57" s="86">
        <v>1</v>
      </c>
      <c r="R57" s="86"/>
      <c r="S57" s="86"/>
      <c r="T57" s="86">
        <v>4</v>
      </c>
      <c r="U57" s="159">
        <f>IF(SUM(M57:T57),SUM(M57:T57),"")</f>
        <v>7</v>
      </c>
      <c r="V57" s="7"/>
      <c r="W57" s="7"/>
      <c r="X57" s="7"/>
      <c r="Y57" s="7"/>
      <c r="Z57" s="7"/>
      <c r="AA57" s="7"/>
      <c r="AB57" s="7"/>
      <c r="AC57" s="20" t="e">
        <f>#REF!/$U$36</f>
        <v>#REF!</v>
      </c>
      <c r="AD57" s="20" t="e">
        <f>#REF!/$U$36</f>
        <v>#REF!</v>
      </c>
    </row>
    <row r="58" spans="1:37" ht="12.75" customHeight="1" x14ac:dyDescent="0.25">
      <c r="A58" s="196" t="s">
        <v>112</v>
      </c>
      <c r="B58" s="206"/>
      <c r="C58" s="206"/>
      <c r="D58" s="206"/>
      <c r="E58" s="206"/>
      <c r="F58" s="206"/>
      <c r="G58" s="206"/>
      <c r="H58" s="206"/>
      <c r="I58" s="206"/>
      <c r="J58" s="207"/>
      <c r="K58" s="8"/>
      <c r="L58" s="31" t="s">
        <v>182</v>
      </c>
      <c r="M58" s="33" t="str">
        <f>IF(SUM(M53:M57),SUM(M53:M57),"")</f>
        <v/>
      </c>
      <c r="N58" s="33" t="str">
        <f t="shared" ref="N58:U58" si="30">IF(SUM(N53:N57),SUM(N53:N57),"")</f>
        <v/>
      </c>
      <c r="O58" s="33">
        <f t="shared" si="30"/>
        <v>2</v>
      </c>
      <c r="P58" s="33">
        <f t="shared" si="30"/>
        <v>4</v>
      </c>
      <c r="Q58" s="33">
        <f t="shared" si="30"/>
        <v>4</v>
      </c>
      <c r="R58" s="33">
        <f t="shared" si="30"/>
        <v>3</v>
      </c>
      <c r="S58" s="33">
        <f t="shared" si="30"/>
        <v>2</v>
      </c>
      <c r="T58" s="33">
        <f t="shared" si="30"/>
        <v>11</v>
      </c>
      <c r="U58" s="33">
        <f t="shared" si="30"/>
        <v>26</v>
      </c>
      <c r="AC58" s="20" t="e">
        <f>#REF!/$U$36</f>
        <v>#REF!</v>
      </c>
      <c r="AD58" s="21">
        <f>U29/$U$36</f>
        <v>0.17391304347826086</v>
      </c>
    </row>
    <row r="59" spans="1:37" ht="12.75" customHeight="1" x14ac:dyDescent="0.25">
      <c r="A59" s="96" t="s">
        <v>13</v>
      </c>
      <c r="B59" s="86"/>
      <c r="C59" s="86"/>
      <c r="D59" s="86"/>
      <c r="E59" s="86"/>
      <c r="F59" s="86"/>
      <c r="G59" s="86"/>
      <c r="H59" s="86"/>
      <c r="I59" s="86"/>
      <c r="J59" s="159" t="str">
        <f>IF(SUM(B59:I59),SUM(B59:I59),"")</f>
        <v/>
      </c>
      <c r="K59" s="8"/>
      <c r="AC59" s="21">
        <f>J50/$U$36</f>
        <v>0.2391304347826087</v>
      </c>
      <c r="AD59" s="20"/>
    </row>
    <row r="60" spans="1:37" ht="12.75" customHeight="1" x14ac:dyDescent="0.25">
      <c r="A60" s="39" t="s">
        <v>43</v>
      </c>
      <c r="B60" s="88">
        <v>9</v>
      </c>
      <c r="C60" s="88"/>
      <c r="D60" s="88"/>
      <c r="E60" s="88">
        <v>1</v>
      </c>
      <c r="F60" s="88"/>
      <c r="G60" s="88"/>
      <c r="H60" s="88"/>
      <c r="I60" s="88"/>
      <c r="J60" s="160">
        <f t="shared" ref="J60" si="31">IF(SUM(B60:I60),SUM(B60:I60),"")</f>
        <v>10</v>
      </c>
      <c r="K60" s="8"/>
      <c r="L60" s="196" t="s">
        <v>183</v>
      </c>
      <c r="M60" s="206"/>
      <c r="N60" s="206"/>
      <c r="O60" s="206"/>
      <c r="P60" s="206"/>
      <c r="Q60" s="206"/>
      <c r="R60" s="206"/>
      <c r="S60" s="206"/>
      <c r="T60" s="206"/>
      <c r="U60" s="207"/>
      <c r="AD60" s="20"/>
    </row>
    <row r="61" spans="1:37" ht="12.75" customHeight="1" x14ac:dyDescent="0.25">
      <c r="A61" s="98" t="s">
        <v>56</v>
      </c>
      <c r="B61" s="86"/>
      <c r="C61" s="86"/>
      <c r="D61" s="86"/>
      <c r="E61" s="86"/>
      <c r="F61" s="86"/>
      <c r="G61" s="86"/>
      <c r="H61" s="86"/>
      <c r="I61" s="86"/>
      <c r="J61" s="159" t="str">
        <f>IF(SUM(B61:I61),SUM(B61:I61),"")</f>
        <v/>
      </c>
      <c r="K61" s="8"/>
      <c r="L61" s="29" t="s">
        <v>7</v>
      </c>
      <c r="M61" s="86"/>
      <c r="N61" s="86"/>
      <c r="O61" s="86"/>
      <c r="P61" s="86"/>
      <c r="Q61" s="86"/>
      <c r="R61" s="86"/>
      <c r="S61" s="86"/>
      <c r="T61" s="86"/>
      <c r="U61" s="99" t="str">
        <f>IF(SUM(M61:T61),SUM(M61:T61),"")</f>
        <v/>
      </c>
      <c r="V61" s="60"/>
      <c r="AD61" s="20">
        <f>U35/$U$36</f>
        <v>0.54347826086956519</v>
      </c>
    </row>
    <row r="62" spans="1:37" ht="12.75" customHeight="1" x14ac:dyDescent="0.25">
      <c r="A62" s="39" t="s">
        <v>67</v>
      </c>
      <c r="B62" s="88"/>
      <c r="C62" s="88"/>
      <c r="D62" s="88">
        <v>5</v>
      </c>
      <c r="E62" s="88"/>
      <c r="F62" s="88"/>
      <c r="G62" s="88"/>
      <c r="H62" s="88"/>
      <c r="I62" s="88"/>
      <c r="J62" s="160">
        <f>IF(SUM(B62:I62),SUM(B62:I62),"")</f>
        <v>5</v>
      </c>
      <c r="K62" s="8"/>
      <c r="L62" s="39" t="s">
        <v>48</v>
      </c>
      <c r="M62" s="40"/>
      <c r="N62" s="40"/>
      <c r="O62" s="40"/>
      <c r="P62" s="40"/>
      <c r="Q62" s="40"/>
      <c r="R62" s="40"/>
      <c r="S62" s="40"/>
      <c r="T62" s="40"/>
      <c r="U62" s="41" t="str">
        <f t="shared" ref="U62" si="32">IF(SUM(M62:T62),SUM(M62:T62),"")</f>
        <v/>
      </c>
      <c r="V62" s="7"/>
      <c r="W62" s="7"/>
      <c r="X62" s="7"/>
      <c r="Y62" s="7"/>
      <c r="Z62" s="7"/>
      <c r="AA62" s="7"/>
      <c r="AB62" s="7"/>
      <c r="AD62" s="20"/>
    </row>
    <row r="63" spans="1:37" ht="12.75" customHeight="1" x14ac:dyDescent="0.25">
      <c r="A63" s="31" t="s">
        <v>113</v>
      </c>
      <c r="B63" s="33">
        <f t="shared" ref="B63:J63" si="33">IF(SUM(B59:B62),SUM(B59:B62),"")</f>
        <v>9</v>
      </c>
      <c r="C63" s="33" t="str">
        <f t="shared" si="33"/>
        <v/>
      </c>
      <c r="D63" s="33">
        <f t="shared" si="33"/>
        <v>5</v>
      </c>
      <c r="E63" s="33">
        <f t="shared" si="33"/>
        <v>1</v>
      </c>
      <c r="F63" s="33" t="str">
        <f t="shared" si="33"/>
        <v/>
      </c>
      <c r="G63" s="33" t="str">
        <f t="shared" si="33"/>
        <v/>
      </c>
      <c r="H63" s="33" t="str">
        <f t="shared" si="33"/>
        <v/>
      </c>
      <c r="I63" s="33" t="str">
        <f t="shared" si="33"/>
        <v/>
      </c>
      <c r="J63" s="33">
        <f t="shared" si="33"/>
        <v>15</v>
      </c>
      <c r="L63" s="29" t="s">
        <v>57</v>
      </c>
      <c r="M63" s="183"/>
      <c r="N63" s="183"/>
      <c r="O63" s="183"/>
      <c r="P63" s="183"/>
      <c r="Q63" s="183"/>
      <c r="R63" s="183"/>
      <c r="S63" s="183"/>
      <c r="T63" s="183"/>
      <c r="U63" s="99" t="str">
        <f>IF(SUM(M63:T63),SUM(M63:T63),"")</f>
        <v/>
      </c>
      <c r="V63" s="7"/>
      <c r="W63" s="7"/>
      <c r="X63" s="7"/>
      <c r="Y63" s="7"/>
      <c r="Z63" s="7"/>
      <c r="AA63" s="7"/>
      <c r="AB63" s="7"/>
      <c r="AK63" s="20"/>
    </row>
    <row r="64" spans="1:37" ht="12.75" customHeight="1" x14ac:dyDescent="0.25">
      <c r="L64" s="31" t="s">
        <v>184</v>
      </c>
      <c r="M64" s="33" t="str">
        <f t="shared" ref="M64:T64" si="34">IF(SUM(M61:M63),SUM(M61:M63),"")</f>
        <v/>
      </c>
      <c r="N64" s="33" t="str">
        <f t="shared" si="34"/>
        <v/>
      </c>
      <c r="O64" s="33" t="str">
        <f t="shared" si="34"/>
        <v/>
      </c>
      <c r="P64" s="33" t="str">
        <f t="shared" si="34"/>
        <v/>
      </c>
      <c r="Q64" s="33" t="str">
        <f t="shared" si="34"/>
        <v/>
      </c>
      <c r="R64" s="33" t="str">
        <f t="shared" si="34"/>
        <v/>
      </c>
      <c r="S64" s="33" t="str">
        <f t="shared" si="34"/>
        <v/>
      </c>
      <c r="T64" s="33" t="str">
        <f t="shared" si="34"/>
        <v/>
      </c>
      <c r="U64" s="161" t="str">
        <f>IF(SUM(U61:U63),SUM(U61:U63),"")</f>
        <v/>
      </c>
      <c r="V64" s="7"/>
      <c r="AC64" s="18" t="s">
        <v>135</v>
      </c>
      <c r="AD64" s="18" t="s">
        <v>145</v>
      </c>
      <c r="AE64" s="18" t="s">
        <v>146</v>
      </c>
      <c r="AF64" s="18" t="s">
        <v>147</v>
      </c>
      <c r="AG64" s="18" t="s">
        <v>148</v>
      </c>
      <c r="AH64" s="18" t="s">
        <v>149</v>
      </c>
      <c r="AI64" s="18" t="s">
        <v>150</v>
      </c>
      <c r="AJ64" s="18">
        <v>300</v>
      </c>
    </row>
    <row r="65" spans="1:36" ht="12.75" customHeight="1" x14ac:dyDescent="0.25">
      <c r="A65" s="196" t="s">
        <v>114</v>
      </c>
      <c r="B65" s="206"/>
      <c r="C65" s="206"/>
      <c r="D65" s="206"/>
      <c r="E65" s="206"/>
      <c r="F65" s="206"/>
      <c r="G65" s="206"/>
      <c r="H65" s="206"/>
      <c r="I65" s="206"/>
      <c r="J65" s="207"/>
      <c r="L65" s="5"/>
      <c r="P65" s="4"/>
      <c r="Q65" s="4"/>
      <c r="R65" s="4"/>
      <c r="S65" s="4"/>
      <c r="T65" s="4"/>
      <c r="U65" s="24"/>
      <c r="AC65" s="20">
        <f t="shared" ref="AC65:AJ65" si="35">M36/$U$36</f>
        <v>8.6956521739130432E-2</v>
      </c>
      <c r="AD65" s="20" t="e">
        <f t="shared" si="35"/>
        <v>#VALUE!</v>
      </c>
      <c r="AE65" s="20" t="e">
        <f t="shared" si="35"/>
        <v>#VALUE!</v>
      </c>
      <c r="AF65" s="20">
        <f t="shared" si="35"/>
        <v>0.15217391304347827</v>
      </c>
      <c r="AG65" s="20">
        <f t="shared" si="35"/>
        <v>0.17391304347826086</v>
      </c>
      <c r="AH65" s="20">
        <f t="shared" si="35"/>
        <v>8.6956521739130432E-2</v>
      </c>
      <c r="AI65" s="20">
        <f t="shared" si="35"/>
        <v>8.6956521739130432E-2</v>
      </c>
      <c r="AJ65" s="20">
        <f t="shared" si="35"/>
        <v>0.41304347826086957</v>
      </c>
    </row>
    <row r="66" spans="1:36" ht="12.75" customHeight="1" x14ac:dyDescent="0.25">
      <c r="A66" s="29" t="s">
        <v>1</v>
      </c>
      <c r="B66" s="86"/>
      <c r="C66" s="86"/>
      <c r="D66" s="86"/>
      <c r="E66" s="86">
        <v>1</v>
      </c>
      <c r="F66" s="86"/>
      <c r="G66" s="86"/>
      <c r="H66" s="86"/>
      <c r="I66" s="86"/>
      <c r="J66" s="159">
        <f>IF(SUM(B66:I66),SUM(B66:I66),"")</f>
        <v>1</v>
      </c>
      <c r="L66" s="196" t="s">
        <v>185</v>
      </c>
      <c r="M66" s="206"/>
      <c r="N66" s="206"/>
      <c r="O66" s="206"/>
      <c r="P66" s="206"/>
      <c r="Q66" s="206"/>
      <c r="R66" s="206"/>
      <c r="S66" s="206"/>
      <c r="T66" s="206"/>
      <c r="U66" s="207"/>
    </row>
    <row r="67" spans="1:36" ht="12.75" customHeight="1" x14ac:dyDescent="0.25">
      <c r="A67" s="39" t="s">
        <v>209</v>
      </c>
      <c r="B67" s="88"/>
      <c r="C67" s="88">
        <v>2</v>
      </c>
      <c r="D67" s="88"/>
      <c r="E67" s="88"/>
      <c r="F67" s="88"/>
      <c r="G67" s="88"/>
      <c r="H67" s="88"/>
      <c r="I67" s="88">
        <v>2</v>
      </c>
      <c r="J67" s="160">
        <f t="shared" ref="J67:J68" si="36">IF(SUM(B67:I67),SUM(B67:I67),"")</f>
        <v>4</v>
      </c>
      <c r="L67" s="29" t="s">
        <v>97</v>
      </c>
      <c r="M67" s="86"/>
      <c r="N67" s="86"/>
      <c r="O67" s="86">
        <v>2</v>
      </c>
      <c r="P67" s="86">
        <v>5</v>
      </c>
      <c r="Q67" s="86">
        <v>5</v>
      </c>
      <c r="R67" s="86"/>
      <c r="S67" s="86">
        <v>11</v>
      </c>
      <c r="T67" s="86">
        <v>27.000000000000011</v>
      </c>
      <c r="U67" s="99">
        <f>IF(SUM(M67:T67),SUM(M67:T67),"")</f>
        <v>50.000000000000014</v>
      </c>
    </row>
    <row r="68" spans="1:36" ht="12.75" customHeight="1" x14ac:dyDescent="0.25">
      <c r="A68" s="96" t="s">
        <v>17</v>
      </c>
      <c r="B68" s="86"/>
      <c r="C68" s="86"/>
      <c r="D68" s="86"/>
      <c r="E68" s="86"/>
      <c r="F68" s="86"/>
      <c r="G68" s="86"/>
      <c r="H68" s="86"/>
      <c r="I68" s="86">
        <v>1</v>
      </c>
      <c r="J68" s="159">
        <f t="shared" si="36"/>
        <v>1</v>
      </c>
      <c r="L68" s="31" t="s">
        <v>186</v>
      </c>
      <c r="M68" s="33" t="str">
        <f t="shared" ref="M68:U68" si="37">IF(SUM(M67:M67),SUM(M67:M67),"")</f>
        <v/>
      </c>
      <c r="N68" s="33" t="str">
        <f t="shared" si="37"/>
        <v/>
      </c>
      <c r="O68" s="33">
        <f t="shared" si="37"/>
        <v>2</v>
      </c>
      <c r="P68" s="33">
        <f t="shared" si="37"/>
        <v>5</v>
      </c>
      <c r="Q68" s="33">
        <f t="shared" si="37"/>
        <v>5</v>
      </c>
      <c r="R68" s="33" t="str">
        <f t="shared" si="37"/>
        <v/>
      </c>
      <c r="S68" s="33">
        <f t="shared" si="37"/>
        <v>11</v>
      </c>
      <c r="T68" s="33">
        <f t="shared" si="37"/>
        <v>27.000000000000011</v>
      </c>
      <c r="U68" s="33">
        <f t="shared" si="37"/>
        <v>50.000000000000014</v>
      </c>
    </row>
    <row r="69" spans="1:36" ht="12.75" customHeight="1" x14ac:dyDescent="0.25">
      <c r="A69" s="39" t="s">
        <v>60</v>
      </c>
      <c r="B69" s="88"/>
      <c r="C69" s="88"/>
      <c r="D69" s="88"/>
      <c r="E69" s="88"/>
      <c r="F69" s="88"/>
      <c r="G69" s="88"/>
      <c r="H69" s="88"/>
      <c r="I69" s="88"/>
      <c r="J69" s="160" t="str">
        <f>IF(SUM(B69:I69),SUM(B69:I69),"")</f>
        <v/>
      </c>
      <c r="L69" s="5"/>
      <c r="P69" s="5"/>
      <c r="Q69" s="5"/>
      <c r="R69" s="5"/>
      <c r="S69" s="5"/>
      <c r="T69" s="5"/>
      <c r="U69" s="24"/>
    </row>
    <row r="70" spans="1:36" ht="12.75" customHeight="1" x14ac:dyDescent="0.25">
      <c r="A70" s="31" t="s">
        <v>115</v>
      </c>
      <c r="B70" s="33" t="str">
        <f>IF(SUM(B66:B69),SUM(B66:B69),"")</f>
        <v/>
      </c>
      <c r="C70" s="33">
        <f t="shared" ref="C70:J70" si="38">IF(SUM(C66:C69),SUM(C66:C69),"")</f>
        <v>2</v>
      </c>
      <c r="D70" s="33" t="str">
        <f t="shared" si="38"/>
        <v/>
      </c>
      <c r="E70" s="33">
        <f t="shared" si="38"/>
        <v>1</v>
      </c>
      <c r="F70" s="33" t="str">
        <f t="shared" si="38"/>
        <v/>
      </c>
      <c r="G70" s="33" t="str">
        <f t="shared" si="38"/>
        <v/>
      </c>
      <c r="H70" s="33" t="str">
        <f t="shared" si="38"/>
        <v/>
      </c>
      <c r="I70" s="33">
        <f t="shared" si="38"/>
        <v>3</v>
      </c>
      <c r="J70" s="33">
        <f t="shared" si="38"/>
        <v>6</v>
      </c>
      <c r="L70" s="31" t="s">
        <v>121</v>
      </c>
      <c r="M70" s="33">
        <f>IF(SUM(B10,B17,B25,B33,B39,B50,B56,B63,B7,M9,M16,M22,M29,M36,M44,M50,M58,M64,M68),SUM(B10,B17,B25,B33,B39,B50,B56,B63,B70,M9,M16,M22,M29,M36,M44,M50,M58,M64,M68),"")</f>
        <v>35</v>
      </c>
      <c r="N70" s="33">
        <f t="shared" ref="N70:U70" si="39">IF(SUM(C10,C17,C25,C33,C39,C50,C56,C63,C70,N9,N16,N22,N29,N36,N44,N50,N58,N64,N68),SUM(C10,C17,C25,C33,C39,C50,C56,C63,C70,N9,N16,N22,N29,N36,N44,N50,N58,N64,N68),"")</f>
        <v>38</v>
      </c>
      <c r="O70" s="33">
        <f t="shared" si="39"/>
        <v>35</v>
      </c>
      <c r="P70" s="33">
        <f t="shared" si="39"/>
        <v>54</v>
      </c>
      <c r="Q70" s="33">
        <f t="shared" si="39"/>
        <v>42</v>
      </c>
      <c r="R70" s="33">
        <f t="shared" si="39"/>
        <v>25</v>
      </c>
      <c r="S70" s="33">
        <f t="shared" si="39"/>
        <v>28</v>
      </c>
      <c r="T70" s="33">
        <f t="shared" si="39"/>
        <v>152</v>
      </c>
      <c r="U70" s="33">
        <f t="shared" si="39"/>
        <v>409</v>
      </c>
    </row>
    <row r="71" spans="1:36" x14ac:dyDescent="0.25">
      <c r="L71" s="5"/>
      <c r="P71" s="5"/>
      <c r="Q71" s="5"/>
      <c r="R71" s="5"/>
      <c r="S71" s="5"/>
      <c r="T71" s="5"/>
      <c r="U71" s="24"/>
    </row>
    <row r="72" spans="1:36" x14ac:dyDescent="0.25">
      <c r="L72" s="5"/>
      <c r="M72" s="5"/>
      <c r="N72" s="5"/>
      <c r="O72" s="5"/>
      <c r="P72" s="5"/>
      <c r="Q72" s="5"/>
      <c r="R72" s="5"/>
      <c r="S72" s="5"/>
      <c r="T72" s="5"/>
      <c r="U72" s="24"/>
    </row>
    <row r="73" spans="1:36" x14ac:dyDescent="0.25">
      <c r="L73" s="5"/>
      <c r="M73" s="5"/>
      <c r="N73" s="5"/>
      <c r="O73" s="5"/>
      <c r="P73" s="5"/>
      <c r="Q73" s="5"/>
      <c r="R73" s="5"/>
      <c r="S73" s="5"/>
      <c r="T73" s="5"/>
      <c r="U73" s="24"/>
    </row>
    <row r="74" spans="1:36" x14ac:dyDescent="0.25">
      <c r="L74" s="5"/>
      <c r="M74" s="5"/>
      <c r="N74" s="5"/>
      <c r="O74" s="5"/>
      <c r="P74" s="5"/>
      <c r="Q74" s="5"/>
      <c r="R74" s="5"/>
      <c r="S74" s="5"/>
      <c r="T74" s="5"/>
      <c r="U74" s="24"/>
    </row>
    <row r="75" spans="1:36" x14ac:dyDescent="0.25">
      <c r="L75" s="5"/>
      <c r="Q75" s="5"/>
      <c r="R75" s="5"/>
      <c r="S75" s="5"/>
      <c r="T75" s="5"/>
      <c r="U75" s="24"/>
    </row>
    <row r="76" spans="1:36" x14ac:dyDescent="0.25">
      <c r="L76" s="5"/>
      <c r="Q76" s="5"/>
      <c r="R76" s="5"/>
      <c r="S76" s="5"/>
      <c r="T76" s="5"/>
      <c r="U76" s="24"/>
    </row>
    <row r="81" spans="1:38" x14ac:dyDescent="0.25">
      <c r="E81" s="5"/>
      <c r="F81" s="5"/>
      <c r="G81" s="5"/>
      <c r="H81" s="5"/>
      <c r="I81" s="5"/>
      <c r="J81" s="24"/>
    </row>
    <row r="82" spans="1:38" x14ac:dyDescent="0.25">
      <c r="E82" s="5"/>
      <c r="F82" s="5"/>
      <c r="G82" s="5"/>
      <c r="H82" s="5"/>
      <c r="I82" s="5"/>
      <c r="J82" s="24"/>
    </row>
    <row r="83" spans="1:38" x14ac:dyDescent="0.25">
      <c r="E83" s="5"/>
      <c r="F83" s="5"/>
      <c r="G83" s="5"/>
      <c r="H83" s="5"/>
      <c r="I83" s="5"/>
      <c r="J83" s="24"/>
    </row>
    <row r="84" spans="1:38" x14ac:dyDescent="0.25">
      <c r="E84" s="5"/>
      <c r="F84" s="5"/>
      <c r="G84" s="5"/>
      <c r="H84" s="5"/>
      <c r="I84" s="5"/>
      <c r="J84" s="24"/>
    </row>
    <row r="85" spans="1:38" x14ac:dyDescent="0.25">
      <c r="E85" s="5"/>
      <c r="F85" s="5"/>
      <c r="G85" s="5"/>
      <c r="H85" s="5"/>
      <c r="I85" s="5"/>
      <c r="J85" s="24"/>
    </row>
    <row r="86" spans="1:38" x14ac:dyDescent="0.25">
      <c r="E86" s="5"/>
      <c r="F86" s="5"/>
      <c r="G86" s="5"/>
      <c r="H86" s="5"/>
      <c r="I86" s="5"/>
      <c r="J86" s="24"/>
      <c r="M86" s="5"/>
      <c r="N86" s="5"/>
      <c r="O86" s="5"/>
      <c r="P86" s="5"/>
    </row>
    <row r="87" spans="1:38" x14ac:dyDescent="0.25">
      <c r="E87" s="5"/>
      <c r="F87" s="5"/>
      <c r="G87" s="5"/>
      <c r="H87" s="5"/>
      <c r="I87" s="5"/>
      <c r="J87" s="24"/>
      <c r="P87" s="5"/>
    </row>
    <row r="88" spans="1:38" x14ac:dyDescent="0.25">
      <c r="E88" s="5"/>
      <c r="F88" s="5"/>
      <c r="G88" s="5"/>
      <c r="H88" s="5"/>
      <c r="I88" s="5"/>
      <c r="J88" s="24"/>
    </row>
    <row r="89" spans="1:38" x14ac:dyDescent="0.25">
      <c r="E89" s="5"/>
      <c r="F89" s="5"/>
      <c r="G89" s="5"/>
      <c r="H89" s="5"/>
      <c r="I89" s="5"/>
      <c r="J89" s="24"/>
    </row>
    <row r="90" spans="1:38" x14ac:dyDescent="0.25">
      <c r="E90" s="5"/>
      <c r="F90" s="5"/>
      <c r="G90" s="5"/>
      <c r="H90" s="5"/>
      <c r="I90" s="5"/>
      <c r="J90" s="24"/>
    </row>
    <row r="91" spans="1:38" x14ac:dyDescent="0.25">
      <c r="E91" s="5"/>
      <c r="F91" s="5"/>
      <c r="G91" s="5"/>
      <c r="H91" s="5"/>
      <c r="I91" s="5"/>
      <c r="J91" s="24"/>
    </row>
    <row r="92" spans="1:38" x14ac:dyDescent="0.25">
      <c r="E92" s="5"/>
      <c r="F92" s="5"/>
      <c r="G92" s="5"/>
      <c r="H92" s="5"/>
      <c r="I92" s="5"/>
      <c r="J92" s="24"/>
    </row>
    <row r="93" spans="1:38" ht="15.75" customHeight="1" x14ac:dyDescent="0.25">
      <c r="E93" s="5"/>
      <c r="F93" s="5"/>
      <c r="G93" s="5"/>
      <c r="H93" s="5"/>
      <c r="I93" s="5"/>
      <c r="J93" s="24"/>
    </row>
    <row r="94" spans="1:38" s="26" customFormat="1" ht="15.95" customHeight="1" x14ac:dyDescent="0.25">
      <c r="A94" s="105"/>
      <c r="B94" s="105" t="s">
        <v>134</v>
      </c>
      <c r="C94" s="105"/>
      <c r="D94" s="102"/>
      <c r="E94" s="5"/>
      <c r="F94" s="5"/>
      <c r="G94" s="5"/>
      <c r="H94" s="5"/>
      <c r="I94" s="5"/>
      <c r="J94" s="24"/>
      <c r="K94" s="25"/>
      <c r="L94" s="1"/>
      <c r="P94" s="1"/>
      <c r="Q94" s="1"/>
      <c r="R94" s="1"/>
      <c r="S94" s="1"/>
      <c r="T94" s="1"/>
      <c r="U94" s="10"/>
      <c r="AC94" s="27"/>
      <c r="AD94" s="27"/>
      <c r="AE94" s="27"/>
      <c r="AF94" s="27"/>
      <c r="AG94" s="27"/>
      <c r="AH94" s="27"/>
      <c r="AI94" s="27"/>
      <c r="AJ94" s="27"/>
      <c r="AK94" s="27"/>
      <c r="AL94" s="28"/>
    </row>
    <row r="95" spans="1:38" s="26" customFormat="1" ht="15.95" customHeight="1" x14ac:dyDescent="0.25">
      <c r="A95" s="106" t="s">
        <v>122</v>
      </c>
      <c r="B95" s="103">
        <f>J10</f>
        <v>27</v>
      </c>
      <c r="C95" s="107">
        <f>B95/$B$114</f>
        <v>6.6014669926650366E-2</v>
      </c>
      <c r="D95" s="102"/>
      <c r="E95" s="1"/>
      <c r="F95" s="1"/>
      <c r="G95" s="1"/>
      <c r="H95" s="1"/>
      <c r="I95" s="1"/>
      <c r="J95" s="10"/>
      <c r="K95" s="25"/>
      <c r="L95" s="1"/>
      <c r="M95" s="114" t="s">
        <v>135</v>
      </c>
      <c r="N95" s="115">
        <f>M70</f>
        <v>35</v>
      </c>
      <c r="O95" s="107">
        <f t="shared" ref="O95:O102" si="40">N95/$N$103</f>
        <v>8.557457212713937E-2</v>
      </c>
      <c r="P95" s="1"/>
      <c r="Q95" s="1"/>
      <c r="R95" s="1"/>
      <c r="S95" s="1"/>
      <c r="T95" s="1"/>
      <c r="U95" s="10"/>
      <c r="AC95" s="27"/>
      <c r="AD95" s="27"/>
      <c r="AE95" s="27"/>
      <c r="AF95" s="27"/>
      <c r="AG95" s="27"/>
      <c r="AH95" s="27"/>
      <c r="AI95" s="27"/>
      <c r="AJ95" s="27"/>
      <c r="AK95" s="27"/>
      <c r="AL95" s="28"/>
    </row>
    <row r="96" spans="1:38" s="26" customFormat="1" ht="15.95" customHeight="1" x14ac:dyDescent="0.25">
      <c r="A96" s="106" t="s">
        <v>124</v>
      </c>
      <c r="B96" s="103">
        <f>J17</f>
        <v>20</v>
      </c>
      <c r="C96" s="107">
        <f t="shared" ref="C96:C113" si="41">B96/$B$114</f>
        <v>4.8899755501222497E-2</v>
      </c>
      <c r="D96" s="102"/>
      <c r="E96" s="1"/>
      <c r="F96" s="1"/>
      <c r="G96" s="1"/>
      <c r="H96" s="1"/>
      <c r="I96" s="1"/>
      <c r="J96" s="10"/>
      <c r="K96" s="25"/>
      <c r="L96" s="1"/>
      <c r="M96" s="114" t="s">
        <v>136</v>
      </c>
      <c r="N96" s="115">
        <f>N70</f>
        <v>38</v>
      </c>
      <c r="O96" s="107">
        <f t="shared" si="40"/>
        <v>9.2909535452322736E-2</v>
      </c>
      <c r="P96" s="1"/>
      <c r="Q96" s="1"/>
      <c r="R96" s="1"/>
      <c r="S96" s="1"/>
      <c r="T96" s="1"/>
      <c r="U96" s="10"/>
      <c r="AC96" s="27"/>
      <c r="AD96" s="27"/>
      <c r="AE96" s="27"/>
      <c r="AF96" s="27"/>
      <c r="AG96" s="27"/>
      <c r="AH96" s="27"/>
      <c r="AI96" s="27"/>
      <c r="AJ96" s="27"/>
      <c r="AK96" s="27"/>
      <c r="AL96" s="28"/>
    </row>
    <row r="97" spans="1:38" s="26" customFormat="1" ht="15.95" customHeight="1" x14ac:dyDescent="0.25">
      <c r="A97" s="106" t="s">
        <v>123</v>
      </c>
      <c r="B97" s="103">
        <f>J25</f>
        <v>13</v>
      </c>
      <c r="C97" s="107">
        <f t="shared" si="41"/>
        <v>3.1784841075794622E-2</v>
      </c>
      <c r="D97" s="102"/>
      <c r="E97" s="1"/>
      <c r="F97" s="1"/>
      <c r="G97" s="1"/>
      <c r="H97" s="1"/>
      <c r="I97" s="1"/>
      <c r="J97" s="10"/>
      <c r="K97" s="25"/>
      <c r="L97" s="1"/>
      <c r="M97" s="114" t="s">
        <v>137</v>
      </c>
      <c r="N97" s="115">
        <f>O70</f>
        <v>35</v>
      </c>
      <c r="O97" s="107">
        <f t="shared" si="40"/>
        <v>8.557457212713937E-2</v>
      </c>
      <c r="P97" s="1"/>
      <c r="Q97" s="1"/>
      <c r="R97" s="1"/>
      <c r="S97" s="1"/>
      <c r="T97" s="1"/>
      <c r="U97" s="10"/>
      <c r="AC97" s="27"/>
      <c r="AD97" s="27"/>
      <c r="AE97" s="27"/>
      <c r="AF97" s="27"/>
      <c r="AG97" s="27"/>
      <c r="AH97" s="27"/>
      <c r="AI97" s="27"/>
      <c r="AJ97" s="27"/>
      <c r="AK97" s="27"/>
      <c r="AL97" s="28"/>
    </row>
    <row r="98" spans="1:38" s="26" customFormat="1" ht="15.95" customHeight="1" x14ac:dyDescent="0.25">
      <c r="A98" s="106" t="s">
        <v>125</v>
      </c>
      <c r="B98" s="103">
        <f>J33</f>
        <v>16</v>
      </c>
      <c r="C98" s="107">
        <f t="shared" si="41"/>
        <v>3.9119804400977995E-2</v>
      </c>
      <c r="D98" s="102"/>
      <c r="E98" s="1"/>
      <c r="F98" s="1"/>
      <c r="G98" s="1"/>
      <c r="H98" s="1"/>
      <c r="I98" s="1"/>
      <c r="J98" s="10"/>
      <c r="K98" s="25"/>
      <c r="L98" s="1"/>
      <c r="M98" s="114" t="s">
        <v>138</v>
      </c>
      <c r="N98" s="115">
        <f>P70</f>
        <v>54</v>
      </c>
      <c r="O98" s="107">
        <f t="shared" si="40"/>
        <v>0.13202933985330073</v>
      </c>
      <c r="P98" s="1"/>
      <c r="Q98" s="1"/>
      <c r="R98" s="1"/>
      <c r="S98" s="1"/>
      <c r="T98" s="1"/>
      <c r="U98" s="10"/>
      <c r="AC98" s="27"/>
      <c r="AD98" s="27"/>
      <c r="AE98" s="27"/>
      <c r="AF98" s="27"/>
      <c r="AG98" s="27"/>
      <c r="AH98" s="27"/>
      <c r="AI98" s="27"/>
      <c r="AJ98" s="27"/>
      <c r="AK98" s="27"/>
      <c r="AL98" s="28"/>
    </row>
    <row r="99" spans="1:38" s="26" customFormat="1" ht="15.95" customHeight="1" x14ac:dyDescent="0.25">
      <c r="A99" s="106" t="s">
        <v>126</v>
      </c>
      <c r="B99" s="103">
        <f>J39</f>
        <v>14</v>
      </c>
      <c r="C99" s="107">
        <f>B99/$B$114</f>
        <v>3.4229828850855744E-2</v>
      </c>
      <c r="D99" s="102"/>
      <c r="E99" s="1"/>
      <c r="F99" s="1"/>
      <c r="G99" s="1"/>
      <c r="H99" s="1"/>
      <c r="I99" s="1"/>
      <c r="J99" s="10"/>
      <c r="K99" s="25"/>
      <c r="L99" s="1"/>
      <c r="M99" s="114" t="s">
        <v>139</v>
      </c>
      <c r="N99" s="115">
        <f>Q70</f>
        <v>42</v>
      </c>
      <c r="O99" s="107">
        <f t="shared" si="40"/>
        <v>0.10268948655256724</v>
      </c>
      <c r="P99" s="1"/>
      <c r="Q99" s="1"/>
      <c r="R99" s="1"/>
      <c r="S99" s="1"/>
      <c r="T99" s="1"/>
      <c r="U99" s="10"/>
      <c r="AC99" s="27"/>
      <c r="AD99" s="27"/>
      <c r="AE99" s="27"/>
      <c r="AF99" s="27"/>
      <c r="AG99" s="27"/>
      <c r="AH99" s="27"/>
      <c r="AI99" s="27"/>
      <c r="AJ99" s="27"/>
      <c r="AK99" s="27"/>
      <c r="AL99" s="28"/>
    </row>
    <row r="100" spans="1:38" s="26" customFormat="1" ht="15.95" customHeight="1" x14ac:dyDescent="0.25">
      <c r="A100" s="106" t="s">
        <v>127</v>
      </c>
      <c r="B100" s="103">
        <f>J50</f>
        <v>11</v>
      </c>
      <c r="C100" s="107">
        <f>B100/$B$114</f>
        <v>2.6894865525672371E-2</v>
      </c>
      <c r="D100" s="107"/>
      <c r="E100" s="1"/>
      <c r="F100" s="1"/>
      <c r="G100" s="1"/>
      <c r="H100" s="1"/>
      <c r="I100" s="1"/>
      <c r="J100" s="10"/>
      <c r="K100" s="25"/>
      <c r="L100" s="1"/>
      <c r="M100" s="114" t="s">
        <v>140</v>
      </c>
      <c r="N100" s="115">
        <f>R70</f>
        <v>25</v>
      </c>
      <c r="O100" s="107">
        <f t="shared" si="40"/>
        <v>6.1124694376528114E-2</v>
      </c>
      <c r="P100" s="1"/>
      <c r="Q100" s="1"/>
      <c r="R100" s="1"/>
      <c r="S100" s="1"/>
      <c r="T100" s="1"/>
      <c r="U100" s="10"/>
      <c r="AC100" s="27"/>
      <c r="AD100" s="27"/>
      <c r="AE100" s="27"/>
      <c r="AF100" s="27"/>
      <c r="AG100" s="27"/>
      <c r="AH100" s="27"/>
      <c r="AI100" s="27"/>
      <c r="AJ100" s="27"/>
      <c r="AK100" s="27"/>
      <c r="AL100" s="28"/>
    </row>
    <row r="101" spans="1:38" s="26" customFormat="1" ht="15.95" customHeight="1" x14ac:dyDescent="0.25">
      <c r="A101" s="106" t="s">
        <v>128</v>
      </c>
      <c r="B101" s="103">
        <f>J56</f>
        <v>25</v>
      </c>
      <c r="C101" s="107">
        <f t="shared" si="41"/>
        <v>6.1124694376528114E-2</v>
      </c>
      <c r="D101" s="107"/>
      <c r="E101" s="1"/>
      <c r="F101" s="1"/>
      <c r="G101" s="1"/>
      <c r="H101" s="1"/>
      <c r="I101" s="1"/>
      <c r="J101" s="10"/>
      <c r="K101" s="25"/>
      <c r="L101" s="1"/>
      <c r="M101" s="114" t="s">
        <v>141</v>
      </c>
      <c r="N101" s="115">
        <f>S70</f>
        <v>28</v>
      </c>
      <c r="O101" s="107">
        <f t="shared" si="40"/>
        <v>6.8459657701711488E-2</v>
      </c>
      <c r="P101" s="1"/>
      <c r="Q101" s="1"/>
      <c r="R101" s="1"/>
      <c r="S101" s="1"/>
      <c r="T101" s="1"/>
      <c r="U101" s="10"/>
      <c r="AC101" s="27"/>
      <c r="AD101" s="27"/>
      <c r="AE101" s="27"/>
      <c r="AF101" s="27"/>
      <c r="AG101" s="27"/>
      <c r="AH101" s="27"/>
      <c r="AI101" s="27"/>
      <c r="AJ101" s="27"/>
      <c r="AK101" s="27"/>
      <c r="AL101" s="28"/>
    </row>
    <row r="102" spans="1:38" s="26" customFormat="1" ht="15.95" customHeight="1" x14ac:dyDescent="0.25">
      <c r="A102" s="106" t="s">
        <v>129</v>
      </c>
      <c r="B102" s="103">
        <f>J63</f>
        <v>15</v>
      </c>
      <c r="C102" s="107">
        <f t="shared" si="41"/>
        <v>3.6674816625916873E-2</v>
      </c>
      <c r="D102" s="107"/>
      <c r="E102" s="1"/>
      <c r="F102" s="1"/>
      <c r="G102" s="1"/>
      <c r="H102" s="1"/>
      <c r="I102" s="1"/>
      <c r="J102" s="10"/>
      <c r="K102" s="25"/>
      <c r="L102" s="1"/>
      <c r="M102" s="114" t="s">
        <v>142</v>
      </c>
      <c r="N102" s="115">
        <f>T70</f>
        <v>152</v>
      </c>
      <c r="O102" s="107">
        <f t="shared" si="40"/>
        <v>0.37163814180929094</v>
      </c>
      <c r="P102" s="1"/>
      <c r="Q102" s="1"/>
      <c r="R102" s="1"/>
      <c r="S102" s="1"/>
      <c r="T102" s="1"/>
      <c r="U102" s="10"/>
      <c r="AC102" s="27"/>
      <c r="AD102" s="27"/>
      <c r="AE102" s="27"/>
      <c r="AF102" s="27"/>
      <c r="AG102" s="27"/>
      <c r="AH102" s="27"/>
      <c r="AI102" s="27"/>
      <c r="AJ102" s="27"/>
      <c r="AK102" s="27"/>
      <c r="AL102" s="28"/>
    </row>
    <row r="103" spans="1:38" s="26" customFormat="1" ht="15.95" customHeight="1" x14ac:dyDescent="0.25">
      <c r="A103" s="106" t="s">
        <v>130</v>
      </c>
      <c r="B103" s="103">
        <f>J70</f>
        <v>6</v>
      </c>
      <c r="C103" s="107">
        <f t="shared" si="41"/>
        <v>1.4669926650366748E-2</v>
      </c>
      <c r="D103" s="107"/>
      <c r="E103" s="1"/>
      <c r="F103" s="1"/>
      <c r="G103" s="1"/>
      <c r="H103" s="1"/>
      <c r="I103" s="1"/>
      <c r="J103" s="10"/>
      <c r="K103" s="25"/>
      <c r="L103" s="1"/>
      <c r="M103" s="105"/>
      <c r="N103" s="115">
        <f>SUM(N95:N102)</f>
        <v>409</v>
      </c>
      <c r="O103" s="105"/>
      <c r="P103" s="1"/>
      <c r="Q103" s="1"/>
      <c r="R103" s="1"/>
      <c r="S103" s="1"/>
      <c r="T103" s="1"/>
      <c r="U103" s="10"/>
      <c r="AC103" s="27"/>
      <c r="AD103" s="27"/>
      <c r="AE103" s="27"/>
      <c r="AF103" s="27"/>
      <c r="AG103" s="27"/>
      <c r="AH103" s="27"/>
      <c r="AI103" s="27"/>
      <c r="AJ103" s="27"/>
      <c r="AK103" s="27"/>
      <c r="AL103" s="28"/>
    </row>
    <row r="104" spans="1:38" s="26" customFormat="1" ht="15.95" customHeight="1" x14ac:dyDescent="0.25">
      <c r="A104" s="106" t="s">
        <v>131</v>
      </c>
      <c r="B104" s="103">
        <f>U9</f>
        <v>5</v>
      </c>
      <c r="C104" s="107">
        <f t="shared" si="41"/>
        <v>1.2224938875305624E-2</v>
      </c>
      <c r="D104" s="107"/>
      <c r="E104" s="1"/>
      <c r="F104" s="1"/>
      <c r="G104" s="1"/>
      <c r="H104" s="1"/>
      <c r="I104" s="1"/>
      <c r="J104" s="10"/>
      <c r="K104" s="25"/>
      <c r="L104" s="1"/>
      <c r="M104" s="102"/>
      <c r="N104" s="102"/>
      <c r="O104" s="102"/>
      <c r="P104" s="1"/>
      <c r="Q104" s="1"/>
      <c r="R104" s="1"/>
      <c r="S104" s="1"/>
      <c r="T104" s="1"/>
      <c r="U104" s="10"/>
      <c r="AC104" s="27"/>
      <c r="AD104" s="27"/>
      <c r="AE104" s="27"/>
      <c r="AF104" s="27"/>
      <c r="AG104" s="27"/>
      <c r="AH104" s="27"/>
      <c r="AI104" s="27"/>
      <c r="AJ104" s="27"/>
      <c r="AK104" s="27"/>
      <c r="AL104" s="28"/>
    </row>
    <row r="105" spans="1:38" s="26" customFormat="1" ht="15.95" customHeight="1" x14ac:dyDescent="0.25">
      <c r="A105" s="106" t="s">
        <v>132</v>
      </c>
      <c r="B105" s="103">
        <f>U16</f>
        <v>20</v>
      </c>
      <c r="C105" s="107">
        <f t="shared" si="41"/>
        <v>4.8899755501222497E-2</v>
      </c>
      <c r="D105" s="107"/>
      <c r="E105" s="1"/>
      <c r="F105" s="1"/>
      <c r="G105" s="1"/>
      <c r="H105" s="1"/>
      <c r="I105" s="1"/>
      <c r="J105" s="10"/>
      <c r="K105" s="25"/>
      <c r="L105" s="1"/>
      <c r="M105" s="1"/>
      <c r="N105" s="1"/>
      <c r="O105" s="1"/>
      <c r="P105" s="1"/>
      <c r="Q105" s="1"/>
      <c r="R105" s="1"/>
      <c r="S105" s="1"/>
      <c r="T105" s="1"/>
      <c r="U105" s="10"/>
      <c r="AC105" s="27"/>
      <c r="AD105" s="27"/>
      <c r="AE105" s="27"/>
      <c r="AF105" s="27"/>
      <c r="AG105" s="27"/>
      <c r="AH105" s="27"/>
      <c r="AI105" s="27"/>
      <c r="AJ105" s="27"/>
      <c r="AK105" s="27"/>
      <c r="AL105" s="28"/>
    </row>
    <row r="106" spans="1:38" s="26" customFormat="1" ht="15.95" customHeight="1" x14ac:dyDescent="0.25">
      <c r="A106" s="106" t="s">
        <v>133</v>
      </c>
      <c r="B106" s="103">
        <f>U22</f>
        <v>10</v>
      </c>
      <c r="C106" s="107">
        <f t="shared" si="41"/>
        <v>2.4449877750611249E-2</v>
      </c>
      <c r="D106" s="107"/>
      <c r="E106" s="1"/>
      <c r="F106" s="1"/>
      <c r="G106" s="1"/>
      <c r="H106" s="1"/>
      <c r="I106" s="1"/>
      <c r="J106" s="10"/>
      <c r="K106" s="25"/>
      <c r="L106" s="1"/>
      <c r="M106" s="1"/>
      <c r="N106" s="1"/>
      <c r="O106" s="1"/>
      <c r="P106" s="1"/>
      <c r="Q106" s="1"/>
      <c r="R106" s="1"/>
      <c r="S106" s="1"/>
      <c r="T106" s="1"/>
      <c r="U106" s="10"/>
      <c r="AC106" s="27"/>
      <c r="AD106" s="27"/>
      <c r="AE106" s="27"/>
      <c r="AF106" s="27"/>
      <c r="AG106" s="27"/>
      <c r="AH106" s="27"/>
      <c r="AI106" s="27"/>
      <c r="AJ106" s="27"/>
      <c r="AK106" s="27"/>
      <c r="AL106" s="28"/>
    </row>
    <row r="107" spans="1:38" s="26" customFormat="1" ht="15.95" customHeight="1" x14ac:dyDescent="0.25">
      <c r="A107" s="106" t="s">
        <v>187</v>
      </c>
      <c r="B107" s="103">
        <f>U29</f>
        <v>8</v>
      </c>
      <c r="C107" s="107">
        <f t="shared" si="41"/>
        <v>1.9559902200488997E-2</v>
      </c>
      <c r="D107" s="107"/>
      <c r="E107" s="1"/>
      <c r="F107" s="1"/>
      <c r="G107" s="1"/>
      <c r="H107" s="1"/>
      <c r="I107" s="1"/>
      <c r="J107" s="10"/>
      <c r="K107" s="25"/>
      <c r="L107" s="1"/>
      <c r="M107" s="1"/>
      <c r="N107" s="1"/>
      <c r="O107" s="1"/>
      <c r="P107" s="1"/>
      <c r="Q107" s="1"/>
      <c r="R107" s="1"/>
      <c r="S107" s="1"/>
      <c r="T107" s="1"/>
      <c r="U107" s="10"/>
      <c r="AC107" s="27"/>
      <c r="AD107" s="27"/>
      <c r="AE107" s="27"/>
      <c r="AF107" s="27"/>
      <c r="AG107" s="27"/>
      <c r="AH107" s="27"/>
      <c r="AI107" s="27"/>
      <c r="AJ107" s="27"/>
      <c r="AK107" s="27"/>
      <c r="AL107" s="28"/>
    </row>
    <row r="108" spans="1:38" ht="15.95" customHeight="1" x14ac:dyDescent="0.25">
      <c r="A108" s="106" t="s">
        <v>188</v>
      </c>
      <c r="B108" s="108">
        <f>U36</f>
        <v>46</v>
      </c>
      <c r="C108" s="107">
        <f t="shared" si="41"/>
        <v>0.11246943765281174</v>
      </c>
      <c r="D108" s="107"/>
    </row>
    <row r="109" spans="1:38" x14ac:dyDescent="0.25">
      <c r="A109" s="106" t="s">
        <v>131</v>
      </c>
      <c r="B109" s="108">
        <f>U44</f>
        <v>19</v>
      </c>
      <c r="C109" s="107">
        <f t="shared" si="41"/>
        <v>4.6454767726161368E-2</v>
      </c>
      <c r="D109" s="107"/>
    </row>
    <row r="110" spans="1:38" x14ac:dyDescent="0.25">
      <c r="A110" s="106" t="s">
        <v>132</v>
      </c>
      <c r="B110" s="108">
        <f>U50</f>
        <v>78</v>
      </c>
      <c r="C110" s="107">
        <f t="shared" si="41"/>
        <v>0.19070904645476772</v>
      </c>
      <c r="D110" s="107"/>
    </row>
    <row r="111" spans="1:38" x14ac:dyDescent="0.25">
      <c r="A111" s="106" t="s">
        <v>133</v>
      </c>
      <c r="B111" s="109">
        <f>U58</f>
        <v>26</v>
      </c>
      <c r="C111" s="107">
        <f t="shared" si="41"/>
        <v>6.3569682151589244E-2</v>
      </c>
      <c r="D111" s="107"/>
    </row>
    <row r="112" spans="1:38" x14ac:dyDescent="0.25">
      <c r="A112" s="106" t="s">
        <v>187</v>
      </c>
      <c r="B112" s="109" t="str">
        <f>U64</f>
        <v/>
      </c>
      <c r="C112" s="107" t="e">
        <f t="shared" si="41"/>
        <v>#VALUE!</v>
      </c>
      <c r="D112" s="107"/>
    </row>
    <row r="113" spans="1:4" x14ac:dyDescent="0.25">
      <c r="A113" s="106" t="s">
        <v>189</v>
      </c>
      <c r="B113" s="109">
        <f>U68</f>
        <v>50.000000000000014</v>
      </c>
      <c r="C113" s="107">
        <f t="shared" si="41"/>
        <v>0.12224938875305627</v>
      </c>
      <c r="D113" s="107"/>
    </row>
    <row r="114" spans="1:4" x14ac:dyDescent="0.25">
      <c r="A114" s="110"/>
      <c r="B114" s="104">
        <f>SUM(B95:B113)</f>
        <v>409</v>
      </c>
      <c r="C114" s="107"/>
      <c r="D114" s="107"/>
    </row>
  </sheetData>
  <mergeCells count="26">
    <mergeCell ref="A2:U2"/>
    <mergeCell ref="A3:A4"/>
    <mergeCell ref="B3:I3"/>
    <mergeCell ref="J3:J4"/>
    <mergeCell ref="L3:L4"/>
    <mergeCell ref="M3:T3"/>
    <mergeCell ref="U3:U4"/>
    <mergeCell ref="A41:J41"/>
    <mergeCell ref="A5:J5"/>
    <mergeCell ref="L5:U5"/>
    <mergeCell ref="L11:U11"/>
    <mergeCell ref="A12:J12"/>
    <mergeCell ref="L18:U18"/>
    <mergeCell ref="A19:J19"/>
    <mergeCell ref="L24:U24"/>
    <mergeCell ref="A27:J27"/>
    <mergeCell ref="L31:U31"/>
    <mergeCell ref="A35:J35"/>
    <mergeCell ref="L38:U38"/>
    <mergeCell ref="L66:U66"/>
    <mergeCell ref="L46:U46"/>
    <mergeCell ref="A52:J52"/>
    <mergeCell ref="L52:U52"/>
    <mergeCell ref="A58:J58"/>
    <mergeCell ref="L60:U60"/>
    <mergeCell ref="A65:J65"/>
  </mergeCells>
  <printOptions horizontalCentered="1"/>
  <pageMargins left="0.51181102362204722" right="0.27559055118110237" top="0.19685039370078741" bottom="0" header="0.19685039370078741" footer="0.27559055118110237"/>
  <pageSetup paperSize="9" scale="62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shapeId="102401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0</xdr:rowOff>
              </from>
              <to>
                <xdr:col>0</xdr:col>
                <xdr:colOff>819150</xdr:colOff>
                <xdr:row>0</xdr:row>
                <xdr:rowOff>438150</xdr:rowOff>
              </to>
            </anchor>
          </objectPr>
        </oleObject>
      </mc:Choice>
      <mc:Fallback>
        <oleObject shapeId="102401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5"/>
  <dimension ref="A1:AB86"/>
  <sheetViews>
    <sheetView showGridLines="0" view="pageBreakPreview" topLeftCell="A64" zoomScale="85" zoomScaleNormal="85" zoomScaleSheetLayoutView="85" workbookViewId="0">
      <selection activeCell="H67" sqref="H67:J67"/>
    </sheetView>
  </sheetViews>
  <sheetFormatPr defaultRowHeight="15.75" x14ac:dyDescent="0.25"/>
  <cols>
    <col min="1" max="1" width="17.75" style="1" customWidth="1"/>
    <col min="2" max="2" width="10.125" style="1" customWidth="1"/>
    <col min="3" max="3" width="10.75" style="1" customWidth="1"/>
    <col min="4" max="4" width="10.125" style="1" customWidth="1"/>
    <col min="5" max="5" width="10.125" style="10" customWidth="1"/>
    <col min="6" max="6" width="0.875" style="2" customWidth="1"/>
    <col min="7" max="7" width="18.25" style="1" customWidth="1"/>
    <col min="8" max="10" width="10.125" style="1" customWidth="1"/>
    <col min="11" max="11" width="10.125" style="10" customWidth="1"/>
    <col min="19" max="26" width="6.625" style="19" customWidth="1"/>
    <col min="27" max="27" width="9" style="19"/>
    <col min="28" max="28" width="9" style="17"/>
  </cols>
  <sheetData>
    <row r="1" spans="1:20" ht="72.75" customHeight="1" thickBot="1" x14ac:dyDescent="0.3"/>
    <row r="2" spans="1:20" ht="16.5" thickBot="1" x14ac:dyDescent="0.3">
      <c r="A2" s="188" t="s">
        <v>236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</row>
    <row r="3" spans="1:20" ht="17.25" customHeight="1" thickBot="1" x14ac:dyDescent="0.3">
      <c r="A3" s="189" t="s">
        <v>87</v>
      </c>
      <c r="B3" s="191" t="s">
        <v>164</v>
      </c>
      <c r="C3" s="192"/>
      <c r="D3" s="192"/>
      <c r="E3" s="194" t="s">
        <v>0</v>
      </c>
      <c r="F3" s="8"/>
      <c r="G3" s="189" t="s">
        <v>87</v>
      </c>
      <c r="H3" s="191" t="s">
        <v>164</v>
      </c>
      <c r="I3" s="192"/>
      <c r="J3" s="192"/>
      <c r="K3" s="194" t="s">
        <v>0</v>
      </c>
    </row>
    <row r="4" spans="1:20" ht="30" customHeight="1" thickBot="1" x14ac:dyDescent="0.3">
      <c r="A4" s="190"/>
      <c r="B4" s="51" t="s">
        <v>92</v>
      </c>
      <c r="C4" s="52" t="s">
        <v>93</v>
      </c>
      <c r="D4" s="53" t="s">
        <v>153</v>
      </c>
      <c r="E4" s="195"/>
      <c r="F4" s="8"/>
      <c r="G4" s="190"/>
      <c r="H4" s="51" t="s">
        <v>92</v>
      </c>
      <c r="I4" s="52" t="s">
        <v>93</v>
      </c>
      <c r="J4" s="53" t="s">
        <v>153</v>
      </c>
      <c r="K4" s="195"/>
    </row>
    <row r="5" spans="1:20" ht="12.75" customHeight="1" x14ac:dyDescent="0.25">
      <c r="A5" s="116" t="s">
        <v>82</v>
      </c>
      <c r="B5" s="116"/>
      <c r="C5" s="116"/>
      <c r="D5" s="116"/>
      <c r="E5" s="116"/>
      <c r="F5" s="8"/>
      <c r="G5" s="116" t="s">
        <v>116</v>
      </c>
      <c r="H5" s="116"/>
      <c r="I5" s="116"/>
      <c r="J5" s="116"/>
      <c r="K5" s="116"/>
    </row>
    <row r="6" spans="1:20" ht="12.75" customHeight="1" x14ac:dyDescent="0.25">
      <c r="A6" s="29" t="s">
        <v>24</v>
      </c>
      <c r="B6" s="86">
        <v>10</v>
      </c>
      <c r="C6" s="86">
        <v>1</v>
      </c>
      <c r="D6" s="86"/>
      <c r="E6" s="159">
        <v>5</v>
      </c>
      <c r="F6" s="8"/>
      <c r="G6" s="29" t="s">
        <v>6</v>
      </c>
      <c r="H6" s="30">
        <v>3</v>
      </c>
      <c r="I6" s="30"/>
      <c r="J6" s="30"/>
      <c r="K6" s="34">
        <f>IF(SUM(H6:J6),SUM(H6:J6),"")</f>
        <v>3</v>
      </c>
      <c r="S6" s="20"/>
      <c r="T6" s="20"/>
    </row>
    <row r="7" spans="1:20" ht="12.75" customHeight="1" x14ac:dyDescent="0.25">
      <c r="A7" s="39" t="s">
        <v>25</v>
      </c>
      <c r="B7" s="88"/>
      <c r="C7" s="88"/>
      <c r="D7" s="88"/>
      <c r="E7" s="160" t="str">
        <f t="shared" ref="E7" si="0">IF(SUM(B7:D7),SUM(B7:D7),"")</f>
        <v/>
      </c>
      <c r="F7" s="8"/>
      <c r="G7" s="39" t="s">
        <v>49</v>
      </c>
      <c r="H7" s="40">
        <v>1</v>
      </c>
      <c r="I7" s="40"/>
      <c r="J7" s="40"/>
      <c r="K7" s="41">
        <f>IF(SUM(H7:J7),SUM(H7:J7),"")</f>
        <v>1</v>
      </c>
      <c r="S7" s="20"/>
      <c r="T7" s="20"/>
    </row>
    <row r="8" spans="1:20" ht="12.75" customHeight="1" x14ac:dyDescent="0.25">
      <c r="A8" s="96" t="s">
        <v>47</v>
      </c>
      <c r="B8" s="86">
        <v>4</v>
      </c>
      <c r="C8" s="86">
        <v>7</v>
      </c>
      <c r="D8" s="86"/>
      <c r="E8" s="112">
        <f>IF(SUM(B8:D8),SUM(B8:D8),"")</f>
        <v>11</v>
      </c>
      <c r="F8" s="8"/>
      <c r="G8" s="29" t="s">
        <v>63</v>
      </c>
      <c r="H8" s="30">
        <v>1</v>
      </c>
      <c r="I8" s="30"/>
      <c r="J8" s="30"/>
      <c r="K8" s="34">
        <f>IF(SUM(H8:J8),SUM(H8:J8),"")</f>
        <v>1</v>
      </c>
      <c r="S8" s="21"/>
      <c r="T8" s="20"/>
    </row>
    <row r="9" spans="1:20" ht="12.75" customHeight="1" x14ac:dyDescent="0.25">
      <c r="A9" s="39" t="s">
        <v>54</v>
      </c>
      <c r="B9" s="95">
        <v>5</v>
      </c>
      <c r="C9" s="95"/>
      <c r="D9" s="95"/>
      <c r="E9" s="113">
        <f t="shared" ref="E9" si="1">IF(SUM(B9:D9),SUM(B9:D9),"")</f>
        <v>5</v>
      </c>
      <c r="F9" s="8"/>
      <c r="G9" s="31" t="s">
        <v>117</v>
      </c>
      <c r="H9" s="33">
        <f>IF(SUM(H6:H8),SUM(H6:H8),"")</f>
        <v>5</v>
      </c>
      <c r="I9" s="33" t="str">
        <f>IF(SUM(I6:I8),SUM(I6:I8),"")</f>
        <v/>
      </c>
      <c r="J9" s="33" t="str">
        <f>IF(SUM(J6:J8),SUM(J6:J8),"")</f>
        <v/>
      </c>
      <c r="K9" s="33">
        <f t="shared" ref="K9" si="2">IF(SUM(K6:K8),SUM(K6:K8),"")</f>
        <v>5</v>
      </c>
      <c r="S9" s="20"/>
      <c r="T9" s="20"/>
    </row>
    <row r="10" spans="1:20" ht="12.75" customHeight="1" x14ac:dyDescent="0.25">
      <c r="A10" s="31" t="s">
        <v>107</v>
      </c>
      <c r="B10" s="32">
        <f>IF(SUM(B6:B9),SUM(B6:B9),"")</f>
        <v>19</v>
      </c>
      <c r="C10" s="32">
        <f>IF(SUM(C6:C9),SUM(C6:C9),"")</f>
        <v>8</v>
      </c>
      <c r="D10" s="32" t="str">
        <f>IF(SUM(D6:D9),SUM(D6:D9),"")</f>
        <v/>
      </c>
      <c r="E10" s="32">
        <f>IF(SUM(E6:E9),SUM(E6:E9),"")</f>
        <v>21</v>
      </c>
      <c r="F10" s="8"/>
      <c r="G10" s="9"/>
      <c r="H10" s="9"/>
      <c r="I10" s="9"/>
      <c r="J10" s="9"/>
      <c r="K10" s="11"/>
      <c r="S10" s="20"/>
      <c r="T10" s="20"/>
    </row>
    <row r="11" spans="1:20" ht="12.75" customHeight="1" x14ac:dyDescent="0.25">
      <c r="A11" s="9"/>
      <c r="B11" s="9"/>
      <c r="C11" s="9"/>
      <c r="D11" s="9"/>
      <c r="F11" s="8"/>
      <c r="G11" s="117" t="s">
        <v>118</v>
      </c>
      <c r="H11" s="118"/>
      <c r="I11" s="118"/>
      <c r="J11" s="118"/>
      <c r="K11" s="119"/>
      <c r="S11" s="20"/>
      <c r="T11" s="20"/>
    </row>
    <row r="12" spans="1:20" ht="12.75" customHeight="1" x14ac:dyDescent="0.25">
      <c r="A12" s="117" t="s">
        <v>83</v>
      </c>
      <c r="B12" s="118"/>
      <c r="C12" s="118"/>
      <c r="D12" s="118"/>
      <c r="E12" s="119"/>
      <c r="F12" s="8"/>
      <c r="G12" s="96" t="s">
        <v>9</v>
      </c>
      <c r="H12" s="86">
        <v>5</v>
      </c>
      <c r="I12" s="86"/>
      <c r="J12" s="86"/>
      <c r="K12" s="99">
        <f>IF(SUM(H12:J12),SUM(H12:J12),"")</f>
        <v>5</v>
      </c>
      <c r="S12" s="20"/>
      <c r="T12" s="20"/>
    </row>
    <row r="13" spans="1:20" ht="12.75" customHeight="1" x14ac:dyDescent="0.25">
      <c r="A13" s="29" t="s">
        <v>2</v>
      </c>
      <c r="B13" s="86">
        <v>8</v>
      </c>
      <c r="C13" s="86"/>
      <c r="D13" s="86"/>
      <c r="E13" s="159">
        <f t="shared" ref="E13:E16" si="3">IF(SUM(B13:D13),SUM(B13:D13),"")</f>
        <v>8</v>
      </c>
      <c r="F13" s="8"/>
      <c r="G13" s="39" t="s">
        <v>18</v>
      </c>
      <c r="H13" s="88">
        <v>11</v>
      </c>
      <c r="I13" s="88"/>
      <c r="J13" s="88"/>
      <c r="K13" s="41">
        <f>IF(SUM(H13:J13),SUM(H13:J13),"")</f>
        <v>11</v>
      </c>
      <c r="S13" s="20"/>
      <c r="T13" s="20"/>
    </row>
    <row r="14" spans="1:20" ht="12.75" customHeight="1" x14ac:dyDescent="0.25">
      <c r="A14" s="39" t="s">
        <v>10</v>
      </c>
      <c r="B14" s="88">
        <v>10</v>
      </c>
      <c r="C14" s="88"/>
      <c r="D14" s="88"/>
      <c r="E14" s="160">
        <f t="shared" si="3"/>
        <v>10</v>
      </c>
      <c r="F14" s="8"/>
      <c r="G14" s="96" t="s">
        <v>20</v>
      </c>
      <c r="H14" s="86">
        <v>2</v>
      </c>
      <c r="I14" s="86"/>
      <c r="J14" s="86"/>
      <c r="K14" s="99">
        <f>IF(SUM(H14:J14),SUM(H14:J14),"")</f>
        <v>2</v>
      </c>
      <c r="S14" s="20"/>
      <c r="T14" s="21"/>
    </row>
    <row r="15" spans="1:20" ht="12.75" customHeight="1" x14ac:dyDescent="0.25">
      <c r="A15" s="29" t="s">
        <v>58</v>
      </c>
      <c r="B15" s="86"/>
      <c r="C15" s="86"/>
      <c r="D15" s="86"/>
      <c r="E15" s="159" t="str">
        <f t="shared" si="3"/>
        <v/>
      </c>
      <c r="F15" s="8"/>
      <c r="G15" s="39" t="s">
        <v>61</v>
      </c>
      <c r="H15" s="88">
        <v>2</v>
      </c>
      <c r="I15" s="88"/>
      <c r="J15" s="88"/>
      <c r="K15" s="41">
        <f>IF(SUM(H15:J15),SUM(H15:J15),"")</f>
        <v>2</v>
      </c>
      <c r="S15" s="21"/>
      <c r="T15" s="20"/>
    </row>
    <row r="16" spans="1:20" ht="12.75" customHeight="1" x14ac:dyDescent="0.25">
      <c r="A16" s="39" t="s">
        <v>66</v>
      </c>
      <c r="B16" s="88">
        <v>2</v>
      </c>
      <c r="C16" s="88"/>
      <c r="D16" s="88"/>
      <c r="E16" s="160">
        <f t="shared" si="3"/>
        <v>2</v>
      </c>
      <c r="F16" s="8"/>
      <c r="G16" s="31" t="s">
        <v>119</v>
      </c>
      <c r="H16" s="33">
        <f>IF(SUM(H12:H15),SUM(H12:H15),"")</f>
        <v>20</v>
      </c>
      <c r="I16" s="33" t="str">
        <f>IF(SUM(I12:I15),SUM(I12:I15),"")</f>
        <v/>
      </c>
      <c r="J16" s="33" t="str">
        <f>IF(SUM(J12:J15),SUM(J12:J15),"")</f>
        <v/>
      </c>
      <c r="K16" s="33">
        <f>IF(SUM(K12:K15),SUM(K12:K15),"")</f>
        <v>20</v>
      </c>
      <c r="S16" s="20"/>
      <c r="T16" s="20"/>
    </row>
    <row r="17" spans="1:20" ht="12.75" customHeight="1" x14ac:dyDescent="0.25">
      <c r="A17" s="31" t="s">
        <v>88</v>
      </c>
      <c r="B17" s="33">
        <f>IF(SUM(B13:B16),SUM(B13:B16),"")</f>
        <v>20</v>
      </c>
      <c r="C17" s="33" t="str">
        <f>IF(SUM(C13:C16),SUM(C13:C16),"")</f>
        <v/>
      </c>
      <c r="D17" s="33" t="str">
        <f>IF(SUM(D13:D16),SUM(D13:D16),"")</f>
        <v/>
      </c>
      <c r="E17" s="33">
        <f>IF(SUM(E13:E16),SUM(E13:E16),"")</f>
        <v>20</v>
      </c>
      <c r="F17" s="8"/>
      <c r="G17" s="9"/>
      <c r="H17" s="9"/>
      <c r="I17" s="9"/>
      <c r="J17" s="9"/>
      <c r="K17" s="11"/>
      <c r="S17" s="20"/>
      <c r="T17" s="20"/>
    </row>
    <row r="18" spans="1:20" ht="12.75" customHeight="1" x14ac:dyDescent="0.25">
      <c r="A18" s="9"/>
      <c r="B18" s="128"/>
      <c r="C18" s="128"/>
      <c r="D18" s="128"/>
      <c r="F18" s="8"/>
      <c r="G18" s="117" t="s">
        <v>120</v>
      </c>
      <c r="H18" s="118"/>
      <c r="I18" s="118"/>
      <c r="J18" s="118"/>
      <c r="K18" s="119"/>
      <c r="S18" s="20"/>
      <c r="T18" s="20"/>
    </row>
    <row r="19" spans="1:20" ht="12.75" customHeight="1" x14ac:dyDescent="0.25">
      <c r="A19" s="117" t="s">
        <v>84</v>
      </c>
      <c r="B19" s="118"/>
      <c r="C19" s="118"/>
      <c r="D19" s="118"/>
      <c r="E19" s="119"/>
      <c r="F19" s="8"/>
      <c r="G19" s="29" t="s">
        <v>30</v>
      </c>
      <c r="H19" s="30">
        <v>1</v>
      </c>
      <c r="I19" s="30"/>
      <c r="J19" s="30"/>
      <c r="K19" s="34">
        <f>IF(SUM(H19:J19),SUM(H19:J19),"")</f>
        <v>1</v>
      </c>
      <c r="S19" s="20"/>
      <c r="T19" s="20"/>
    </row>
    <row r="20" spans="1:20" ht="12.75" customHeight="1" x14ac:dyDescent="0.25">
      <c r="A20" s="29" t="s">
        <v>3</v>
      </c>
      <c r="B20" s="86">
        <v>2</v>
      </c>
      <c r="C20" s="86"/>
      <c r="D20" s="86"/>
      <c r="E20" s="159">
        <f>IF(SUM(B20:D20),SUM(B20:D20),"")</f>
        <v>2</v>
      </c>
      <c r="F20" s="8"/>
      <c r="G20" s="39" t="s">
        <v>100</v>
      </c>
      <c r="H20" s="40">
        <v>5</v>
      </c>
      <c r="I20" s="40"/>
      <c r="J20" s="40"/>
      <c r="K20" s="41">
        <f>IF(SUM(H20:J20),SUM(H20:J20),"")</f>
        <v>5</v>
      </c>
      <c r="S20" s="20"/>
      <c r="T20" s="20"/>
    </row>
    <row r="21" spans="1:20" ht="12.75" customHeight="1" x14ac:dyDescent="0.25">
      <c r="A21" s="39" t="s">
        <v>5</v>
      </c>
      <c r="B21" s="88"/>
      <c r="C21" s="88"/>
      <c r="D21" s="88"/>
      <c r="E21" s="160" t="str">
        <f>IF(SUM(B21:D21),SUM(B21:D21),"")</f>
        <v/>
      </c>
      <c r="F21" s="8"/>
      <c r="G21" s="29" t="s">
        <v>64</v>
      </c>
      <c r="H21" s="30">
        <v>4</v>
      </c>
      <c r="I21" s="30"/>
      <c r="J21" s="30"/>
      <c r="K21" s="34">
        <f>IF(SUM(H21:J21),SUM(H21:J21),"")</f>
        <v>4</v>
      </c>
      <c r="L21" s="59"/>
      <c r="M21" s="60"/>
      <c r="N21" s="60"/>
      <c r="O21" s="60"/>
      <c r="P21" s="60"/>
      <c r="Q21" s="60"/>
      <c r="R21" s="60"/>
      <c r="S21" s="20"/>
      <c r="T21" s="20"/>
    </row>
    <row r="22" spans="1:20" ht="12.75" customHeight="1" x14ac:dyDescent="0.25">
      <c r="A22" s="29" t="s">
        <v>16</v>
      </c>
      <c r="B22" s="86">
        <v>3</v>
      </c>
      <c r="C22" s="86"/>
      <c r="D22" s="86"/>
      <c r="E22" s="159">
        <f>IF(SUM(B22:D22),SUM(B22:D22),"")</f>
        <v>3</v>
      </c>
      <c r="F22" s="8"/>
      <c r="G22" s="31" t="s">
        <v>172</v>
      </c>
      <c r="H22" s="33">
        <f>IF(SUM(H19:H21),SUM(H19:H21),"")</f>
        <v>10</v>
      </c>
      <c r="I22" s="33" t="str">
        <f>IF(SUM(I19:I21),SUM(I19:I21),"")</f>
        <v/>
      </c>
      <c r="J22" s="33" t="str">
        <f>IF(SUM(J19:J21),SUM(J19:J21),"")</f>
        <v/>
      </c>
      <c r="K22" s="33">
        <f t="shared" ref="K22" si="4">IF(SUM(K19:K21),SUM(K19:K21),"")</f>
        <v>10</v>
      </c>
      <c r="S22" s="20"/>
      <c r="T22" s="20"/>
    </row>
    <row r="23" spans="1:20" ht="12.75" customHeight="1" x14ac:dyDescent="0.25">
      <c r="A23" s="39" t="s">
        <v>33</v>
      </c>
      <c r="B23" s="88">
        <v>2</v>
      </c>
      <c r="C23" s="88"/>
      <c r="D23" s="88"/>
      <c r="E23" s="160">
        <f>IF(SUM(B23:D23),SUM(B23:D23),"")</f>
        <v>2</v>
      </c>
      <c r="F23" s="8"/>
      <c r="G23" s="9"/>
      <c r="H23" s="9"/>
      <c r="I23" s="9"/>
      <c r="J23" s="9"/>
      <c r="K23" s="11"/>
      <c r="S23" s="20"/>
      <c r="T23" s="20"/>
    </row>
    <row r="24" spans="1:20" ht="12.75" customHeight="1" x14ac:dyDescent="0.25">
      <c r="A24" s="29" t="s">
        <v>36</v>
      </c>
      <c r="B24" s="86">
        <v>6</v>
      </c>
      <c r="C24" s="86"/>
      <c r="D24" s="86"/>
      <c r="E24" s="159">
        <f>IF(SUM(B24:D24),SUM(B24:D24),"")</f>
        <v>6</v>
      </c>
      <c r="F24" s="8"/>
      <c r="G24" s="117" t="s">
        <v>173</v>
      </c>
      <c r="H24" s="118"/>
      <c r="I24" s="118"/>
      <c r="J24" s="118"/>
      <c r="K24" s="119"/>
      <c r="S24" s="20"/>
      <c r="T24" s="21"/>
    </row>
    <row r="25" spans="1:20" ht="12.75" customHeight="1" x14ac:dyDescent="0.25">
      <c r="A25" s="31" t="s">
        <v>89</v>
      </c>
      <c r="B25" s="33">
        <f>IF(SUM(B20:B24),SUM(B20:B24),"")</f>
        <v>13</v>
      </c>
      <c r="C25" s="33" t="str">
        <f>IF(SUM(C20:C24),SUM(C20:C24),"")</f>
        <v/>
      </c>
      <c r="D25" s="33" t="str">
        <f>IF(SUM(D20:D24),SUM(D20:D24),"")</f>
        <v/>
      </c>
      <c r="E25" s="33">
        <f>IF(SUM(E20:E24),SUM(E20:E24),"")</f>
        <v>13</v>
      </c>
      <c r="F25" s="8"/>
      <c r="G25" s="96" t="s">
        <v>31</v>
      </c>
      <c r="H25" s="86">
        <v>2</v>
      </c>
      <c r="I25" s="86"/>
      <c r="J25" s="86"/>
      <c r="K25" s="99">
        <f>IF(SUM(H25:J25),SUM(H25:J25),"")</f>
        <v>2</v>
      </c>
      <c r="S25" s="20"/>
      <c r="T25" s="20"/>
    </row>
    <row r="26" spans="1:20" ht="12.75" customHeight="1" x14ac:dyDescent="0.25">
      <c r="A26" s="9"/>
      <c r="B26" s="9"/>
      <c r="C26" s="9"/>
      <c r="D26" s="9"/>
      <c r="F26" s="8"/>
      <c r="G26" s="39" t="s">
        <v>37</v>
      </c>
      <c r="H26" s="40"/>
      <c r="I26" s="40"/>
      <c r="J26" s="40"/>
      <c r="K26" s="41" t="str">
        <f>IF(SUM(H26:J26),SUM(H26:J26),"")</f>
        <v/>
      </c>
      <c r="S26" s="21"/>
      <c r="T26" s="20"/>
    </row>
    <row r="27" spans="1:20" ht="12.75" customHeight="1" x14ac:dyDescent="0.25">
      <c r="A27" s="120" t="s">
        <v>85</v>
      </c>
      <c r="B27" s="120"/>
      <c r="C27" s="120"/>
      <c r="D27" s="120"/>
      <c r="E27" s="120"/>
      <c r="F27" s="8"/>
      <c r="G27" s="96" t="s">
        <v>42</v>
      </c>
      <c r="H27" s="86">
        <v>6</v>
      </c>
      <c r="I27" s="86"/>
      <c r="J27" s="86"/>
      <c r="K27" s="99">
        <f>IF(SUM(H27:J27),SUM(H27:J27),"")</f>
        <v>6</v>
      </c>
      <c r="S27" s="20"/>
      <c r="T27" s="20"/>
    </row>
    <row r="28" spans="1:20" ht="12.75" customHeight="1" x14ac:dyDescent="0.25">
      <c r="A28" s="29" t="s">
        <v>11</v>
      </c>
      <c r="B28" s="86">
        <v>4</v>
      </c>
      <c r="C28" s="86"/>
      <c r="D28" s="86"/>
      <c r="E28" s="34">
        <f t="shared" ref="E28:E32" si="5">IF(SUM(B28:D28),SUM(B28:D28),"")</f>
        <v>4</v>
      </c>
      <c r="F28" s="8"/>
      <c r="G28" s="39" t="s">
        <v>46</v>
      </c>
      <c r="H28" s="40"/>
      <c r="I28" s="40"/>
      <c r="J28" s="40"/>
      <c r="K28" s="41" t="str">
        <f>IF(SUM(H28:J28),SUM(H28:J28),"")</f>
        <v/>
      </c>
      <c r="S28" s="20"/>
      <c r="T28" s="20"/>
    </row>
    <row r="29" spans="1:20" ht="12.75" customHeight="1" x14ac:dyDescent="0.25">
      <c r="A29" s="39" t="s">
        <v>99</v>
      </c>
      <c r="B29" s="89">
        <v>3</v>
      </c>
      <c r="C29" s="88">
        <v>1</v>
      </c>
      <c r="D29" s="88"/>
      <c r="E29" s="41">
        <f t="shared" si="5"/>
        <v>4</v>
      </c>
      <c r="F29" s="8"/>
      <c r="G29" s="31" t="s">
        <v>174</v>
      </c>
      <c r="H29" s="33">
        <f>IF(SUM(H25:H28),SUM(H25:H28),"")</f>
        <v>8</v>
      </c>
      <c r="I29" s="33" t="str">
        <f>IF(SUM(I25:I28),SUM(I25:I28),"")</f>
        <v/>
      </c>
      <c r="J29" s="33" t="str">
        <f>IF(SUM(J25:J28),SUM(J25:J28),"")</f>
        <v/>
      </c>
      <c r="K29" s="33">
        <f>IF(SUM(K25:K28),SUM(K25:K28),"")</f>
        <v>8</v>
      </c>
      <c r="S29" s="20"/>
      <c r="T29" s="20"/>
    </row>
    <row r="30" spans="1:20" ht="12.75" customHeight="1" x14ac:dyDescent="0.25">
      <c r="A30" s="29" t="s">
        <v>19</v>
      </c>
      <c r="B30" s="86">
        <v>2</v>
      </c>
      <c r="C30" s="86"/>
      <c r="D30" s="86"/>
      <c r="E30" s="34">
        <f t="shared" si="5"/>
        <v>2</v>
      </c>
      <c r="F30" s="8"/>
      <c r="G30" s="9"/>
      <c r="H30" s="9"/>
      <c r="I30" s="9"/>
      <c r="J30" s="9"/>
      <c r="K30" s="11"/>
      <c r="S30" s="20"/>
      <c r="T30" s="20"/>
    </row>
    <row r="31" spans="1:20" ht="12.75" customHeight="1" x14ac:dyDescent="0.25">
      <c r="A31" s="39" t="s">
        <v>38</v>
      </c>
      <c r="B31" s="88">
        <v>5</v>
      </c>
      <c r="C31" s="88"/>
      <c r="D31" s="88"/>
      <c r="E31" s="41">
        <f t="shared" si="5"/>
        <v>5</v>
      </c>
      <c r="F31" s="8"/>
      <c r="G31" s="117" t="s">
        <v>175</v>
      </c>
      <c r="H31" s="118"/>
      <c r="I31" s="118"/>
      <c r="J31" s="118"/>
      <c r="K31" s="119"/>
      <c r="S31" s="20"/>
      <c r="T31" s="20"/>
    </row>
    <row r="32" spans="1:20" ht="12.75" customHeight="1" x14ac:dyDescent="0.25">
      <c r="A32" s="29" t="s">
        <v>39</v>
      </c>
      <c r="B32" s="86">
        <v>1</v>
      </c>
      <c r="C32" s="86"/>
      <c r="D32" s="86"/>
      <c r="E32" s="34">
        <f t="shared" si="5"/>
        <v>1</v>
      </c>
      <c r="F32" s="8"/>
      <c r="G32" s="29" t="s">
        <v>27</v>
      </c>
      <c r="H32" s="86"/>
      <c r="I32" s="130"/>
      <c r="J32" s="130"/>
      <c r="K32" s="99" t="str">
        <f>IF(SUM(H32:J32),SUM(H32:J32),"")</f>
        <v/>
      </c>
      <c r="S32" s="20"/>
      <c r="T32" s="20"/>
    </row>
    <row r="33" spans="1:20" ht="12.75" customHeight="1" x14ac:dyDescent="0.25">
      <c r="A33" s="31" t="s">
        <v>90</v>
      </c>
      <c r="B33" s="33">
        <f>IF(SUM(B28:B32),SUM(B28:B32),"")</f>
        <v>15</v>
      </c>
      <c r="C33" s="33">
        <f>IF(SUM(C28:C32),SUM(C28:C32),"")</f>
        <v>1</v>
      </c>
      <c r="D33" s="33" t="str">
        <f>IF(SUM(D28:D32),SUM(D28:D32),"")</f>
        <v/>
      </c>
      <c r="E33" s="33">
        <f>IF(SUM(E28:E32),SUM(E28:E32),"")</f>
        <v>16</v>
      </c>
      <c r="F33" s="8"/>
      <c r="G33" s="39" t="s">
        <v>32</v>
      </c>
      <c r="H33" s="40">
        <v>18</v>
      </c>
      <c r="I33" s="40"/>
      <c r="J33" s="40"/>
      <c r="K33" s="41">
        <f>IF(SUM(H33:J33),SUM(H33:J33),"")</f>
        <v>18</v>
      </c>
      <c r="S33" s="20"/>
      <c r="T33" s="21"/>
    </row>
    <row r="34" spans="1:20" ht="12.75" customHeight="1" x14ac:dyDescent="0.25">
      <c r="A34" s="9"/>
      <c r="B34" s="9"/>
      <c r="C34" s="9"/>
      <c r="D34" s="9"/>
      <c r="F34" s="8"/>
      <c r="G34" s="29" t="s">
        <v>44</v>
      </c>
      <c r="H34" s="86">
        <v>3</v>
      </c>
      <c r="I34" s="86"/>
      <c r="J34" s="130"/>
      <c r="K34" s="99">
        <f>IF(SUM(H34:J34),SUM(H34:J34),"")</f>
        <v>3</v>
      </c>
      <c r="S34" s="20"/>
      <c r="T34" s="20"/>
    </row>
    <row r="35" spans="1:20" ht="12.75" customHeight="1" x14ac:dyDescent="0.25">
      <c r="A35" s="117" t="s">
        <v>86</v>
      </c>
      <c r="B35" s="118"/>
      <c r="C35" s="118"/>
      <c r="D35" s="118"/>
      <c r="E35" s="119"/>
      <c r="F35" s="8"/>
      <c r="G35" s="39" t="s">
        <v>68</v>
      </c>
      <c r="H35" s="40">
        <v>25</v>
      </c>
      <c r="I35" s="40"/>
      <c r="J35" s="40"/>
      <c r="K35" s="41">
        <f>IF(SUM(H35:J35),SUM(H35:J35),"")</f>
        <v>25</v>
      </c>
      <c r="S35" s="20"/>
      <c r="T35" s="20"/>
    </row>
    <row r="36" spans="1:20" ht="12.75" customHeight="1" x14ac:dyDescent="0.25">
      <c r="A36" s="29" t="s">
        <v>208</v>
      </c>
      <c r="B36" s="86">
        <v>10</v>
      </c>
      <c r="C36" s="86"/>
      <c r="D36" s="86"/>
      <c r="E36" s="34">
        <f>IF(SUM(B36:D36),SUM(B36:D36),"")</f>
        <v>10</v>
      </c>
      <c r="F36" s="8"/>
      <c r="G36" s="31" t="s">
        <v>177</v>
      </c>
      <c r="H36" s="33">
        <f>IF(SUM(H32:H35),SUM(H32:H35),"")</f>
        <v>46</v>
      </c>
      <c r="I36" s="33" t="str">
        <f t="shared" ref="I36:K36" si="6">IF(SUM(I32:I35),SUM(I32:I35),"")</f>
        <v/>
      </c>
      <c r="J36" s="33" t="str">
        <f t="shared" si="6"/>
        <v/>
      </c>
      <c r="K36" s="33">
        <f t="shared" si="6"/>
        <v>46</v>
      </c>
      <c r="S36" s="21"/>
      <c r="T36" s="20"/>
    </row>
    <row r="37" spans="1:20" ht="12.75" customHeight="1" x14ac:dyDescent="0.25">
      <c r="A37" s="39" t="s">
        <v>26</v>
      </c>
      <c r="B37" s="88">
        <v>2</v>
      </c>
      <c r="C37" s="88"/>
      <c r="D37" s="88"/>
      <c r="E37" s="41">
        <f>IF(SUM(B37:D37),SUM(B37:D37),"")</f>
        <v>2</v>
      </c>
      <c r="F37" s="8"/>
      <c r="H37" s="69"/>
      <c r="S37" s="20"/>
      <c r="T37" s="20"/>
    </row>
    <row r="38" spans="1:20" ht="12.75" customHeight="1" x14ac:dyDescent="0.25">
      <c r="A38" s="35" t="s">
        <v>34</v>
      </c>
      <c r="B38" s="86">
        <v>2</v>
      </c>
      <c r="C38" s="86"/>
      <c r="D38" s="86"/>
      <c r="E38" s="34">
        <f>IF(SUM(B38:D38),SUM(B38:D38),"")</f>
        <v>2</v>
      </c>
      <c r="F38" s="8"/>
      <c r="G38" s="117" t="s">
        <v>176</v>
      </c>
      <c r="H38" s="118"/>
      <c r="I38" s="118"/>
      <c r="J38" s="118"/>
      <c r="K38" s="119"/>
      <c r="S38" s="20"/>
      <c r="T38" s="20"/>
    </row>
    <row r="39" spans="1:20" ht="12.75" customHeight="1" x14ac:dyDescent="0.25">
      <c r="A39" s="31" t="s">
        <v>91</v>
      </c>
      <c r="B39" s="33">
        <f>IF(SUM(B36:B38),SUM(B36:B38),"")</f>
        <v>14</v>
      </c>
      <c r="C39" s="33" t="str">
        <f>IF(SUM(C36:C38),SUM(C36:C38),"")</f>
        <v/>
      </c>
      <c r="D39" s="33" t="str">
        <f t="shared" ref="D39" si="7">IF(SUM(D36:D38),SUM(D36:D38),"")</f>
        <v/>
      </c>
      <c r="E39" s="161">
        <f>IF(SUM(E36:E38),SUM(E36:E38),"")</f>
        <v>14</v>
      </c>
      <c r="F39" s="8"/>
      <c r="G39" s="29" t="s">
        <v>21</v>
      </c>
      <c r="H39" s="86">
        <v>8</v>
      </c>
      <c r="I39" s="86"/>
      <c r="J39" s="86"/>
      <c r="K39" s="99">
        <f>IF(SUM(H39:J39),SUM(H39:J39),"")</f>
        <v>8</v>
      </c>
      <c r="S39" s="20"/>
      <c r="T39" s="20"/>
    </row>
    <row r="40" spans="1:20" ht="12.75" customHeight="1" x14ac:dyDescent="0.25">
      <c r="A40" s="9"/>
      <c r="B40" s="9"/>
      <c r="C40" s="9"/>
      <c r="D40" s="9"/>
      <c r="E40" s="6"/>
      <c r="F40" s="8"/>
      <c r="G40" s="39" t="s">
        <v>28</v>
      </c>
      <c r="H40" s="40">
        <v>1</v>
      </c>
      <c r="I40" s="40"/>
      <c r="J40" s="40"/>
      <c r="K40" s="41">
        <f>IF(SUM(H40:J40),SUM(H40:J40),"")</f>
        <v>1</v>
      </c>
      <c r="S40" s="20"/>
      <c r="T40" s="20"/>
    </row>
    <row r="41" spans="1:20" ht="12.75" customHeight="1" x14ac:dyDescent="0.25">
      <c r="A41" s="117" t="s">
        <v>108</v>
      </c>
      <c r="B41" s="118"/>
      <c r="C41" s="118"/>
      <c r="D41" s="118"/>
      <c r="E41" s="119"/>
      <c r="F41" s="8"/>
      <c r="G41" s="29" t="s">
        <v>40</v>
      </c>
      <c r="H41" s="86">
        <v>2</v>
      </c>
      <c r="I41" s="86"/>
      <c r="J41" s="86"/>
      <c r="K41" s="99">
        <f>IF(SUM(H41:J41),SUM(H41:J41),"")</f>
        <v>2</v>
      </c>
      <c r="S41" s="20"/>
      <c r="T41" s="20"/>
    </row>
    <row r="42" spans="1:20" ht="12.75" customHeight="1" x14ac:dyDescent="0.25">
      <c r="A42" s="96" t="s">
        <v>15</v>
      </c>
      <c r="B42" s="86">
        <v>1</v>
      </c>
      <c r="C42" s="86"/>
      <c r="D42" s="86"/>
      <c r="E42" s="34">
        <f>IF(SUM(B42:D42),SUM(B42:D42),"")</f>
        <v>1</v>
      </c>
      <c r="F42" s="8"/>
      <c r="G42" s="39" t="s">
        <v>45</v>
      </c>
      <c r="H42" s="40">
        <v>6</v>
      </c>
      <c r="I42" s="40"/>
      <c r="J42" s="40"/>
      <c r="K42" s="41">
        <f>IF(SUM(H42:J42),SUM(H42:J42),"")</f>
        <v>6</v>
      </c>
      <c r="S42" s="20"/>
      <c r="T42" s="21"/>
    </row>
    <row r="43" spans="1:20" ht="12.75" customHeight="1" x14ac:dyDescent="0.25">
      <c r="A43" s="39" t="s">
        <v>22</v>
      </c>
      <c r="B43" s="88"/>
      <c r="C43" s="88"/>
      <c r="D43" s="88"/>
      <c r="E43" s="160" t="str">
        <f t="shared" ref="E43:E45" si="8">IF(SUM(B43:D43),SUM(B43:D43),"")</f>
        <v/>
      </c>
      <c r="F43" s="8"/>
      <c r="G43" s="96" t="s">
        <v>51</v>
      </c>
      <c r="H43" s="86">
        <v>2</v>
      </c>
      <c r="I43" s="86"/>
      <c r="J43" s="86"/>
      <c r="K43" s="99">
        <f>IF(SUM(H43:J43),SUM(H43:J43),"")</f>
        <v>2</v>
      </c>
      <c r="S43" s="20"/>
      <c r="T43" s="20"/>
    </row>
    <row r="44" spans="1:20" ht="12.75" customHeight="1" x14ac:dyDescent="0.25">
      <c r="A44" s="98" t="s">
        <v>101</v>
      </c>
      <c r="B44" s="86"/>
      <c r="C44" s="86"/>
      <c r="D44" s="86"/>
      <c r="E44" s="112" t="str">
        <f t="shared" si="8"/>
        <v/>
      </c>
      <c r="F44" s="8"/>
      <c r="G44" s="31" t="s">
        <v>178</v>
      </c>
      <c r="H44" s="33">
        <f>IF(SUM(H39:H43),SUM(H39:H43),"")</f>
        <v>19</v>
      </c>
      <c r="I44" s="33" t="str">
        <f>IF(SUM(I39:I43),SUM(I39:I43),"")</f>
        <v/>
      </c>
      <c r="J44" s="33" t="str">
        <f>IF(SUM(J39:J43),SUM(J39:J43),"")</f>
        <v/>
      </c>
      <c r="K44" s="33">
        <f>IF(SUM(K39:K43),SUM(K39:K43),"")</f>
        <v>19</v>
      </c>
      <c r="S44" s="20"/>
      <c r="T44" s="20"/>
    </row>
    <row r="45" spans="1:20" ht="12.75" customHeight="1" x14ac:dyDescent="0.25">
      <c r="A45" s="39" t="s">
        <v>41</v>
      </c>
      <c r="B45" s="88">
        <v>1</v>
      </c>
      <c r="C45" s="88">
        <v>1</v>
      </c>
      <c r="D45" s="88"/>
      <c r="E45" s="160">
        <f t="shared" si="8"/>
        <v>2</v>
      </c>
      <c r="F45" s="8"/>
      <c r="S45" s="20"/>
      <c r="T45" s="20"/>
    </row>
    <row r="46" spans="1:20" ht="12.75" customHeight="1" x14ac:dyDescent="0.25">
      <c r="A46" s="96" t="s">
        <v>50</v>
      </c>
      <c r="B46" s="86">
        <v>7</v>
      </c>
      <c r="C46" s="86"/>
      <c r="D46" s="86"/>
      <c r="E46" s="34">
        <f>IF(SUM(B46:D46),SUM(B46:D46),"")</f>
        <v>7</v>
      </c>
      <c r="F46" s="8"/>
      <c r="G46" s="117" t="s">
        <v>179</v>
      </c>
      <c r="H46" s="118"/>
      <c r="I46" s="118"/>
      <c r="J46" s="118"/>
      <c r="K46" s="119"/>
      <c r="S46" s="20"/>
      <c r="T46" s="20"/>
    </row>
    <row r="47" spans="1:20" ht="12.75" customHeight="1" x14ac:dyDescent="0.25">
      <c r="A47" s="39" t="s">
        <v>52</v>
      </c>
      <c r="B47" s="88"/>
      <c r="C47" s="88"/>
      <c r="D47" s="88"/>
      <c r="E47" s="160" t="str">
        <f>IF(SUM(B47:D47),SUM(B47:D47),"")</f>
        <v/>
      </c>
      <c r="F47" s="8"/>
      <c r="G47" s="29" t="s">
        <v>4</v>
      </c>
      <c r="H47" s="30">
        <v>6.9999999999999991</v>
      </c>
      <c r="I47" s="30"/>
      <c r="J47" s="111"/>
      <c r="K47" s="99">
        <f>IF(SUM(H47:J47),SUM(H47:J47),"")</f>
        <v>6.9999999999999991</v>
      </c>
      <c r="S47" s="20"/>
      <c r="T47" s="20"/>
    </row>
    <row r="48" spans="1:20" ht="12.75" customHeight="1" x14ac:dyDescent="0.25">
      <c r="A48" s="96" t="s">
        <v>53</v>
      </c>
      <c r="B48" s="86">
        <v>1</v>
      </c>
      <c r="C48" s="86"/>
      <c r="D48" s="86"/>
      <c r="E48" s="34">
        <f>IF(SUM(B48:D48),SUM(B48:D48),"")</f>
        <v>1</v>
      </c>
      <c r="F48" s="8"/>
      <c r="G48" s="39" t="s">
        <v>14</v>
      </c>
      <c r="H48" s="40">
        <v>56.000000000000007</v>
      </c>
      <c r="I48" s="40"/>
      <c r="J48" s="40"/>
      <c r="K48" s="41">
        <f>IF(SUM(H48:J48),SUM(H48:J48),"")</f>
        <v>56.000000000000007</v>
      </c>
      <c r="S48" s="20"/>
      <c r="T48" s="20"/>
    </row>
    <row r="49" spans="1:27" ht="12.75" customHeight="1" x14ac:dyDescent="0.25">
      <c r="A49" s="39" t="s">
        <v>55</v>
      </c>
      <c r="B49" s="88"/>
      <c r="C49" s="88"/>
      <c r="D49" s="88"/>
      <c r="E49" s="160" t="str">
        <f>IF(SUM(B49:D49),SUM(B49:D49),"")</f>
        <v/>
      </c>
      <c r="F49" s="8"/>
      <c r="G49" s="29" t="s">
        <v>59</v>
      </c>
      <c r="H49" s="30">
        <v>15.000000000000002</v>
      </c>
      <c r="I49" s="30"/>
      <c r="J49" s="30"/>
      <c r="K49" s="99">
        <f>IF(SUM(H49:J49),SUM(H49:J49),"")</f>
        <v>15.000000000000002</v>
      </c>
      <c r="S49" s="20"/>
      <c r="T49" s="20"/>
    </row>
    <row r="50" spans="1:27" ht="12.75" customHeight="1" x14ac:dyDescent="0.25">
      <c r="A50" s="31" t="s">
        <v>109</v>
      </c>
      <c r="B50" s="33">
        <f t="shared" ref="B50:D50" si="9">IF(SUM(B42:B49),SUM(B42:B49),"")</f>
        <v>10</v>
      </c>
      <c r="C50" s="33">
        <f t="shared" si="9"/>
        <v>1</v>
      </c>
      <c r="D50" s="33" t="str">
        <f t="shared" si="9"/>
        <v/>
      </c>
      <c r="E50" s="161">
        <f>IF(SUM(E42:E49),SUM(E42:E49),"")</f>
        <v>11</v>
      </c>
      <c r="F50" s="8"/>
      <c r="G50" s="31" t="s">
        <v>180</v>
      </c>
      <c r="H50" s="33">
        <f t="shared" ref="H50:J50" si="10">IF(SUM(H47:H49),SUM(H47:H49),"")</f>
        <v>78.000000000000014</v>
      </c>
      <c r="I50" s="33" t="str">
        <f t="shared" si="10"/>
        <v/>
      </c>
      <c r="J50" s="33" t="str">
        <f t="shared" si="10"/>
        <v/>
      </c>
      <c r="K50" s="33">
        <f>IF(SUM(K47:K49),SUM(K47:K49),"")</f>
        <v>78.000000000000014</v>
      </c>
      <c r="S50" s="20"/>
      <c r="T50" s="20"/>
    </row>
    <row r="51" spans="1:27" ht="12.75" customHeight="1" x14ac:dyDescent="0.25">
      <c r="A51" s="9"/>
      <c r="B51" s="9"/>
      <c r="C51" s="9"/>
      <c r="D51" s="9"/>
      <c r="F51" s="162"/>
      <c r="S51" s="21"/>
      <c r="T51" s="20"/>
    </row>
    <row r="52" spans="1:27" ht="12.75" customHeight="1" x14ac:dyDescent="0.25">
      <c r="A52" s="117" t="s">
        <v>110</v>
      </c>
      <c r="B52" s="118"/>
      <c r="C52" s="118"/>
      <c r="D52" s="118"/>
      <c r="E52" s="119"/>
      <c r="F52" s="8"/>
      <c r="G52" s="117" t="s">
        <v>181</v>
      </c>
      <c r="H52" s="118"/>
      <c r="I52" s="118"/>
      <c r="J52" s="118"/>
      <c r="K52" s="119"/>
      <c r="S52" s="20"/>
      <c r="T52" s="20"/>
    </row>
    <row r="53" spans="1:27" ht="12.75" customHeight="1" x14ac:dyDescent="0.25">
      <c r="A53" s="96" t="s">
        <v>8</v>
      </c>
      <c r="B53" s="86">
        <v>8</v>
      </c>
      <c r="C53" s="86">
        <v>1</v>
      </c>
      <c r="D53" s="86"/>
      <c r="E53" s="112">
        <f>IF(SUM(B53:D53),SUM(B53:D53),"")</f>
        <v>9</v>
      </c>
      <c r="F53" s="8"/>
      <c r="G53" s="29" t="s">
        <v>98</v>
      </c>
      <c r="H53" s="86">
        <v>5</v>
      </c>
      <c r="I53" s="86"/>
      <c r="J53" s="86"/>
      <c r="K53" s="99">
        <f>IF(SUM(H53:J53),SUM(H53:J53),"")</f>
        <v>5</v>
      </c>
      <c r="S53" s="20"/>
      <c r="T53" s="20"/>
    </row>
    <row r="54" spans="1:27" ht="12.75" customHeight="1" x14ac:dyDescent="0.25">
      <c r="A54" s="39" t="s">
        <v>12</v>
      </c>
      <c r="B54" s="88">
        <v>3</v>
      </c>
      <c r="C54" s="88"/>
      <c r="D54" s="88"/>
      <c r="E54" s="160">
        <f>IF(SUM(B54:D54),SUM(B54:D54),"")</f>
        <v>3</v>
      </c>
      <c r="F54" s="8"/>
      <c r="G54" s="39" t="s">
        <v>23</v>
      </c>
      <c r="H54" s="40"/>
      <c r="I54" s="40"/>
      <c r="J54" s="40"/>
      <c r="K54" s="41" t="str">
        <f>IF(SUM(H54:J54),SUM(H54:J54),"")</f>
        <v/>
      </c>
      <c r="S54" s="20"/>
      <c r="T54" s="20"/>
    </row>
    <row r="55" spans="1:27" ht="12.75" customHeight="1" x14ac:dyDescent="0.25">
      <c r="A55" s="98" t="s">
        <v>35</v>
      </c>
      <c r="B55" s="86">
        <v>13</v>
      </c>
      <c r="C55" s="86"/>
      <c r="D55" s="86"/>
      <c r="E55" s="112">
        <f>IF(SUM(B55:D55),SUM(B55:D55),"")</f>
        <v>13</v>
      </c>
      <c r="F55" s="8"/>
      <c r="G55" s="29" t="s">
        <v>29</v>
      </c>
      <c r="H55" s="86">
        <v>2</v>
      </c>
      <c r="I55" s="86"/>
      <c r="J55" s="86"/>
      <c r="K55" s="99">
        <f>IF(SUM(H55:J55),SUM(H55:J55),"")</f>
        <v>2</v>
      </c>
      <c r="L55" s="7"/>
      <c r="M55" s="7"/>
      <c r="N55" s="7"/>
      <c r="O55" s="7"/>
      <c r="P55" s="7"/>
      <c r="Q55" s="7"/>
      <c r="R55" s="7"/>
      <c r="S55" s="20"/>
      <c r="T55" s="20"/>
    </row>
    <row r="56" spans="1:27" ht="12.75" customHeight="1" x14ac:dyDescent="0.25">
      <c r="A56" s="31" t="s">
        <v>111</v>
      </c>
      <c r="B56" s="33">
        <f t="shared" ref="B56:D56" si="11">IF(SUM(B53:B55),SUM(B53:B55),"")</f>
        <v>24</v>
      </c>
      <c r="C56" s="33">
        <f t="shared" si="11"/>
        <v>1</v>
      </c>
      <c r="D56" s="33" t="str">
        <f t="shared" si="11"/>
        <v/>
      </c>
      <c r="E56" s="161">
        <f>IF(SUM(E53:E55),SUM(E53:E55),"")</f>
        <v>25</v>
      </c>
      <c r="F56" s="8"/>
      <c r="G56" s="39" t="s">
        <v>62</v>
      </c>
      <c r="H56" s="40">
        <v>12</v>
      </c>
      <c r="I56" s="40"/>
      <c r="J56" s="40"/>
      <c r="K56" s="41">
        <f>IF(SUM(H56:J56),SUM(H56:J56),"")</f>
        <v>12</v>
      </c>
      <c r="S56" s="20"/>
      <c r="T56" s="21"/>
    </row>
    <row r="57" spans="1:27" ht="12.75" customHeight="1" x14ac:dyDescent="0.25">
      <c r="F57" s="8"/>
      <c r="G57" s="96" t="s">
        <v>65</v>
      </c>
      <c r="H57" s="86">
        <v>7</v>
      </c>
      <c r="I57" s="86"/>
      <c r="J57" s="86"/>
      <c r="K57" s="99">
        <f>IF(SUM(H57:J57),SUM(H57:J57),"")</f>
        <v>7</v>
      </c>
      <c r="S57" s="21"/>
      <c r="T57" s="20"/>
    </row>
    <row r="58" spans="1:27" ht="12.75" customHeight="1" x14ac:dyDescent="0.25">
      <c r="A58" s="117" t="s">
        <v>112</v>
      </c>
      <c r="B58" s="118"/>
      <c r="C58" s="118"/>
      <c r="D58" s="118"/>
      <c r="E58" s="119"/>
      <c r="F58" s="8"/>
      <c r="G58" s="31" t="s">
        <v>182</v>
      </c>
      <c r="H58" s="33">
        <f>IF(SUM(H53:H57),SUM(H53:H57),"")</f>
        <v>26</v>
      </c>
      <c r="I58" s="33" t="str">
        <f>IF(SUM(I53:I57),SUM(I53:I57),"")</f>
        <v/>
      </c>
      <c r="J58" s="33" t="str">
        <f>IF(SUM(J53:J57),SUM(J53:J57),"")</f>
        <v/>
      </c>
      <c r="K58" s="33">
        <f t="shared" ref="K58" si="12">IF(SUM(K53:K57),SUM(K53:K57),"")</f>
        <v>26</v>
      </c>
      <c r="T58" s="20"/>
    </row>
    <row r="59" spans="1:27" ht="12.75" customHeight="1" x14ac:dyDescent="0.25">
      <c r="A59" s="96" t="s">
        <v>13</v>
      </c>
      <c r="B59" s="86"/>
      <c r="C59" s="86"/>
      <c r="D59" s="86"/>
      <c r="E59" s="112" t="str">
        <f>IF(SUM(B59:D59),SUM(B59:D59),"")</f>
        <v/>
      </c>
      <c r="F59" s="8"/>
      <c r="T59" s="20"/>
    </row>
    <row r="60" spans="1:27" ht="12.75" customHeight="1" x14ac:dyDescent="0.25">
      <c r="A60" s="39" t="s">
        <v>43</v>
      </c>
      <c r="B60" s="88">
        <v>10</v>
      </c>
      <c r="C60" s="88"/>
      <c r="D60" s="88"/>
      <c r="E60" s="160">
        <f>IF(SUM(B60:D60),SUM(B60:D60),"")</f>
        <v>10</v>
      </c>
      <c r="F60" s="8"/>
      <c r="G60" s="117" t="s">
        <v>222</v>
      </c>
      <c r="H60" s="118"/>
      <c r="I60" s="118"/>
      <c r="J60" s="118"/>
      <c r="K60" s="119"/>
      <c r="L60" s="7"/>
      <c r="M60" s="7"/>
      <c r="N60" s="7"/>
      <c r="O60" s="7"/>
      <c r="P60" s="7"/>
      <c r="Q60" s="7"/>
      <c r="R60" s="7"/>
      <c r="T60" s="20"/>
    </row>
    <row r="61" spans="1:27" ht="12.75" customHeight="1" x14ac:dyDescent="0.25">
      <c r="A61" s="98" t="s">
        <v>56</v>
      </c>
      <c r="B61" s="86"/>
      <c r="C61" s="86"/>
      <c r="D61" s="86"/>
      <c r="E61" s="112" t="str">
        <f>IF(SUM(B61:D61),SUM(B61:D61),"")</f>
        <v/>
      </c>
      <c r="F61" s="8"/>
      <c r="G61" s="29" t="s">
        <v>7</v>
      </c>
      <c r="H61" s="86"/>
      <c r="I61" s="86"/>
      <c r="J61" s="86"/>
      <c r="K61" s="99" t="str">
        <f>IF(SUM(H61:J61),SUM(H61:J61),"")</f>
        <v/>
      </c>
      <c r="L61" s="7"/>
      <c r="M61" s="7"/>
      <c r="N61" s="7"/>
      <c r="O61" s="7"/>
      <c r="P61" s="7"/>
      <c r="Q61" s="7"/>
      <c r="R61" s="7"/>
      <c r="T61" s="20"/>
    </row>
    <row r="62" spans="1:27" ht="12.75" customHeight="1" x14ac:dyDescent="0.25">
      <c r="A62" s="39" t="s">
        <v>67</v>
      </c>
      <c r="B62" s="88">
        <v>5</v>
      </c>
      <c r="C62" s="88"/>
      <c r="D62" s="88"/>
      <c r="E62" s="160">
        <f>IF(SUM(B62:D62),SUM(B62:D62),"")</f>
        <v>5</v>
      </c>
      <c r="F62" s="8"/>
      <c r="G62" s="39" t="s">
        <v>48</v>
      </c>
      <c r="H62" s="40"/>
      <c r="I62" s="40"/>
      <c r="J62" s="40"/>
      <c r="K62" s="41" t="str">
        <f>IF(SUM(H62:J62),SUM(H62:J62),"")</f>
        <v/>
      </c>
      <c r="L62" s="7"/>
      <c r="M62" s="7"/>
      <c r="N62" s="7"/>
      <c r="O62" s="7"/>
      <c r="P62" s="7"/>
      <c r="Q62" s="7"/>
      <c r="R62" s="7"/>
      <c r="AA62" s="20"/>
    </row>
    <row r="63" spans="1:27" ht="12.75" customHeight="1" x14ac:dyDescent="0.25">
      <c r="A63" s="31" t="s">
        <v>113</v>
      </c>
      <c r="B63" s="33">
        <f t="shared" ref="B63:D63" si="13">IF(SUM(B59:B62),SUM(B59:B62),"")</f>
        <v>15</v>
      </c>
      <c r="C63" s="33" t="str">
        <f t="shared" si="13"/>
        <v/>
      </c>
      <c r="D63" s="33" t="str">
        <f t="shared" si="13"/>
        <v/>
      </c>
      <c r="E63" s="161">
        <f>IF(SUM(E59:E62),SUM(E59:E62),"")</f>
        <v>15</v>
      </c>
      <c r="G63" s="29" t="s">
        <v>57</v>
      </c>
      <c r="H63" s="183"/>
      <c r="I63" s="101"/>
      <c r="J63" s="101"/>
      <c r="K63" s="99" t="str">
        <f>IF(SUM(H63:J63),SUM(H63:J63),"")</f>
        <v/>
      </c>
    </row>
    <row r="64" spans="1:27" ht="12.75" customHeight="1" x14ac:dyDescent="0.25">
      <c r="G64" s="31" t="s">
        <v>184</v>
      </c>
      <c r="H64" s="33" t="str">
        <f t="shared" ref="H64:J64" si="14">IF(SUM(H61:H63),SUM(H61:H63),"")</f>
        <v/>
      </c>
      <c r="I64" s="33" t="str">
        <f t="shared" si="14"/>
        <v/>
      </c>
      <c r="J64" s="33" t="str">
        <f t="shared" si="14"/>
        <v/>
      </c>
      <c r="K64" s="33" t="str">
        <f>IF(SUM(K61:K63),SUM(K61:K63),"")</f>
        <v/>
      </c>
    </row>
    <row r="65" spans="1:28" ht="12.75" customHeight="1" x14ac:dyDescent="0.25">
      <c r="A65" s="117" t="s">
        <v>114</v>
      </c>
      <c r="B65" s="118"/>
      <c r="C65" s="118"/>
      <c r="D65" s="118"/>
      <c r="E65" s="119"/>
      <c r="G65" s="5"/>
      <c r="K65" s="24"/>
    </row>
    <row r="66" spans="1:28" ht="12.75" customHeight="1" x14ac:dyDescent="0.25">
      <c r="A66" s="29" t="s">
        <v>1</v>
      </c>
      <c r="B66" s="86">
        <v>1</v>
      </c>
      <c r="C66" s="86"/>
      <c r="D66" s="86"/>
      <c r="E66" s="112">
        <f>IF(SUM(B66:D66),SUM(B66:D66),"")</f>
        <v>1</v>
      </c>
      <c r="G66" s="117" t="s">
        <v>185</v>
      </c>
      <c r="H66" s="118"/>
      <c r="I66" s="118"/>
      <c r="J66" s="118"/>
      <c r="K66" s="119"/>
    </row>
    <row r="67" spans="1:28" ht="12.75" customHeight="1" x14ac:dyDescent="0.25">
      <c r="A67" s="39" t="s">
        <v>209</v>
      </c>
      <c r="B67" s="88">
        <v>4</v>
      </c>
      <c r="C67" s="88"/>
      <c r="D67" s="88"/>
      <c r="E67" s="160">
        <f>IF(SUM(B67:D67),SUM(B67:D67),"")</f>
        <v>4</v>
      </c>
      <c r="G67" s="29" t="s">
        <v>97</v>
      </c>
      <c r="H67" s="184">
        <v>48.999999999999993</v>
      </c>
      <c r="I67" s="86">
        <v>1</v>
      </c>
      <c r="J67" s="86"/>
      <c r="K67" s="99">
        <f>IF(SUM(H67:J67),SUM(H67:J67),"")</f>
        <v>49.999999999999993</v>
      </c>
    </row>
    <row r="68" spans="1:28" ht="12.75" customHeight="1" x14ac:dyDescent="0.25">
      <c r="A68" s="96" t="s">
        <v>17</v>
      </c>
      <c r="B68" s="86">
        <v>1</v>
      </c>
      <c r="C68" s="86"/>
      <c r="D68" s="86"/>
      <c r="E68" s="112">
        <f>IF(SUM(B68:D68),SUM(B68:D68),"")</f>
        <v>1</v>
      </c>
      <c r="G68" s="31" t="s">
        <v>186</v>
      </c>
      <c r="H68" s="33">
        <f>IF(SUM(H67),SUM(H67),"")</f>
        <v>48.999999999999993</v>
      </c>
      <c r="I68" s="33">
        <f>IF(SUM(I63:I67),SUM(I63:I67),"")</f>
        <v>1</v>
      </c>
      <c r="J68" s="33" t="str">
        <f>IF(SUM(J63:J67),SUM(J63:J67),"")</f>
        <v/>
      </c>
      <c r="K68" s="33">
        <f>IF(SUM(K67:K67),SUM(K67:K67),"")</f>
        <v>49.999999999999993</v>
      </c>
    </row>
    <row r="69" spans="1:28" ht="12.75" customHeight="1" x14ac:dyDescent="0.25">
      <c r="A69" s="39" t="s">
        <v>60</v>
      </c>
      <c r="B69" s="88"/>
      <c r="C69" s="88"/>
      <c r="D69" s="88"/>
      <c r="E69" s="160" t="str">
        <f>IF(SUM(B69:D69),SUM(B69:D69),"")</f>
        <v/>
      </c>
      <c r="G69" s="5"/>
      <c r="K69" s="24"/>
    </row>
    <row r="70" spans="1:28" ht="12.75" customHeight="1" x14ac:dyDescent="0.25">
      <c r="A70" s="31" t="s">
        <v>115</v>
      </c>
      <c r="B70" s="33">
        <f>IF(SUM(B66:B69),SUM(B66:B69),"")</f>
        <v>6</v>
      </c>
      <c r="C70" s="33" t="str">
        <f>IF(SUM(C66:C69),SUM(C66:C69),"")</f>
        <v/>
      </c>
      <c r="D70" s="33" t="str">
        <f>IF(SUM(D66:D69),SUM(D66:D69),"")</f>
        <v/>
      </c>
      <c r="E70" s="33">
        <f>IF(SUM(E66:E69),SUM(E66:E69),"")</f>
        <v>6</v>
      </c>
      <c r="G70" s="31" t="s">
        <v>121</v>
      </c>
      <c r="H70" s="33">
        <f>IF(SUM(B10,B17,B25,B33,B39,B50,B56,B63,B70,H9,H16,H22,H29,H36,H44,H50,H58,H64,H68),SUM(B10,B17,B25,B33,B39,B50,B56,B63,B70,H9,H16,H22,H29,H36,H44,H50,H58,H64,H68),"")</f>
        <v>397</v>
      </c>
      <c r="I70" s="33">
        <f>IF(SUM(C10,C17,C25,C33,C39,C50,C56,C63,C70,I9,I16,I22,I29,I36,I44,I50,I58,I64,I68),SUM(C10,C17,C25,C33,C39,C50,C56,C63,C70,I9,I16,I22,I29,I36,I44,I50,I58,I64,I68),"")</f>
        <v>12</v>
      </c>
      <c r="J70" s="33" t="str">
        <f>IF(SUM(D10,D17,D25,D33,D39,D50,D56,D63,D70,J9,J16,J22,J29,J36,J44,J50,J58,J64,J68),SUM(D10,D17,D25,D33,D39,D50,D56,D63,D70,J9,J16,J22,J29,J36,J44,J50,J58,J64,J68),"")</f>
        <v/>
      </c>
      <c r="K70" s="33">
        <f>SUM(H70:J70)</f>
        <v>409</v>
      </c>
    </row>
    <row r="71" spans="1:28" ht="16.5" thickBot="1" x14ac:dyDescent="0.3">
      <c r="A71" s="2"/>
      <c r="E71" s="1"/>
      <c r="F71" s="10"/>
      <c r="G71"/>
      <c r="H71" s="7"/>
      <c r="I71" s="7"/>
      <c r="J71" s="7"/>
      <c r="K71"/>
      <c r="N71" s="19"/>
      <c r="O71" s="19"/>
      <c r="P71" s="19"/>
      <c r="Q71" s="19"/>
      <c r="R71" s="19"/>
      <c r="W71" s="17"/>
      <c r="X71"/>
      <c r="Y71"/>
      <c r="Z71"/>
      <c r="AA71"/>
      <c r="AB71"/>
    </row>
    <row r="72" spans="1:28" ht="16.5" thickBot="1" x14ac:dyDescent="0.3">
      <c r="A72" s="198" t="s">
        <v>225</v>
      </c>
      <c r="B72" s="198"/>
      <c r="C72" s="198"/>
      <c r="D72" s="198"/>
      <c r="E72" s="198"/>
      <c r="F72" s="10"/>
      <c r="G72"/>
      <c r="H72"/>
      <c r="I72"/>
      <c r="J72"/>
      <c r="K72"/>
      <c r="N72" s="19"/>
      <c r="O72" s="19"/>
      <c r="P72" s="19"/>
      <c r="Q72" s="19"/>
      <c r="R72" s="19"/>
      <c r="W72" s="17"/>
      <c r="X72"/>
      <c r="Y72"/>
      <c r="Z72"/>
      <c r="AA72"/>
      <c r="AB72"/>
    </row>
    <row r="73" spans="1:28" ht="26.25" thickBot="1" x14ac:dyDescent="0.3">
      <c r="A73" s="50" t="s">
        <v>69</v>
      </c>
      <c r="B73" s="51" t="s">
        <v>92</v>
      </c>
      <c r="C73" s="52" t="s">
        <v>93</v>
      </c>
      <c r="D73" s="53" t="s">
        <v>220</v>
      </c>
      <c r="E73" s="54" t="s">
        <v>0</v>
      </c>
      <c r="F73" s="10"/>
      <c r="G73"/>
      <c r="H73"/>
      <c r="I73"/>
      <c r="J73"/>
      <c r="K73"/>
      <c r="N73" s="19"/>
      <c r="O73" s="19"/>
      <c r="P73" s="19"/>
      <c r="Q73" s="19"/>
      <c r="R73" s="19"/>
      <c r="W73" s="17"/>
      <c r="X73"/>
      <c r="Y73"/>
      <c r="Z73"/>
      <c r="AA73"/>
      <c r="AB73"/>
    </row>
    <row r="74" spans="1:28" ht="12.75" customHeight="1" x14ac:dyDescent="0.25">
      <c r="A74" s="48" t="s">
        <v>70</v>
      </c>
      <c r="B74" s="90">
        <v>68</v>
      </c>
      <c r="C74" s="90"/>
      <c r="D74" s="90"/>
      <c r="E74" s="34">
        <f t="shared" ref="E74:E85" si="15">IF(SUM(B74:D74),SUM(B74:D74),"")</f>
        <v>68</v>
      </c>
      <c r="F74" s="10"/>
      <c r="G74"/>
      <c r="H74"/>
      <c r="I74"/>
      <c r="J74"/>
      <c r="K74"/>
      <c r="N74" s="19"/>
      <c r="O74" s="19"/>
      <c r="P74" s="19"/>
      <c r="Q74" s="19"/>
      <c r="R74" s="19"/>
      <c r="W74" s="17"/>
      <c r="X74"/>
      <c r="Y74"/>
      <c r="Z74"/>
      <c r="AA74"/>
      <c r="AB74"/>
    </row>
    <row r="75" spans="1:28" ht="12.75" customHeight="1" x14ac:dyDescent="0.25">
      <c r="A75" s="47" t="s">
        <v>71</v>
      </c>
      <c r="B75" s="131">
        <v>63</v>
      </c>
      <c r="C75" s="131">
        <v>7</v>
      </c>
      <c r="D75" s="131"/>
      <c r="E75" s="41">
        <f t="shared" si="15"/>
        <v>70</v>
      </c>
      <c r="F75" s="10"/>
      <c r="G75"/>
      <c r="H75"/>
      <c r="I75"/>
      <c r="J75"/>
      <c r="K75"/>
      <c r="N75" s="19"/>
      <c r="O75" s="19"/>
      <c r="P75" s="19"/>
      <c r="Q75" s="19"/>
      <c r="R75" s="19"/>
      <c r="W75" s="17"/>
      <c r="X75"/>
      <c r="Y75"/>
      <c r="Z75"/>
      <c r="AA75"/>
      <c r="AB75"/>
    </row>
    <row r="76" spans="1:28" ht="12.75" customHeight="1" x14ac:dyDescent="0.25">
      <c r="A76" s="48" t="s">
        <v>72</v>
      </c>
      <c r="B76" s="90">
        <v>69.000000000000014</v>
      </c>
      <c r="C76" s="90">
        <v>2</v>
      </c>
      <c r="D76" s="90"/>
      <c r="E76" s="34">
        <f t="shared" si="15"/>
        <v>71.000000000000014</v>
      </c>
      <c r="F76" s="10"/>
      <c r="G76"/>
      <c r="H76"/>
      <c r="I76"/>
      <c r="J76"/>
      <c r="K76"/>
      <c r="N76" s="19"/>
      <c r="O76" s="19"/>
      <c r="P76" s="19"/>
      <c r="Q76" s="19"/>
      <c r="R76" s="19"/>
      <c r="W76" s="17"/>
      <c r="X76"/>
      <c r="Y76"/>
      <c r="Z76"/>
      <c r="AA76"/>
      <c r="AB76"/>
    </row>
    <row r="77" spans="1:28" ht="12.75" customHeight="1" x14ac:dyDescent="0.25">
      <c r="A77" s="47" t="s">
        <v>73</v>
      </c>
      <c r="B77" s="131">
        <v>47.000000000000007</v>
      </c>
      <c r="C77" s="131">
        <v>1</v>
      </c>
      <c r="D77" s="131"/>
      <c r="E77" s="41">
        <f>IF(SUM(B77:D77),SUM(B77:D77),"")</f>
        <v>48.000000000000007</v>
      </c>
      <c r="F77" s="10"/>
      <c r="G77"/>
      <c r="H77"/>
      <c r="I77"/>
      <c r="J77"/>
      <c r="K77"/>
      <c r="N77" s="19"/>
      <c r="O77" s="19"/>
      <c r="P77" s="19"/>
      <c r="Q77" s="19"/>
      <c r="R77" s="19"/>
      <c r="W77" s="17"/>
      <c r="X77"/>
      <c r="Y77"/>
      <c r="Z77"/>
      <c r="AA77"/>
      <c r="AB77"/>
    </row>
    <row r="78" spans="1:28" ht="12.75" customHeight="1" x14ac:dyDescent="0.25">
      <c r="A78" s="48" t="s">
        <v>74</v>
      </c>
      <c r="B78" s="55">
        <v>77.000000000000014</v>
      </c>
      <c r="C78" s="55">
        <v>1</v>
      </c>
      <c r="D78" s="55"/>
      <c r="E78" s="185">
        <f>IF(SUM(B78:D78),SUM(B78:D78),"")</f>
        <v>78.000000000000014</v>
      </c>
      <c r="F78" s="10"/>
      <c r="G78"/>
      <c r="H78"/>
      <c r="I78"/>
      <c r="J78"/>
      <c r="K78"/>
      <c r="N78" s="19"/>
      <c r="O78" s="19"/>
      <c r="P78" s="19"/>
      <c r="Q78" s="19"/>
      <c r="R78" s="19"/>
      <c r="W78" s="17"/>
      <c r="X78"/>
      <c r="Y78"/>
      <c r="Z78"/>
      <c r="AA78"/>
      <c r="AB78"/>
    </row>
    <row r="79" spans="1:28" ht="12.75" customHeight="1" x14ac:dyDescent="0.25">
      <c r="A79" s="47" t="s">
        <v>75</v>
      </c>
      <c r="B79" s="56">
        <v>73.000000000000014</v>
      </c>
      <c r="C79" s="56">
        <v>1</v>
      </c>
      <c r="D79" s="56"/>
      <c r="E79" s="186">
        <f>IF(SUM(B79:D79),SUM(B79:D79),"")</f>
        <v>74.000000000000014</v>
      </c>
      <c r="F79" s="10"/>
      <c r="G79"/>
      <c r="H79"/>
      <c r="I79"/>
      <c r="J79"/>
      <c r="K79"/>
      <c r="N79" s="19"/>
      <c r="O79" s="19"/>
      <c r="P79" s="19"/>
      <c r="Q79" s="19"/>
      <c r="R79" s="19"/>
      <c r="W79" s="17"/>
      <c r="X79"/>
      <c r="Y79"/>
      <c r="Z79"/>
      <c r="AA79"/>
      <c r="AB79"/>
    </row>
    <row r="80" spans="1:28" ht="12.75" customHeight="1" x14ac:dyDescent="0.25">
      <c r="A80" s="48" t="s">
        <v>76</v>
      </c>
      <c r="B80" s="55"/>
      <c r="C80" s="55"/>
      <c r="D80" s="55"/>
      <c r="E80" s="34" t="str">
        <f t="shared" si="15"/>
        <v/>
      </c>
      <c r="F80" s="10"/>
      <c r="G80"/>
      <c r="H80"/>
      <c r="I80"/>
      <c r="J80"/>
      <c r="K80"/>
      <c r="N80" s="19"/>
      <c r="O80" s="19"/>
      <c r="P80" s="19"/>
      <c r="Q80" s="19"/>
      <c r="R80" s="19"/>
      <c r="W80" s="17"/>
      <c r="X80"/>
      <c r="Y80"/>
      <c r="Z80"/>
      <c r="AA80"/>
      <c r="AB80"/>
    </row>
    <row r="81" spans="1:5" ht="12.75" customHeight="1" x14ac:dyDescent="0.25">
      <c r="A81" s="47" t="s">
        <v>77</v>
      </c>
      <c r="B81" s="56"/>
      <c r="C81" s="56"/>
      <c r="D81" s="56"/>
      <c r="E81" s="41" t="str">
        <f t="shared" si="15"/>
        <v/>
      </c>
    </row>
    <row r="82" spans="1:5" ht="12.75" customHeight="1" x14ac:dyDescent="0.25">
      <c r="A82" s="48" t="s">
        <v>78</v>
      </c>
      <c r="B82" s="55"/>
      <c r="C82" s="55"/>
      <c r="D82" s="55"/>
      <c r="E82" s="34" t="str">
        <f t="shared" si="15"/>
        <v/>
      </c>
    </row>
    <row r="83" spans="1:5" ht="12.75" customHeight="1" x14ac:dyDescent="0.25">
      <c r="A83" s="47" t="s">
        <v>79</v>
      </c>
      <c r="B83" s="56"/>
      <c r="C83" s="56"/>
      <c r="D83" s="56"/>
      <c r="E83" s="41" t="str">
        <f t="shared" si="15"/>
        <v/>
      </c>
    </row>
    <row r="84" spans="1:5" ht="12.75" customHeight="1" x14ac:dyDescent="0.25">
      <c r="A84" s="48" t="s">
        <v>80</v>
      </c>
      <c r="B84" s="55"/>
      <c r="C84" s="55"/>
      <c r="D84" s="55"/>
      <c r="E84" s="34" t="str">
        <f t="shared" si="15"/>
        <v/>
      </c>
    </row>
    <row r="85" spans="1:5" ht="12.75" customHeight="1" x14ac:dyDescent="0.25">
      <c r="A85" s="47" t="s">
        <v>81</v>
      </c>
      <c r="B85" s="56"/>
      <c r="C85" s="56"/>
      <c r="D85" s="56"/>
      <c r="E85" s="41" t="str">
        <f t="shared" si="15"/>
        <v/>
      </c>
    </row>
    <row r="86" spans="1:5" ht="12.75" customHeight="1" x14ac:dyDescent="0.25">
      <c r="A86" s="45" t="s">
        <v>0</v>
      </c>
      <c r="B86" s="46">
        <f>IF(SUM(B74:B85),SUM(B74:B85),"")</f>
        <v>397</v>
      </c>
      <c r="C86" s="46">
        <f t="shared" ref="C86:E86" si="16">IF(SUM(C74:C85),SUM(C74:C85),"")</f>
        <v>12</v>
      </c>
      <c r="D86" s="46" t="str">
        <f t="shared" si="16"/>
        <v/>
      </c>
      <c r="E86" s="46">
        <f t="shared" si="16"/>
        <v>409</v>
      </c>
    </row>
  </sheetData>
  <mergeCells count="8">
    <mergeCell ref="A72:E72"/>
    <mergeCell ref="A2:K2"/>
    <mergeCell ref="A3:A4"/>
    <mergeCell ref="B3:D3"/>
    <mergeCell ref="E3:E4"/>
    <mergeCell ref="G3:G4"/>
    <mergeCell ref="H3:J3"/>
    <mergeCell ref="K3:K4"/>
  </mergeCells>
  <printOptions horizontalCentered="1"/>
  <pageMargins left="0.27559055118110237" right="0.27559055118110237" top="0.2" bottom="0.31496062992125984" header="0.16" footer="0.51181102362204722"/>
  <pageSetup paperSize="9" scale="66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shapeId="1034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9525</xdr:rowOff>
              </from>
              <to>
                <xdr:col>0</xdr:col>
                <xdr:colOff>942975</xdr:colOff>
                <xdr:row>0</xdr:row>
                <xdr:rowOff>476250</xdr:rowOff>
              </to>
            </anchor>
          </objectPr>
        </oleObject>
      </mc:Choice>
      <mc:Fallback>
        <oleObject shapeId="103425" r:id="rId4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6"/>
  <dimension ref="A1:Q91"/>
  <sheetViews>
    <sheetView showGridLines="0" view="pageBreakPreview" topLeftCell="B13" zoomScale="82" zoomScaleNormal="82" zoomScaleSheetLayoutView="82" workbookViewId="0">
      <selection activeCell="O30" sqref="O30"/>
    </sheetView>
  </sheetViews>
  <sheetFormatPr defaultColWidth="11" defaultRowHeight="12.75" x14ac:dyDescent="0.2"/>
  <cols>
    <col min="1" max="1" width="1.25" style="1" hidden="1" customWidth="1"/>
    <col min="2" max="2" width="10.125" style="1" customWidth="1"/>
    <col min="3" max="14" width="7.5" style="1" customWidth="1"/>
    <col min="15" max="15" width="8.75" style="1" customWidth="1"/>
    <col min="16" max="16" width="1.375" style="1" customWidth="1"/>
    <col min="17" max="16384" width="11" style="1"/>
  </cols>
  <sheetData>
    <row r="1" spans="1:15" ht="82.5" customHeight="1" x14ac:dyDescent="0.2"/>
    <row r="2" spans="1:15" ht="15" customHeight="1" x14ac:dyDescent="0.2">
      <c r="A2" s="1" t="s">
        <v>221</v>
      </c>
    </row>
    <row r="3" spans="1:15" ht="15" customHeight="1" x14ac:dyDescent="0.2"/>
    <row r="4" spans="1:15" ht="15" customHeight="1" thickBot="1" x14ac:dyDescent="0.25"/>
    <row r="5" spans="1:15" ht="19.5" customHeight="1" thickBot="1" x14ac:dyDescent="0.25">
      <c r="B5" s="198" t="s">
        <v>229</v>
      </c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</row>
    <row r="6" spans="1:15" ht="18" customHeight="1" thickBot="1" x14ac:dyDescent="0.25">
      <c r="B6" s="199"/>
      <c r="C6" s="201" t="s">
        <v>165</v>
      </c>
      <c r="D6" s="202"/>
      <c r="E6" s="202"/>
      <c r="F6" s="203"/>
      <c r="G6" s="201" t="s">
        <v>166</v>
      </c>
      <c r="H6" s="202"/>
      <c r="I6" s="202"/>
      <c r="J6" s="203"/>
      <c r="K6" s="201" t="s">
        <v>213</v>
      </c>
      <c r="L6" s="202"/>
      <c r="M6" s="202"/>
      <c r="N6" s="203"/>
      <c r="O6" s="204" t="s">
        <v>0</v>
      </c>
    </row>
    <row r="7" spans="1:15" ht="17.25" customHeight="1" thickBot="1" x14ac:dyDescent="0.25">
      <c r="B7" s="200"/>
      <c r="C7" s="42" t="s">
        <v>94</v>
      </c>
      <c r="D7" s="43" t="s">
        <v>95</v>
      </c>
      <c r="E7" s="43" t="s">
        <v>96</v>
      </c>
      <c r="F7" s="44" t="s">
        <v>105</v>
      </c>
      <c r="G7" s="42" t="s">
        <v>102</v>
      </c>
      <c r="H7" s="43" t="s">
        <v>104</v>
      </c>
      <c r="I7" s="57" t="s">
        <v>106</v>
      </c>
      <c r="J7" s="49" t="s">
        <v>103</v>
      </c>
      <c r="K7" s="42" t="s">
        <v>214</v>
      </c>
      <c r="L7" s="43" t="s">
        <v>215</v>
      </c>
      <c r="M7" s="43" t="s">
        <v>216</v>
      </c>
      <c r="N7" s="43" t="s">
        <v>217</v>
      </c>
      <c r="O7" s="205"/>
    </row>
    <row r="8" spans="1:15" x14ac:dyDescent="0.2">
      <c r="B8" s="48" t="s">
        <v>70</v>
      </c>
      <c r="C8" s="55"/>
      <c r="D8" s="55">
        <v>14</v>
      </c>
      <c r="E8" s="55">
        <v>5</v>
      </c>
      <c r="F8" s="55"/>
      <c r="G8" s="55">
        <v>8</v>
      </c>
      <c r="H8" s="55"/>
      <c r="I8" s="55"/>
      <c r="J8" s="55"/>
      <c r="K8" s="55">
        <v>7</v>
      </c>
      <c r="L8" s="55"/>
      <c r="M8" s="55">
        <v>2</v>
      </c>
      <c r="N8" s="55">
        <v>31.999999999999996</v>
      </c>
      <c r="O8" s="34">
        <f>IF(SUM(C8:N8),SUM(C8:N8),"")</f>
        <v>68</v>
      </c>
    </row>
    <row r="9" spans="1:15" x14ac:dyDescent="0.2">
      <c r="B9" s="47" t="s">
        <v>71</v>
      </c>
      <c r="C9" s="56"/>
      <c r="D9" s="56">
        <v>18</v>
      </c>
      <c r="E9" s="56">
        <v>14</v>
      </c>
      <c r="F9" s="56"/>
      <c r="G9" s="56">
        <v>3</v>
      </c>
      <c r="H9" s="56"/>
      <c r="I9" s="56"/>
      <c r="J9" s="56">
        <v>2</v>
      </c>
      <c r="K9" s="56">
        <v>7</v>
      </c>
      <c r="L9" s="56">
        <v>1</v>
      </c>
      <c r="M9" s="56">
        <v>3</v>
      </c>
      <c r="N9" s="56">
        <v>22</v>
      </c>
      <c r="O9" s="41">
        <f t="shared" ref="O9:O19" si="0">IF(SUM(C9:N9),SUM(C9:N9),"")</f>
        <v>70</v>
      </c>
    </row>
    <row r="10" spans="1:15" x14ac:dyDescent="0.2">
      <c r="B10" s="48" t="s">
        <v>72</v>
      </c>
      <c r="C10" s="55">
        <v>6</v>
      </c>
      <c r="D10" s="55">
        <v>11</v>
      </c>
      <c r="E10" s="55">
        <v>13.000000000000002</v>
      </c>
      <c r="F10" s="55"/>
      <c r="G10" s="55">
        <v>4</v>
      </c>
      <c r="H10" s="55"/>
      <c r="I10" s="55"/>
      <c r="J10" s="55"/>
      <c r="K10" s="55">
        <v>9</v>
      </c>
      <c r="L10" s="55"/>
      <c r="M10" s="55">
        <v>3</v>
      </c>
      <c r="N10" s="55">
        <v>25.000000000000007</v>
      </c>
      <c r="O10" s="34">
        <f t="shared" si="0"/>
        <v>71</v>
      </c>
    </row>
    <row r="11" spans="1:15" x14ac:dyDescent="0.2">
      <c r="B11" s="47" t="s">
        <v>73</v>
      </c>
      <c r="C11" s="56">
        <v>5</v>
      </c>
      <c r="D11" s="56">
        <v>3</v>
      </c>
      <c r="E11" s="56">
        <v>10</v>
      </c>
      <c r="F11" s="56"/>
      <c r="G11" s="56">
        <v>3</v>
      </c>
      <c r="H11" s="56"/>
      <c r="I11" s="56"/>
      <c r="J11" s="56"/>
      <c r="K11" s="56">
        <v>5</v>
      </c>
      <c r="L11" s="56"/>
      <c r="M11" s="56">
        <v>5</v>
      </c>
      <c r="N11" s="56">
        <v>17.000000000000004</v>
      </c>
      <c r="O11" s="41">
        <f t="shared" si="0"/>
        <v>48</v>
      </c>
    </row>
    <row r="12" spans="1:15" x14ac:dyDescent="0.2">
      <c r="B12" s="48" t="s">
        <v>74</v>
      </c>
      <c r="C12" s="55"/>
      <c r="D12" s="55">
        <v>4</v>
      </c>
      <c r="E12" s="55">
        <v>13</v>
      </c>
      <c r="F12" s="55">
        <v>1</v>
      </c>
      <c r="G12" s="55">
        <v>12.999999999999998</v>
      </c>
      <c r="H12" s="55"/>
      <c r="I12" s="55"/>
      <c r="J12" s="55"/>
      <c r="K12" s="55">
        <v>5</v>
      </c>
      <c r="L12" s="55">
        <v>3</v>
      </c>
      <c r="M12" s="55">
        <v>1</v>
      </c>
      <c r="N12" s="55">
        <v>38</v>
      </c>
      <c r="O12" s="34">
        <f t="shared" si="0"/>
        <v>78</v>
      </c>
    </row>
    <row r="13" spans="1:15" x14ac:dyDescent="0.2">
      <c r="B13" s="47" t="s">
        <v>75</v>
      </c>
      <c r="C13" s="56">
        <v>7</v>
      </c>
      <c r="D13" s="56">
        <v>4</v>
      </c>
      <c r="E13" s="56">
        <v>10</v>
      </c>
      <c r="F13" s="56">
        <v>2</v>
      </c>
      <c r="G13" s="56">
        <v>4</v>
      </c>
      <c r="H13" s="56"/>
      <c r="I13" s="56"/>
      <c r="J13" s="56">
        <v>4</v>
      </c>
      <c r="K13" s="56">
        <v>7</v>
      </c>
      <c r="L13" s="56">
        <v>6</v>
      </c>
      <c r="M13" s="56">
        <v>3</v>
      </c>
      <c r="N13" s="56">
        <v>27</v>
      </c>
      <c r="O13" s="41">
        <f t="shared" si="0"/>
        <v>74</v>
      </c>
    </row>
    <row r="14" spans="1:15" x14ac:dyDescent="0.2">
      <c r="B14" s="48" t="s">
        <v>76</v>
      </c>
      <c r="C14" s="90"/>
      <c r="D14" s="90"/>
      <c r="E14" s="90"/>
      <c r="F14" s="90"/>
      <c r="G14" s="90"/>
      <c r="H14" s="90"/>
      <c r="I14" s="90"/>
      <c r="J14" s="55"/>
      <c r="K14" s="90"/>
      <c r="L14" s="90"/>
      <c r="M14" s="90"/>
      <c r="N14" s="55"/>
      <c r="O14" s="34" t="str">
        <f t="shared" si="0"/>
        <v/>
      </c>
    </row>
    <row r="15" spans="1:15" x14ac:dyDescent="0.2">
      <c r="B15" s="47" t="s">
        <v>77</v>
      </c>
      <c r="C15" s="56"/>
      <c r="D15" s="131"/>
      <c r="E15" s="131"/>
      <c r="F15" s="56"/>
      <c r="G15" s="56"/>
      <c r="H15" s="56"/>
      <c r="I15" s="56"/>
      <c r="J15" s="56"/>
      <c r="K15" s="56"/>
      <c r="L15" s="56"/>
      <c r="M15" s="56"/>
      <c r="N15" s="56"/>
      <c r="O15" s="41" t="str">
        <f t="shared" si="0"/>
        <v/>
      </c>
    </row>
    <row r="16" spans="1:15" x14ac:dyDescent="0.2">
      <c r="B16" s="48" t="s">
        <v>78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34" t="str">
        <f t="shared" si="0"/>
        <v/>
      </c>
    </row>
    <row r="17" spans="2:17" x14ac:dyDescent="0.2">
      <c r="B17" s="47" t="s">
        <v>79</v>
      </c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41" t="str">
        <f t="shared" si="0"/>
        <v/>
      </c>
    </row>
    <row r="18" spans="2:17" x14ac:dyDescent="0.2">
      <c r="B18" s="48" t="s">
        <v>80</v>
      </c>
      <c r="C18" s="62"/>
      <c r="D18" s="62"/>
      <c r="E18" s="62"/>
      <c r="F18" s="62"/>
      <c r="G18" s="55"/>
      <c r="H18" s="62"/>
      <c r="I18" s="62"/>
      <c r="J18" s="55"/>
      <c r="K18" s="55"/>
      <c r="L18" s="62"/>
      <c r="M18" s="62"/>
      <c r="N18" s="55"/>
      <c r="O18" s="34" t="str">
        <f t="shared" si="0"/>
        <v/>
      </c>
    </row>
    <row r="19" spans="2:17" x14ac:dyDescent="0.2">
      <c r="B19" s="47" t="s">
        <v>81</v>
      </c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41" t="str">
        <f t="shared" si="0"/>
        <v/>
      </c>
    </row>
    <row r="20" spans="2:17" ht="18" customHeight="1" x14ac:dyDescent="0.2">
      <c r="B20" s="45" t="s">
        <v>0</v>
      </c>
      <c r="C20" s="46">
        <f t="shared" ref="C20:O20" si="1">IF(SUM(C8:C19),SUM(C8:C19),"")</f>
        <v>18</v>
      </c>
      <c r="D20" s="46">
        <f t="shared" si="1"/>
        <v>54</v>
      </c>
      <c r="E20" s="46">
        <f t="shared" si="1"/>
        <v>65</v>
      </c>
      <c r="F20" s="46">
        <f t="shared" si="1"/>
        <v>3</v>
      </c>
      <c r="G20" s="46">
        <f t="shared" si="1"/>
        <v>35</v>
      </c>
      <c r="H20" s="46" t="str">
        <f t="shared" si="1"/>
        <v/>
      </c>
      <c r="I20" s="46" t="str">
        <f t="shared" si="1"/>
        <v/>
      </c>
      <c r="J20" s="46">
        <f t="shared" si="1"/>
        <v>6</v>
      </c>
      <c r="K20" s="46">
        <f t="shared" si="1"/>
        <v>40</v>
      </c>
      <c r="L20" s="46">
        <f t="shared" si="1"/>
        <v>10</v>
      </c>
      <c r="M20" s="46">
        <f t="shared" si="1"/>
        <v>17</v>
      </c>
      <c r="N20" s="46">
        <f>IF(SUM(N8:N19),SUM(N8:N19),"")</f>
        <v>161</v>
      </c>
      <c r="O20" s="46">
        <f t="shared" si="1"/>
        <v>409</v>
      </c>
      <c r="Q20" s="12"/>
    </row>
    <row r="21" spans="2:17" ht="6" customHeight="1" thickBot="1" x14ac:dyDescent="0.25"/>
    <row r="22" spans="2:17" ht="19.5" customHeight="1" thickBot="1" x14ac:dyDescent="0.25">
      <c r="B22" s="198" t="s">
        <v>230</v>
      </c>
      <c r="C22" s="198"/>
      <c r="D22" s="198"/>
      <c r="E22" s="198"/>
      <c r="F22" s="198"/>
      <c r="G22" s="198"/>
      <c r="H22" s="198"/>
      <c r="I22" s="198"/>
      <c r="J22" s="198"/>
      <c r="K22" s="198"/>
      <c r="L22" s="198"/>
      <c r="M22" s="198"/>
      <c r="N22" s="198"/>
      <c r="O22" s="198"/>
    </row>
    <row r="23" spans="2:17" ht="18" customHeight="1" thickBot="1" x14ac:dyDescent="0.25">
      <c r="B23" s="199" t="s">
        <v>69</v>
      </c>
      <c r="C23" s="201" t="s">
        <v>165</v>
      </c>
      <c r="D23" s="202"/>
      <c r="E23" s="202"/>
      <c r="F23" s="203"/>
      <c r="G23" s="201" t="s">
        <v>166</v>
      </c>
      <c r="H23" s="202"/>
      <c r="I23" s="202"/>
      <c r="J23" s="203"/>
      <c r="K23" s="201" t="s">
        <v>213</v>
      </c>
      <c r="L23" s="202"/>
      <c r="M23" s="202"/>
      <c r="N23" s="203"/>
      <c r="O23" s="204" t="s">
        <v>0</v>
      </c>
    </row>
    <row r="24" spans="2:17" ht="18" customHeight="1" thickBot="1" x14ac:dyDescent="0.25">
      <c r="B24" s="200"/>
      <c r="C24" s="42" t="s">
        <v>94</v>
      </c>
      <c r="D24" s="43" t="s">
        <v>95</v>
      </c>
      <c r="E24" s="43" t="s">
        <v>96</v>
      </c>
      <c r="F24" s="44" t="s">
        <v>105</v>
      </c>
      <c r="G24" s="42" t="s">
        <v>102</v>
      </c>
      <c r="H24" s="43" t="s">
        <v>104</v>
      </c>
      <c r="I24" s="57" t="s">
        <v>106</v>
      </c>
      <c r="J24" s="49" t="s">
        <v>103</v>
      </c>
      <c r="K24" s="42" t="s">
        <v>214</v>
      </c>
      <c r="L24" s="43" t="s">
        <v>215</v>
      </c>
      <c r="M24" s="43" t="s">
        <v>216</v>
      </c>
      <c r="N24" s="43" t="s">
        <v>217</v>
      </c>
      <c r="O24" s="205"/>
    </row>
    <row r="25" spans="2:17" x14ac:dyDescent="0.2">
      <c r="B25" s="48" t="s">
        <v>70</v>
      </c>
      <c r="C25" s="55"/>
      <c r="D25" s="55">
        <v>5131.5200000000004</v>
      </c>
      <c r="E25" s="55">
        <v>1398.7800000000002</v>
      </c>
      <c r="F25" s="55"/>
      <c r="G25" s="55">
        <v>1375.6700000000003</v>
      </c>
      <c r="H25" s="55"/>
      <c r="I25" s="55"/>
      <c r="J25" s="55"/>
      <c r="K25" s="55">
        <v>1192.8799999999997</v>
      </c>
      <c r="L25" s="55"/>
      <c r="M25" s="55">
        <v>324.5</v>
      </c>
      <c r="N25" s="55">
        <v>17505.16</v>
      </c>
      <c r="O25" s="34">
        <f>IF(SUM(C25:N25),SUM(C25:N25),"")</f>
        <v>26928.510000000002</v>
      </c>
      <c r="Q25" s="13"/>
    </row>
    <row r="26" spans="2:17" x14ac:dyDescent="0.2">
      <c r="B26" s="47" t="s">
        <v>71</v>
      </c>
      <c r="C26" s="56"/>
      <c r="D26" s="56">
        <v>4993.71</v>
      </c>
      <c r="E26" s="56">
        <v>4623.04</v>
      </c>
      <c r="F26" s="56"/>
      <c r="G26" s="56">
        <v>343.40999999999997</v>
      </c>
      <c r="H26" s="56"/>
      <c r="I26" s="56"/>
      <c r="J26" s="56">
        <v>179.25</v>
      </c>
      <c r="K26" s="56">
        <v>1005.5400000000008</v>
      </c>
      <c r="L26" s="56">
        <v>477.16</v>
      </c>
      <c r="M26" s="56">
        <v>169.99999999999997</v>
      </c>
      <c r="N26" s="56">
        <v>344284.31</v>
      </c>
      <c r="O26" s="41">
        <f>IF(SUM(C26:N26),SUM(C26:N26),"")</f>
        <v>356076.42</v>
      </c>
    </row>
    <row r="27" spans="2:17" x14ac:dyDescent="0.2">
      <c r="B27" s="48" t="s">
        <v>72</v>
      </c>
      <c r="C27" s="55">
        <v>1009.0500000000001</v>
      </c>
      <c r="D27" s="55">
        <v>1425.1599999999999</v>
      </c>
      <c r="E27" s="55">
        <v>2588.1400000000003</v>
      </c>
      <c r="F27" s="55"/>
      <c r="G27" s="55">
        <v>776.89000000000033</v>
      </c>
      <c r="H27" s="55"/>
      <c r="I27" s="55"/>
      <c r="J27" s="55"/>
      <c r="K27" s="55">
        <v>2499.7600000000002</v>
      </c>
      <c r="L27" s="55"/>
      <c r="M27" s="55">
        <v>892.50000000000045</v>
      </c>
      <c r="N27" s="55">
        <v>37551.71</v>
      </c>
      <c r="O27" s="34">
        <f t="shared" ref="O27:O36" si="2">IF(SUM(C27:N27),SUM(C27:N27),"")</f>
        <v>46743.21</v>
      </c>
      <c r="P27" s="3">
        <v>1</v>
      </c>
    </row>
    <row r="28" spans="2:17" x14ac:dyDescent="0.2">
      <c r="B28" s="47" t="s">
        <v>73</v>
      </c>
      <c r="C28" s="56">
        <v>459.71</v>
      </c>
      <c r="D28" s="56">
        <v>1168.21</v>
      </c>
      <c r="E28" s="56">
        <v>7377.1300000000028</v>
      </c>
      <c r="F28" s="56">
        <v>0</v>
      </c>
      <c r="G28" s="56">
        <v>1307.5899999999999</v>
      </c>
      <c r="H28" s="56"/>
      <c r="I28" s="56"/>
      <c r="J28" s="56"/>
      <c r="K28" s="56">
        <v>1035.7099999999998</v>
      </c>
      <c r="L28" s="56"/>
      <c r="M28" s="56">
        <v>1480.44</v>
      </c>
      <c r="N28" s="56">
        <v>59728.1</v>
      </c>
      <c r="O28" s="41">
        <f t="shared" si="2"/>
        <v>72556.89</v>
      </c>
    </row>
    <row r="29" spans="2:17" x14ac:dyDescent="0.2">
      <c r="B29" s="48" t="s">
        <v>74</v>
      </c>
      <c r="C29" s="55"/>
      <c r="D29" s="55">
        <v>1159.4499999999998</v>
      </c>
      <c r="E29" s="55">
        <v>3437.7099999999996</v>
      </c>
      <c r="F29" s="55">
        <v>288</v>
      </c>
      <c r="G29" s="55">
        <v>5189.4600000000009</v>
      </c>
      <c r="H29" s="55"/>
      <c r="I29" s="55"/>
      <c r="J29" s="55"/>
      <c r="K29" s="55">
        <v>2776.5499999999997</v>
      </c>
      <c r="L29" s="55">
        <v>3100.59</v>
      </c>
      <c r="M29" s="55">
        <v>269.92999999999995</v>
      </c>
      <c r="N29" s="55">
        <v>8180.33</v>
      </c>
      <c r="O29" s="34">
        <f t="shared" si="2"/>
        <v>24402.02</v>
      </c>
      <c r="P29" s="3"/>
    </row>
    <row r="30" spans="2:17" x14ac:dyDescent="0.2">
      <c r="B30" s="47" t="s">
        <v>75</v>
      </c>
      <c r="C30" s="56">
        <v>970.34999999999991</v>
      </c>
      <c r="D30" s="56">
        <v>3606.44</v>
      </c>
      <c r="E30" s="56">
        <v>8858.08</v>
      </c>
      <c r="F30" s="56">
        <v>467.00000000000006</v>
      </c>
      <c r="G30" s="56">
        <v>857.79000000000008</v>
      </c>
      <c r="H30" s="56"/>
      <c r="I30" s="56"/>
      <c r="J30" s="56">
        <v>2844.58</v>
      </c>
      <c r="K30" s="56">
        <v>1352.25</v>
      </c>
      <c r="L30" s="56">
        <v>1455.84</v>
      </c>
      <c r="M30" s="56">
        <v>1359.56</v>
      </c>
      <c r="N30" s="56">
        <v>29084.119999999995</v>
      </c>
      <c r="O30" s="41">
        <f t="shared" si="2"/>
        <v>50856.009999999995</v>
      </c>
    </row>
    <row r="31" spans="2:17" x14ac:dyDescent="0.2">
      <c r="B31" s="48" t="s">
        <v>76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34"/>
    </row>
    <row r="32" spans="2:17" x14ac:dyDescent="0.2">
      <c r="B32" s="47" t="s">
        <v>77</v>
      </c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41" t="str">
        <f t="shared" si="2"/>
        <v/>
      </c>
    </row>
    <row r="33" spans="2:15" x14ac:dyDescent="0.2">
      <c r="B33" s="48" t="s">
        <v>78</v>
      </c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34" t="str">
        <f t="shared" si="2"/>
        <v/>
      </c>
    </row>
    <row r="34" spans="2:15" x14ac:dyDescent="0.2">
      <c r="B34" s="47" t="s">
        <v>79</v>
      </c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41" t="str">
        <f t="shared" si="2"/>
        <v/>
      </c>
    </row>
    <row r="35" spans="2:15" x14ac:dyDescent="0.2">
      <c r="B35" s="48" t="s">
        <v>80</v>
      </c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34" t="str">
        <f t="shared" si="2"/>
        <v/>
      </c>
    </row>
    <row r="36" spans="2:15" x14ac:dyDescent="0.2">
      <c r="B36" s="47" t="s">
        <v>81</v>
      </c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41" t="str">
        <f t="shared" si="2"/>
        <v/>
      </c>
    </row>
    <row r="37" spans="2:15" ht="18" customHeight="1" x14ac:dyDescent="0.2">
      <c r="B37" s="45" t="s">
        <v>0</v>
      </c>
      <c r="C37" s="46">
        <f t="shared" ref="C37:O37" si="3">IF(SUM(C25:C36),SUM(C25:C36),"")</f>
        <v>2439.1099999999997</v>
      </c>
      <c r="D37" s="46">
        <f t="shared" si="3"/>
        <v>17484.489999999998</v>
      </c>
      <c r="E37" s="46">
        <f t="shared" si="3"/>
        <v>28282.880000000005</v>
      </c>
      <c r="F37" s="46">
        <f t="shared" si="3"/>
        <v>755</v>
      </c>
      <c r="G37" s="46">
        <f t="shared" si="3"/>
        <v>9850.8100000000013</v>
      </c>
      <c r="H37" s="46" t="str">
        <f t="shared" si="3"/>
        <v/>
      </c>
      <c r="I37" s="46" t="str">
        <f t="shared" si="3"/>
        <v/>
      </c>
      <c r="J37" s="46">
        <f t="shared" si="3"/>
        <v>3023.83</v>
      </c>
      <c r="K37" s="46">
        <f t="shared" si="3"/>
        <v>9862.69</v>
      </c>
      <c r="L37" s="46">
        <f t="shared" si="3"/>
        <v>5033.59</v>
      </c>
      <c r="M37" s="46">
        <f t="shared" si="3"/>
        <v>4496.93</v>
      </c>
      <c r="N37" s="46">
        <f t="shared" si="3"/>
        <v>496333.73</v>
      </c>
      <c r="O37" s="46">
        <f t="shared" si="3"/>
        <v>577563.06000000006</v>
      </c>
    </row>
    <row r="38" spans="2:15" ht="3.75" customHeight="1" x14ac:dyDescent="0.2"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2:15" x14ac:dyDescent="0.2"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2:15" x14ac:dyDescent="0.2"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2:15" x14ac:dyDescent="0.2">
      <c r="B41" s="14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spans="2:15" x14ac:dyDescent="0.2">
      <c r="B42" s="14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spans="2:15" x14ac:dyDescent="0.2">
      <c r="B43" s="14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spans="2:15" x14ac:dyDescent="0.2">
      <c r="B44" s="14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spans="2:15" x14ac:dyDescent="0.2">
      <c r="B45" s="14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spans="2:15" x14ac:dyDescent="0.2">
      <c r="B46" s="14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</row>
    <row r="47" spans="2:15" x14ac:dyDescent="0.2">
      <c r="B47" s="1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2:15" x14ac:dyDescent="0.2">
      <c r="B48" s="14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 spans="2:15" x14ac:dyDescent="0.2">
      <c r="B49" s="14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</row>
    <row r="50" spans="2:15" x14ac:dyDescent="0.2">
      <c r="B50" s="14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spans="2:15" x14ac:dyDescent="0.2">
      <c r="B51" s="14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2:15" x14ac:dyDescent="0.2">
      <c r="B52" s="14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spans="2:15" x14ac:dyDescent="0.2">
      <c r="B53" s="14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</row>
    <row r="54" spans="2:15" x14ac:dyDescent="0.2">
      <c r="B54" s="14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</row>
    <row r="55" spans="2:15" ht="9" customHeight="1" x14ac:dyDescent="0.2">
      <c r="B55" s="14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</row>
    <row r="56" spans="2:15" ht="15" customHeight="1" x14ac:dyDescent="0.2">
      <c r="B56" s="14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</row>
    <row r="57" spans="2:15" ht="15" customHeight="1" x14ac:dyDescent="0.2">
      <c r="B57" s="14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</row>
    <row r="58" spans="2:15" ht="15" customHeight="1" x14ac:dyDescent="0.2">
      <c r="B58" s="14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  <row r="59" spans="2:15" ht="15" customHeight="1" x14ac:dyDescent="0.2">
      <c r="B59" s="14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spans="2:15" ht="15" customHeight="1" x14ac:dyDescent="0.2">
      <c r="B60" s="14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 spans="2:15" ht="15" customHeight="1" x14ac:dyDescent="0.2">
      <c r="B61" s="14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2:15" ht="15" customHeight="1" x14ac:dyDescent="0.2">
      <c r="B62" s="16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</row>
    <row r="63" spans="2:15" ht="15" customHeight="1" x14ac:dyDescent="0.2">
      <c r="B63" s="58" t="s">
        <v>219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 spans="2:15" ht="13.5" x14ac:dyDescent="0.2">
      <c r="B64" s="58" t="s">
        <v>218</v>
      </c>
    </row>
    <row r="65" spans="2:13" ht="13.5" x14ac:dyDescent="0.2">
      <c r="B65" s="58"/>
    </row>
    <row r="66" spans="2:13" ht="13.5" x14ac:dyDescent="0.2">
      <c r="B66" s="58"/>
    </row>
    <row r="79" spans="2:13" s="61" customFormat="1" x14ac:dyDescent="0.2">
      <c r="B79" s="64" t="s">
        <v>94</v>
      </c>
      <c r="C79" s="65">
        <f>C20</f>
        <v>18</v>
      </c>
      <c r="D79" s="66">
        <f t="shared" ref="D79:D90" si="4">C79/$C$91</f>
        <v>4.4009779951100246E-2</v>
      </c>
      <c r="E79" s="64" t="s">
        <v>94</v>
      </c>
      <c r="F79" s="67">
        <f>C37</f>
        <v>2439.1099999999997</v>
      </c>
      <c r="G79" s="23">
        <f t="shared" ref="G79:G90" si="5">F79/$F$91</f>
        <v>4.2231059583346612E-3</v>
      </c>
      <c r="H79" s="67"/>
      <c r="I79" s="67"/>
      <c r="J79" s="67"/>
      <c r="L79" s="5"/>
      <c r="M79" s="5"/>
    </row>
    <row r="80" spans="2:13" s="61" customFormat="1" x14ac:dyDescent="0.2">
      <c r="B80" s="64" t="s">
        <v>95</v>
      </c>
      <c r="C80" s="65">
        <f>D20</f>
        <v>54</v>
      </c>
      <c r="D80" s="66">
        <f t="shared" si="4"/>
        <v>0.13202933985330073</v>
      </c>
      <c r="E80" s="64" t="s">
        <v>95</v>
      </c>
      <c r="F80" s="67">
        <f>D37</f>
        <v>17484.489999999998</v>
      </c>
      <c r="G80" s="23">
        <f t="shared" si="5"/>
        <v>3.0272867520301585E-2</v>
      </c>
      <c r="H80" s="67"/>
      <c r="I80" s="67"/>
      <c r="J80" s="67"/>
      <c r="L80" s="5"/>
      <c r="M80" s="5"/>
    </row>
    <row r="81" spans="2:13" s="61" customFormat="1" x14ac:dyDescent="0.2">
      <c r="B81" s="64" t="s">
        <v>96</v>
      </c>
      <c r="C81" s="65">
        <f>E20</f>
        <v>65</v>
      </c>
      <c r="D81" s="66">
        <f t="shared" si="4"/>
        <v>0.15892420537897312</v>
      </c>
      <c r="E81" s="64" t="s">
        <v>96</v>
      </c>
      <c r="F81" s="67">
        <f>E37</f>
        <v>28282.880000000005</v>
      </c>
      <c r="G81" s="23">
        <f t="shared" si="5"/>
        <v>4.8969336785493173E-2</v>
      </c>
      <c r="H81" s="67"/>
      <c r="I81" s="67"/>
      <c r="J81" s="67"/>
      <c r="L81" s="5"/>
      <c r="M81" s="5"/>
    </row>
    <row r="82" spans="2:13" s="61" customFormat="1" x14ac:dyDescent="0.2">
      <c r="B82" s="64" t="s">
        <v>152</v>
      </c>
      <c r="C82" s="65">
        <f>F20</f>
        <v>3</v>
      </c>
      <c r="D82" s="66">
        <f t="shared" si="4"/>
        <v>7.3349633251833741E-3</v>
      </c>
      <c r="E82" s="64" t="s">
        <v>152</v>
      </c>
      <c r="F82" s="67">
        <f>F37</f>
        <v>755</v>
      </c>
      <c r="G82" s="23">
        <f t="shared" si="5"/>
        <v>1.3072165661010245E-3</v>
      </c>
      <c r="H82" s="67"/>
      <c r="I82" s="67"/>
      <c r="J82" s="67"/>
      <c r="L82" s="5"/>
      <c r="M82" s="5"/>
    </row>
    <row r="83" spans="2:13" s="61" customFormat="1" x14ac:dyDescent="0.2">
      <c r="B83" s="64" t="s">
        <v>104</v>
      </c>
      <c r="C83" s="65">
        <f>G20</f>
        <v>35</v>
      </c>
      <c r="D83" s="66">
        <f t="shared" si="4"/>
        <v>8.557457212713937E-2</v>
      </c>
      <c r="E83" s="64" t="s">
        <v>104</v>
      </c>
      <c r="F83" s="67">
        <f>G37</f>
        <v>9850.8100000000013</v>
      </c>
      <c r="G83" s="23">
        <f t="shared" si="5"/>
        <v>1.7055817247037926E-2</v>
      </c>
      <c r="H83" s="67"/>
      <c r="I83" s="67"/>
      <c r="J83" s="67"/>
      <c r="L83" s="5"/>
      <c r="M83" s="5"/>
    </row>
    <row r="84" spans="2:13" s="61" customFormat="1" x14ac:dyDescent="0.2">
      <c r="B84" s="64" t="s">
        <v>102</v>
      </c>
      <c r="C84" s="65" t="str">
        <f>H20</f>
        <v/>
      </c>
      <c r="D84" s="66" t="e">
        <f t="shared" si="4"/>
        <v>#VALUE!</v>
      </c>
      <c r="E84" s="64" t="s">
        <v>102</v>
      </c>
      <c r="F84" s="67" t="str">
        <f>H37</f>
        <v/>
      </c>
      <c r="G84" s="23" t="e">
        <f t="shared" si="5"/>
        <v>#VALUE!</v>
      </c>
      <c r="H84" s="67"/>
      <c r="I84" s="67"/>
      <c r="J84" s="67"/>
      <c r="L84" s="5"/>
      <c r="M84" s="5"/>
    </row>
    <row r="85" spans="2:13" s="61" customFormat="1" x14ac:dyDescent="0.2">
      <c r="B85" s="64" t="s">
        <v>151</v>
      </c>
      <c r="C85" s="65" t="str">
        <f>I20</f>
        <v/>
      </c>
      <c r="D85" s="66" t="e">
        <f t="shared" si="4"/>
        <v>#VALUE!</v>
      </c>
      <c r="E85" s="64" t="s">
        <v>151</v>
      </c>
      <c r="F85" s="67" t="str">
        <f>I37</f>
        <v/>
      </c>
      <c r="G85" s="23" t="e">
        <f t="shared" si="5"/>
        <v>#VALUE!</v>
      </c>
      <c r="H85" s="67"/>
      <c r="I85" s="67"/>
      <c r="J85" s="67"/>
      <c r="M85" s="5"/>
    </row>
    <row r="86" spans="2:13" s="61" customFormat="1" x14ac:dyDescent="0.2">
      <c r="B86" s="64" t="s">
        <v>103</v>
      </c>
      <c r="C86" s="65">
        <f>J20</f>
        <v>6</v>
      </c>
      <c r="D86" s="66">
        <f t="shared" si="4"/>
        <v>1.4669926650366748E-2</v>
      </c>
      <c r="E86" s="64" t="s">
        <v>103</v>
      </c>
      <c r="F86" s="67">
        <f>J37</f>
        <v>3023.83</v>
      </c>
      <c r="G86" s="23">
        <f t="shared" si="5"/>
        <v>5.2354975749314709E-3</v>
      </c>
      <c r="H86" s="67"/>
      <c r="I86" s="67"/>
      <c r="J86" s="67"/>
      <c r="L86" s="5"/>
      <c r="M86" s="5"/>
    </row>
    <row r="87" spans="2:13" s="61" customFormat="1" x14ac:dyDescent="0.2">
      <c r="B87" s="64" t="s">
        <v>214</v>
      </c>
      <c r="C87" s="65">
        <f>K20</f>
        <v>40</v>
      </c>
      <c r="D87" s="66">
        <f t="shared" si="4"/>
        <v>9.7799511002444994E-2</v>
      </c>
      <c r="E87" s="64" t="s">
        <v>214</v>
      </c>
      <c r="F87" s="67">
        <f>K37</f>
        <v>9862.69</v>
      </c>
      <c r="G87" s="23">
        <f t="shared" si="5"/>
        <v>1.7076386429561476E-2</v>
      </c>
      <c r="H87" s="65"/>
      <c r="I87" s="65"/>
      <c r="J87" s="65"/>
      <c r="L87" s="5"/>
      <c r="M87" s="5"/>
    </row>
    <row r="88" spans="2:13" x14ac:dyDescent="0.2">
      <c r="B88" s="64" t="s">
        <v>215</v>
      </c>
      <c r="C88" s="65">
        <f>L20</f>
        <v>10</v>
      </c>
      <c r="D88" s="66">
        <f t="shared" si="4"/>
        <v>2.4449877750611249E-2</v>
      </c>
      <c r="E88" s="64" t="s">
        <v>215</v>
      </c>
      <c r="F88" s="67">
        <f>L37</f>
        <v>5033.59</v>
      </c>
      <c r="G88" s="23">
        <f t="shared" si="5"/>
        <v>8.7152215032588812E-3</v>
      </c>
      <c r="L88" s="5"/>
      <c r="M88" s="5"/>
    </row>
    <row r="89" spans="2:13" x14ac:dyDescent="0.2">
      <c r="B89" s="64" t="s">
        <v>216</v>
      </c>
      <c r="C89" s="65">
        <f>M20</f>
        <v>17</v>
      </c>
      <c r="D89" s="66">
        <f t="shared" si="4"/>
        <v>4.1564792176039117E-2</v>
      </c>
      <c r="E89" s="64" t="s">
        <v>216</v>
      </c>
      <c r="F89" s="67">
        <f>M37</f>
        <v>4496.93</v>
      </c>
      <c r="G89" s="23">
        <f t="shared" si="5"/>
        <v>7.7860415795982518E-3</v>
      </c>
    </row>
    <row r="90" spans="2:13" x14ac:dyDescent="0.2">
      <c r="B90" s="64" t="s">
        <v>217</v>
      </c>
      <c r="C90" s="65">
        <f>N20</f>
        <v>161</v>
      </c>
      <c r="D90" s="66">
        <f t="shared" si="4"/>
        <v>0.39364303178484106</v>
      </c>
      <c r="E90" s="64" t="s">
        <v>217</v>
      </c>
      <c r="F90" s="67">
        <f>N37</f>
        <v>496333.73</v>
      </c>
      <c r="G90" s="23">
        <f t="shared" si="5"/>
        <v>0.85935850883538145</v>
      </c>
    </row>
    <row r="91" spans="2:13" x14ac:dyDescent="0.2">
      <c r="C91" s="65">
        <f>SUM(C79:C90)</f>
        <v>409</v>
      </c>
      <c r="F91" s="65">
        <f>SUM(F79:F90)</f>
        <v>577563.06000000006</v>
      </c>
    </row>
  </sheetData>
  <mergeCells count="12">
    <mergeCell ref="O23:O24"/>
    <mergeCell ref="B5:O5"/>
    <mergeCell ref="B6:B7"/>
    <mergeCell ref="C6:F6"/>
    <mergeCell ref="B22:O22"/>
    <mergeCell ref="K23:N23"/>
    <mergeCell ref="O6:O7"/>
    <mergeCell ref="K6:N6"/>
    <mergeCell ref="B23:B24"/>
    <mergeCell ref="C23:F23"/>
    <mergeCell ref="G6:J6"/>
    <mergeCell ref="G23:J23"/>
  </mergeCells>
  <phoneticPr fontId="0" type="noConversion"/>
  <printOptions gridLinesSet="0"/>
  <pageMargins left="0.51181102362204722" right="0.15748031496062992" top="0.31496062992125984" bottom="0" header="0" footer="0"/>
  <pageSetup paperSize="9" scale="72" orientation="portrait" r:id="rId1"/>
  <headerFooter alignWithMargins="0"/>
  <ignoredErrors>
    <ignoredError sqref="N20" formulaRange="1"/>
  </ignoredErrors>
  <drawing r:id="rId2"/>
  <legacyDrawing r:id="rId3"/>
  <oleObjects>
    <mc:AlternateContent xmlns:mc="http://schemas.openxmlformats.org/markup-compatibility/2006">
      <mc:Choice Requires="x14">
        <oleObject shapeId="56324" r:id="rId4">
          <objectPr defaultSize="0" autoPict="0" r:id="rId5">
            <anchor moveWithCells="1" sizeWithCells="1">
              <from>
                <xdr:col>1</xdr:col>
                <xdr:colOff>28575</xdr:colOff>
                <xdr:row>0</xdr:row>
                <xdr:rowOff>161925</xdr:rowOff>
              </from>
              <to>
                <xdr:col>2</xdr:col>
                <xdr:colOff>200025</xdr:colOff>
                <xdr:row>0</xdr:row>
                <xdr:rowOff>638175</xdr:rowOff>
              </to>
            </anchor>
          </objectPr>
        </oleObject>
      </mc:Choice>
      <mc:Fallback>
        <oleObject shapeId="56324" r:id="rId4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7"/>
  <dimension ref="B1:N120"/>
  <sheetViews>
    <sheetView showGridLines="0" view="pageBreakPreview" zoomScale="85" zoomScaleNormal="85" zoomScaleSheetLayoutView="85" workbookViewId="0">
      <pane ySplit="4" topLeftCell="A62" activePane="bottomLeft" state="frozen"/>
      <selection activeCell="G91" sqref="G91"/>
      <selection pane="bottomLeft" activeCell="Q1" sqref="Q1"/>
    </sheetView>
  </sheetViews>
  <sheetFormatPr defaultRowHeight="15.75" x14ac:dyDescent="0.25"/>
  <cols>
    <col min="1" max="1" width="4.875" customWidth="1"/>
    <col min="2" max="2" width="18.625" style="1" customWidth="1"/>
    <col min="3" max="4" width="15.375" style="80" customWidth="1"/>
    <col min="5" max="5" width="11.625" style="15" customWidth="1"/>
    <col min="6" max="6" width="2.25" style="93" customWidth="1"/>
    <col min="7" max="7" width="18.625" style="69" customWidth="1"/>
    <col min="8" max="9" width="15.375" style="80" customWidth="1"/>
    <col min="10" max="10" width="11.625" style="15" customWidth="1"/>
    <col min="11" max="11" width="6.125" customWidth="1"/>
    <col min="12" max="12" width="14" bestFit="1" customWidth="1"/>
  </cols>
  <sheetData>
    <row r="1" spans="2:10" ht="72" customHeight="1" thickBot="1" x14ac:dyDescent="0.3"/>
    <row r="2" spans="2:10" ht="16.5" thickBot="1" x14ac:dyDescent="0.3">
      <c r="B2" s="188" t="s">
        <v>237</v>
      </c>
      <c r="C2" s="188"/>
      <c r="D2" s="188"/>
      <c r="E2" s="188"/>
      <c r="F2" s="188"/>
      <c r="G2" s="188"/>
      <c r="H2" s="188"/>
      <c r="I2" s="188"/>
      <c r="J2" s="188"/>
    </row>
    <row r="3" spans="2:10" ht="17.25" customHeight="1" thickBot="1" x14ac:dyDescent="0.3">
      <c r="B3" s="189" t="s">
        <v>87</v>
      </c>
      <c r="C3" s="210" t="s">
        <v>143</v>
      </c>
      <c r="D3" s="211"/>
      <c r="E3" s="194" t="s">
        <v>0</v>
      </c>
      <c r="F3" s="121"/>
      <c r="G3" s="213" t="s">
        <v>87</v>
      </c>
      <c r="H3" s="210" t="s">
        <v>143</v>
      </c>
      <c r="I3" s="211"/>
      <c r="J3" s="194" t="s">
        <v>0</v>
      </c>
    </row>
    <row r="4" spans="2:10" ht="25.5" customHeight="1" thickBot="1" x14ac:dyDescent="0.3">
      <c r="B4" s="209"/>
      <c r="C4" s="187" t="s">
        <v>168</v>
      </c>
      <c r="D4" s="187" t="s">
        <v>169</v>
      </c>
      <c r="E4" s="212"/>
      <c r="F4" s="121"/>
      <c r="G4" s="214"/>
      <c r="H4" s="187" t="s">
        <v>168</v>
      </c>
      <c r="I4" s="187" t="s">
        <v>169</v>
      </c>
      <c r="J4" s="212"/>
    </row>
    <row r="5" spans="2:10" ht="12.75" customHeight="1" x14ac:dyDescent="0.25">
      <c r="B5" s="116" t="s">
        <v>82</v>
      </c>
      <c r="C5" s="122"/>
      <c r="D5" s="122"/>
      <c r="E5" s="122"/>
      <c r="F5" s="121"/>
      <c r="G5" s="122" t="s">
        <v>116</v>
      </c>
      <c r="H5" s="122"/>
      <c r="I5" s="122"/>
      <c r="J5" s="122"/>
    </row>
    <row r="6" spans="2:10" ht="12.75" customHeight="1" x14ac:dyDescent="0.25">
      <c r="B6" s="29" t="s">
        <v>24</v>
      </c>
      <c r="C6" s="132">
        <v>105181.26999999999</v>
      </c>
      <c r="D6" s="132">
        <v>5658.9999999999991</v>
      </c>
      <c r="E6" s="166">
        <f>IF(SUM(C6:D6),SUM(C6:D6),"")</f>
        <v>110840.26999999999</v>
      </c>
      <c r="F6" s="121"/>
      <c r="G6" s="35" t="s">
        <v>6</v>
      </c>
      <c r="H6" s="132">
        <v>12327.689999999999</v>
      </c>
      <c r="I6" s="132">
        <v>618.14999999999975</v>
      </c>
      <c r="J6" s="139">
        <f t="shared" ref="J6:J8" si="0">IF(SUM(H6:I6),SUM(H6:I6),"")</f>
        <v>12945.839999999998</v>
      </c>
    </row>
    <row r="7" spans="2:10" ht="12.75" customHeight="1" x14ac:dyDescent="0.25">
      <c r="B7" s="39" t="s">
        <v>25</v>
      </c>
      <c r="C7" s="133">
        <v>7113.67</v>
      </c>
      <c r="D7" s="133"/>
      <c r="E7" s="167">
        <f t="shared" ref="E7:E9" si="1">IF(SUM(C7:D7),SUM(C7:D7),"")</f>
        <v>7113.67</v>
      </c>
      <c r="F7" s="121"/>
      <c r="G7" s="123" t="s">
        <v>49</v>
      </c>
      <c r="H7" s="133">
        <v>17714.150000000001</v>
      </c>
      <c r="I7" s="133">
        <v>19.709999999999987</v>
      </c>
      <c r="J7" s="145">
        <f t="shared" si="0"/>
        <v>17733.86</v>
      </c>
    </row>
    <row r="8" spans="2:10" ht="12.75" customHeight="1" x14ac:dyDescent="0.25">
      <c r="B8" s="96" t="s">
        <v>47</v>
      </c>
      <c r="C8" s="132">
        <v>13006.27</v>
      </c>
      <c r="D8" s="132">
        <v>3643.0800000000004</v>
      </c>
      <c r="E8" s="135">
        <f t="shared" si="1"/>
        <v>16649.350000000002</v>
      </c>
      <c r="F8" s="121"/>
      <c r="G8" s="35" t="s">
        <v>63</v>
      </c>
      <c r="H8" s="132">
        <v>4980.3799999999992</v>
      </c>
      <c r="I8" s="132">
        <v>795.62000000000012</v>
      </c>
      <c r="J8" s="139">
        <f t="shared" si="0"/>
        <v>5775.9999999999991</v>
      </c>
    </row>
    <row r="9" spans="2:10" ht="12.75" customHeight="1" x14ac:dyDescent="0.25">
      <c r="B9" s="39" t="s">
        <v>54</v>
      </c>
      <c r="C9" s="136">
        <v>5938.23</v>
      </c>
      <c r="D9" s="136">
        <v>578.78</v>
      </c>
      <c r="E9" s="137">
        <f t="shared" si="1"/>
        <v>6517.0099999999993</v>
      </c>
      <c r="F9" s="121"/>
      <c r="G9" s="127" t="s">
        <v>117</v>
      </c>
      <c r="H9" s="142">
        <f>IF(SUM(H6:H8),SUM(H6:H8),"")</f>
        <v>35022.22</v>
      </c>
      <c r="I9" s="142">
        <f t="shared" ref="I9:J9" si="2">IF(SUM(I6:I8),SUM(I6:I8),"")</f>
        <v>1433.48</v>
      </c>
      <c r="J9" s="142">
        <f t="shared" si="2"/>
        <v>36455.699999999997</v>
      </c>
    </row>
    <row r="10" spans="2:10" ht="12.75" customHeight="1" x14ac:dyDescent="0.25">
      <c r="B10" s="31" t="s">
        <v>107</v>
      </c>
      <c r="C10" s="138">
        <f>IF(SUM(C6:C9),SUM(C6:C9),"")</f>
        <v>131239.44</v>
      </c>
      <c r="D10" s="138">
        <f t="shared" ref="D10" si="3">IF(SUM(D6:D9),SUM(D6:D9),"")</f>
        <v>9880.86</v>
      </c>
      <c r="E10" s="168">
        <f>IF(SUM(E6:E9),SUM(E6:E9),"")</f>
        <v>141120.29999999999</v>
      </c>
      <c r="F10" s="121"/>
      <c r="G10" s="128"/>
      <c r="H10" s="98"/>
      <c r="I10" s="98"/>
      <c r="J10" s="147"/>
    </row>
    <row r="11" spans="2:10" ht="12.75" customHeight="1" x14ac:dyDescent="0.25">
      <c r="B11" s="9"/>
      <c r="C11" s="98"/>
      <c r="D11" s="98"/>
      <c r="F11" s="121"/>
      <c r="G11" s="129" t="s">
        <v>118</v>
      </c>
      <c r="H11" s="140"/>
      <c r="I11" s="140"/>
      <c r="J11" s="141"/>
    </row>
    <row r="12" spans="2:10" ht="12.75" customHeight="1" x14ac:dyDescent="0.25">
      <c r="B12" s="117" t="s">
        <v>83</v>
      </c>
      <c r="C12" s="140"/>
      <c r="D12" s="140"/>
      <c r="E12" s="141"/>
      <c r="F12" s="121"/>
      <c r="G12" s="96" t="s">
        <v>9</v>
      </c>
      <c r="H12" s="132">
        <v>8601.1500000000015</v>
      </c>
      <c r="I12" s="132">
        <v>3129.96</v>
      </c>
      <c r="J12" s="148">
        <f t="shared" ref="J12:J15" si="4">IF(SUM(H12:I12),SUM(H12:I12),"")</f>
        <v>11731.11</v>
      </c>
    </row>
    <row r="13" spans="2:10" ht="12.75" customHeight="1" x14ac:dyDescent="0.25">
      <c r="B13" s="29" t="s">
        <v>2</v>
      </c>
      <c r="C13" s="132">
        <v>26790.379999999994</v>
      </c>
      <c r="D13" s="132">
        <v>2871.4500000000003</v>
      </c>
      <c r="E13" s="135">
        <f t="shared" ref="E13:E16" si="5">IF(SUM(C13:D13),SUM(C13:D13),"")</f>
        <v>29661.829999999994</v>
      </c>
      <c r="F13" s="121"/>
      <c r="G13" s="39" t="s">
        <v>18</v>
      </c>
      <c r="H13" s="133">
        <v>10432.800000000001</v>
      </c>
      <c r="I13" s="133">
        <v>2599.9400000000005</v>
      </c>
      <c r="J13" s="145">
        <f t="shared" si="4"/>
        <v>13032.740000000002</v>
      </c>
    </row>
    <row r="14" spans="2:10" ht="12.75" customHeight="1" x14ac:dyDescent="0.25">
      <c r="B14" s="39" t="s">
        <v>10</v>
      </c>
      <c r="C14" s="133">
        <v>40311.25</v>
      </c>
      <c r="D14" s="133">
        <v>7348.02</v>
      </c>
      <c r="E14" s="167">
        <f t="shared" si="5"/>
        <v>47659.270000000004</v>
      </c>
      <c r="F14" s="121"/>
      <c r="G14" s="96" t="s">
        <v>20</v>
      </c>
      <c r="H14" s="132">
        <v>5091.5399999999991</v>
      </c>
      <c r="I14" s="132">
        <v>393.2</v>
      </c>
      <c r="J14" s="148">
        <f t="shared" si="4"/>
        <v>5484.7399999999989</v>
      </c>
    </row>
    <row r="15" spans="2:10" ht="12.75" customHeight="1" x14ac:dyDescent="0.25">
      <c r="B15" s="29" t="s">
        <v>58</v>
      </c>
      <c r="C15" s="132">
        <v>804.43000000000006</v>
      </c>
      <c r="D15" s="132"/>
      <c r="E15" s="166">
        <f t="shared" si="5"/>
        <v>804.43000000000006</v>
      </c>
      <c r="F15" s="121"/>
      <c r="G15" s="39" t="s">
        <v>61</v>
      </c>
      <c r="H15" s="133">
        <v>28698.980000000007</v>
      </c>
      <c r="I15" s="133">
        <v>199640.34</v>
      </c>
      <c r="J15" s="145">
        <f t="shared" si="4"/>
        <v>228339.32</v>
      </c>
    </row>
    <row r="16" spans="2:10" ht="12.75" customHeight="1" x14ac:dyDescent="0.25">
      <c r="B16" s="39" t="s">
        <v>66</v>
      </c>
      <c r="C16" s="133">
        <v>11072.369999999999</v>
      </c>
      <c r="D16" s="133">
        <v>796.88</v>
      </c>
      <c r="E16" s="167">
        <f t="shared" si="5"/>
        <v>11869.249999999998</v>
      </c>
      <c r="F16" s="121"/>
      <c r="G16" s="31" t="s">
        <v>119</v>
      </c>
      <c r="H16" s="142">
        <f>IF(SUM(H12:H15),SUM(H12:H15),"")</f>
        <v>52824.470000000016</v>
      </c>
      <c r="I16" s="142">
        <f>IF(SUM(I12:I15),SUM(I12:I15),"")</f>
        <v>205763.44</v>
      </c>
      <c r="J16" s="142">
        <f t="shared" ref="J16" si="6">IF(SUM(J12:J15),SUM(J12:J15),"")</f>
        <v>258587.91</v>
      </c>
    </row>
    <row r="17" spans="2:10" ht="12.75" customHeight="1" x14ac:dyDescent="0.25">
      <c r="B17" s="31" t="s">
        <v>88</v>
      </c>
      <c r="C17" s="142">
        <f>IF(SUM(C13:C16),SUM(C13:C16),"")</f>
        <v>78978.429999999978</v>
      </c>
      <c r="D17" s="142">
        <f t="shared" ref="D17:E17" si="7">IF(SUM(D13:D16),SUM(D13:D16),"")</f>
        <v>11016.35</v>
      </c>
      <c r="E17" s="169">
        <f t="shared" si="7"/>
        <v>89994.78</v>
      </c>
      <c r="F17" s="121"/>
      <c r="G17" s="128"/>
      <c r="H17" s="98"/>
      <c r="I17" s="98"/>
      <c r="J17" s="147"/>
    </row>
    <row r="18" spans="2:10" ht="12.75" customHeight="1" x14ac:dyDescent="0.25">
      <c r="B18" s="9"/>
      <c r="C18" s="98"/>
      <c r="D18" s="98"/>
      <c r="F18" s="121"/>
      <c r="G18" s="129" t="s">
        <v>120</v>
      </c>
      <c r="H18" s="140"/>
      <c r="I18" s="140"/>
      <c r="J18" s="141"/>
    </row>
    <row r="19" spans="2:10" ht="12.75" customHeight="1" x14ac:dyDescent="0.25">
      <c r="B19" s="117" t="s">
        <v>84</v>
      </c>
      <c r="C19" s="140"/>
      <c r="D19" s="140"/>
      <c r="E19" s="141"/>
      <c r="F19" s="121"/>
      <c r="G19" s="29" t="s">
        <v>30</v>
      </c>
      <c r="H19" s="177">
        <v>2736.8999999999996</v>
      </c>
      <c r="I19" s="132">
        <v>195.91000000000003</v>
      </c>
      <c r="J19" s="139">
        <f t="shared" ref="J19:J21" si="8">IF(SUM(H19:I19),SUM(H19:I19),"")</f>
        <v>2932.8099999999995</v>
      </c>
    </row>
    <row r="20" spans="2:10" ht="12.75" customHeight="1" x14ac:dyDescent="0.25">
      <c r="B20" s="29" t="s">
        <v>3</v>
      </c>
      <c r="C20" s="132">
        <v>7010.6599999999989</v>
      </c>
      <c r="D20" s="132">
        <v>356.95000000000005</v>
      </c>
      <c r="E20" s="166">
        <f t="shared" ref="E20:E24" si="9">IF(SUM(C20:D20),SUM(C20:D20),"")</f>
        <v>7367.6099999999988</v>
      </c>
      <c r="F20" s="121"/>
      <c r="G20" s="39" t="s">
        <v>100</v>
      </c>
      <c r="H20" s="133">
        <v>5465.62</v>
      </c>
      <c r="I20" s="133">
        <v>123.84</v>
      </c>
      <c r="J20" s="145">
        <f t="shared" si="8"/>
        <v>5589.46</v>
      </c>
    </row>
    <row r="21" spans="2:10" ht="12.75" customHeight="1" x14ac:dyDescent="0.25">
      <c r="B21" s="39" t="s">
        <v>5</v>
      </c>
      <c r="C21" s="133">
        <v>20399.73</v>
      </c>
      <c r="D21" s="133"/>
      <c r="E21" s="167">
        <f t="shared" si="9"/>
        <v>20399.73</v>
      </c>
      <c r="F21" s="121"/>
      <c r="G21" s="29" t="s">
        <v>64</v>
      </c>
      <c r="H21" s="132">
        <v>13017.470000000001</v>
      </c>
      <c r="I21" s="132">
        <v>2353.7199999999993</v>
      </c>
      <c r="J21" s="139">
        <f t="shared" si="8"/>
        <v>15371.19</v>
      </c>
    </row>
    <row r="22" spans="2:10" ht="12.75" customHeight="1" x14ac:dyDescent="0.25">
      <c r="B22" s="29" t="s">
        <v>16</v>
      </c>
      <c r="C22" s="132">
        <v>16026.129999999997</v>
      </c>
      <c r="D22" s="132">
        <v>396</v>
      </c>
      <c r="E22" s="166">
        <f t="shared" si="9"/>
        <v>16422.129999999997</v>
      </c>
      <c r="F22" s="121"/>
      <c r="G22" s="127" t="s">
        <v>172</v>
      </c>
      <c r="H22" s="142">
        <f>IF(SUM(H19:H21),SUM(H19:H21),"")</f>
        <v>21219.99</v>
      </c>
      <c r="I22" s="142">
        <f t="shared" ref="I22:J22" si="10">IF(SUM(I19:I21),SUM(I19:I21),"")</f>
        <v>2673.4699999999993</v>
      </c>
      <c r="J22" s="142">
        <f t="shared" si="10"/>
        <v>23893.46</v>
      </c>
    </row>
    <row r="23" spans="2:10" ht="12.75" customHeight="1" x14ac:dyDescent="0.25">
      <c r="B23" s="39" t="s">
        <v>33</v>
      </c>
      <c r="C23" s="133">
        <v>1561.49</v>
      </c>
      <c r="D23" s="133">
        <v>1561.68</v>
      </c>
      <c r="E23" s="167">
        <f t="shared" si="9"/>
        <v>3123.17</v>
      </c>
      <c r="F23" s="121"/>
      <c r="G23" s="128"/>
      <c r="H23" s="98"/>
      <c r="I23" s="98"/>
      <c r="J23" s="147"/>
    </row>
    <row r="24" spans="2:10" ht="12.75" customHeight="1" x14ac:dyDescent="0.25">
      <c r="B24" s="29" t="s">
        <v>36</v>
      </c>
      <c r="C24" s="132">
        <v>5543.47</v>
      </c>
      <c r="D24" s="132">
        <v>1389.14</v>
      </c>
      <c r="E24" s="166">
        <f t="shared" si="9"/>
        <v>6932.6100000000006</v>
      </c>
      <c r="F24" s="121"/>
      <c r="G24" s="129" t="s">
        <v>173</v>
      </c>
      <c r="H24" s="140"/>
      <c r="I24" s="140"/>
      <c r="J24" s="141"/>
    </row>
    <row r="25" spans="2:10" ht="12.75" customHeight="1" x14ac:dyDescent="0.25">
      <c r="B25" s="31" t="s">
        <v>89</v>
      </c>
      <c r="C25" s="142">
        <f>IF(SUM(C20:C24),SUM(C20:C24),"")</f>
        <v>50541.479999999996</v>
      </c>
      <c r="D25" s="142">
        <f t="shared" ref="D25:E25" si="11">IF(SUM(D20:D24),SUM(D20:D24),"")</f>
        <v>3703.7700000000004</v>
      </c>
      <c r="E25" s="169">
        <f t="shared" si="11"/>
        <v>54245.249999999993</v>
      </c>
      <c r="F25" s="121"/>
      <c r="G25" s="96" t="s">
        <v>31</v>
      </c>
      <c r="H25" s="132">
        <v>3763.7700000000004</v>
      </c>
      <c r="I25" s="132">
        <v>326.8</v>
      </c>
      <c r="J25" s="148">
        <f t="shared" ref="J25:J28" si="12">IF(SUM(H25:I25),SUM(H25:I25),"")</f>
        <v>4090.5700000000006</v>
      </c>
    </row>
    <row r="26" spans="2:10" ht="12.75" customHeight="1" x14ac:dyDescent="0.25">
      <c r="B26" s="9"/>
      <c r="C26" s="98"/>
      <c r="D26" s="98"/>
      <c r="F26" s="121"/>
      <c r="G26" s="39" t="s">
        <v>37</v>
      </c>
      <c r="H26" s="133">
        <v>1361.5900000000001</v>
      </c>
      <c r="I26" s="133"/>
      <c r="J26" s="145">
        <f t="shared" si="12"/>
        <v>1361.5900000000001</v>
      </c>
    </row>
    <row r="27" spans="2:10" ht="12.75" customHeight="1" x14ac:dyDescent="0.25">
      <c r="B27" s="120" t="s">
        <v>85</v>
      </c>
      <c r="C27" s="143"/>
      <c r="D27" s="143"/>
      <c r="E27" s="143"/>
      <c r="F27" s="121"/>
      <c r="G27" s="96" t="s">
        <v>42</v>
      </c>
      <c r="H27" s="132">
        <v>316.36</v>
      </c>
      <c r="I27" s="132">
        <v>7551.7599999999993</v>
      </c>
      <c r="J27" s="148">
        <f t="shared" si="12"/>
        <v>7868.119999999999</v>
      </c>
    </row>
    <row r="28" spans="2:10" ht="12.75" customHeight="1" x14ac:dyDescent="0.25">
      <c r="B28" s="29" t="s">
        <v>11</v>
      </c>
      <c r="C28" s="132">
        <v>51893.880000000005</v>
      </c>
      <c r="D28" s="132">
        <v>872.56999999999994</v>
      </c>
      <c r="E28" s="139">
        <f t="shared" ref="E28:E32" si="13">IF(SUM(C28:D28),SUM(C28:D28),"")</f>
        <v>52766.450000000004</v>
      </c>
      <c r="F28" s="121"/>
      <c r="G28" s="39" t="s">
        <v>46</v>
      </c>
      <c r="H28" s="133">
        <v>19365.400000000001</v>
      </c>
      <c r="I28" s="133"/>
      <c r="J28" s="145">
        <f t="shared" si="12"/>
        <v>19365.400000000001</v>
      </c>
    </row>
    <row r="29" spans="2:10" ht="12.75" customHeight="1" x14ac:dyDescent="0.25">
      <c r="B29" s="39" t="s">
        <v>99</v>
      </c>
      <c r="C29" s="144">
        <v>198</v>
      </c>
      <c r="D29" s="133">
        <v>7753.32</v>
      </c>
      <c r="E29" s="145">
        <f t="shared" si="13"/>
        <v>7951.32</v>
      </c>
      <c r="F29" s="121"/>
      <c r="G29" s="31" t="s">
        <v>174</v>
      </c>
      <c r="H29" s="142">
        <f>IF(SUM(H25:H28),SUM(H25:H28),"")</f>
        <v>24807.120000000003</v>
      </c>
      <c r="I29" s="142">
        <f t="shared" ref="I29:J29" si="14">IF(SUM(I25:I28),SUM(I25:I28),"")</f>
        <v>7878.5599999999995</v>
      </c>
      <c r="J29" s="142">
        <f t="shared" si="14"/>
        <v>32685.68</v>
      </c>
    </row>
    <row r="30" spans="2:10" ht="12.75" customHeight="1" x14ac:dyDescent="0.25">
      <c r="B30" s="29" t="s">
        <v>19</v>
      </c>
      <c r="C30" s="132">
        <v>17023.099999999999</v>
      </c>
      <c r="D30" s="132">
        <v>178.5</v>
      </c>
      <c r="E30" s="139">
        <f t="shared" si="13"/>
        <v>17201.599999999999</v>
      </c>
      <c r="F30" s="121"/>
      <c r="G30" s="128"/>
      <c r="H30" s="98"/>
      <c r="I30" s="98"/>
      <c r="J30" s="147"/>
    </row>
    <row r="31" spans="2:10" ht="12.75" customHeight="1" x14ac:dyDescent="0.25">
      <c r="B31" s="39" t="s">
        <v>38</v>
      </c>
      <c r="C31" s="133">
        <v>16783.799999999996</v>
      </c>
      <c r="D31" s="133">
        <v>2569.1600000000003</v>
      </c>
      <c r="E31" s="145">
        <f t="shared" si="13"/>
        <v>19352.959999999995</v>
      </c>
      <c r="F31" s="121"/>
      <c r="G31" s="117" t="s">
        <v>175</v>
      </c>
      <c r="H31" s="140"/>
      <c r="I31" s="140"/>
      <c r="J31" s="141"/>
    </row>
    <row r="32" spans="2:10" ht="12.75" customHeight="1" x14ac:dyDescent="0.25">
      <c r="B32" s="29" t="s">
        <v>39</v>
      </c>
      <c r="C32" s="132">
        <v>21146.91</v>
      </c>
      <c r="D32" s="132">
        <v>1253.5500000000002</v>
      </c>
      <c r="E32" s="139">
        <f t="shared" si="13"/>
        <v>22400.46</v>
      </c>
      <c r="F32" s="121"/>
      <c r="G32" s="29" t="s">
        <v>27</v>
      </c>
      <c r="H32" s="132">
        <v>2422.5</v>
      </c>
      <c r="I32" s="132"/>
      <c r="J32" s="148">
        <f t="shared" ref="J32:J35" si="15">IF(SUM(H32:I32),SUM(H32:I32),"")</f>
        <v>2422.5</v>
      </c>
    </row>
    <row r="33" spans="2:14" ht="12.75" customHeight="1" x14ac:dyDescent="0.25">
      <c r="B33" s="31" t="s">
        <v>90</v>
      </c>
      <c r="C33" s="142">
        <f>IF(SUM(C28:C32),SUM(C28:C32),"")</f>
        <v>107045.69</v>
      </c>
      <c r="D33" s="142">
        <f t="shared" ref="D33:E33" si="16">IF(SUM(D28:D32),SUM(D28:D32),"")</f>
        <v>12627.099999999999</v>
      </c>
      <c r="E33" s="169">
        <f t="shared" si="16"/>
        <v>119672.78999999998</v>
      </c>
      <c r="F33" s="121"/>
      <c r="G33" s="39" t="s">
        <v>32</v>
      </c>
      <c r="H33" s="133">
        <v>2791.41</v>
      </c>
      <c r="I33" s="133">
        <v>3643.2000000000003</v>
      </c>
      <c r="J33" s="145">
        <f t="shared" si="15"/>
        <v>6434.6100000000006</v>
      </c>
    </row>
    <row r="34" spans="2:14" ht="12.75" customHeight="1" x14ac:dyDescent="0.25">
      <c r="B34" s="9"/>
      <c r="C34" s="98"/>
      <c r="D34" s="98"/>
      <c r="F34" s="121"/>
      <c r="G34" s="29" t="s">
        <v>44</v>
      </c>
      <c r="H34" s="132">
        <v>6135.5300000000007</v>
      </c>
      <c r="I34" s="132">
        <v>458.1699999999999</v>
      </c>
      <c r="J34" s="148">
        <f t="shared" si="15"/>
        <v>6593.7000000000007</v>
      </c>
    </row>
    <row r="35" spans="2:14" ht="12.75" customHeight="1" x14ac:dyDescent="0.25">
      <c r="B35" s="117" t="s">
        <v>86</v>
      </c>
      <c r="C35" s="140"/>
      <c r="D35" s="140"/>
      <c r="E35" s="141"/>
      <c r="F35" s="121"/>
      <c r="G35" s="39" t="s">
        <v>68</v>
      </c>
      <c r="H35" s="133">
        <v>15897.529999999999</v>
      </c>
      <c r="I35" s="133">
        <v>6508.7499999999991</v>
      </c>
      <c r="J35" s="145">
        <f t="shared" si="15"/>
        <v>22406.28</v>
      </c>
    </row>
    <row r="36" spans="2:14" ht="12.75" customHeight="1" x14ac:dyDescent="0.25">
      <c r="B36" s="29" t="s">
        <v>208</v>
      </c>
      <c r="C36" s="132">
        <v>5374.7800000000007</v>
      </c>
      <c r="D36" s="132">
        <v>1891.23</v>
      </c>
      <c r="E36" s="139">
        <f t="shared" ref="E36:E38" si="17">IF(SUM(C36:D36),SUM(C36:D36),"")</f>
        <v>7266.01</v>
      </c>
      <c r="F36" s="121"/>
      <c r="G36" s="31" t="s">
        <v>177</v>
      </c>
      <c r="H36" s="142">
        <f>IF(SUM(H32:H35),SUM(H32:H35),"")</f>
        <v>27246.97</v>
      </c>
      <c r="I36" s="142">
        <f t="shared" ref="I36:J36" si="18">IF(SUM(I32:I35),SUM(I32:I35),"")</f>
        <v>10610.119999999999</v>
      </c>
      <c r="J36" s="142">
        <f t="shared" si="18"/>
        <v>37857.089999999997</v>
      </c>
    </row>
    <row r="37" spans="2:14" ht="12.75" customHeight="1" x14ac:dyDescent="0.25">
      <c r="B37" s="39" t="s">
        <v>26</v>
      </c>
      <c r="C37" s="133">
        <v>4391</v>
      </c>
      <c r="D37" s="133">
        <v>600.57000000000005</v>
      </c>
      <c r="E37" s="145">
        <f t="shared" si="17"/>
        <v>4991.57</v>
      </c>
      <c r="F37" s="121"/>
    </row>
    <row r="38" spans="2:14" ht="12.75" customHeight="1" x14ac:dyDescent="0.25">
      <c r="B38" s="35" t="s">
        <v>34</v>
      </c>
      <c r="C38" s="132">
        <v>6571.74</v>
      </c>
      <c r="D38" s="132">
        <v>446.96</v>
      </c>
      <c r="E38" s="139">
        <f t="shared" si="17"/>
        <v>7018.7</v>
      </c>
      <c r="F38" s="121"/>
      <c r="G38" s="129" t="s">
        <v>176</v>
      </c>
      <c r="H38" s="140"/>
      <c r="I38" s="140"/>
      <c r="J38" s="141"/>
    </row>
    <row r="39" spans="2:14" ht="12.75" customHeight="1" x14ac:dyDescent="0.25">
      <c r="B39" s="31" t="s">
        <v>91</v>
      </c>
      <c r="C39" s="142">
        <f>IF(SUM(C36:C38),SUM(C36:C38),"")</f>
        <v>16337.52</v>
      </c>
      <c r="D39" s="142">
        <f t="shared" ref="D39:E39" si="19">IF(SUM(D36:D38),SUM(D36:D38),"")</f>
        <v>2938.76</v>
      </c>
      <c r="E39" s="169">
        <f t="shared" si="19"/>
        <v>19276.28</v>
      </c>
      <c r="F39" s="121"/>
      <c r="G39" s="29" t="s">
        <v>21</v>
      </c>
      <c r="H39" s="132">
        <v>14811.000000000002</v>
      </c>
      <c r="I39" s="132">
        <v>1595.5</v>
      </c>
      <c r="J39" s="148">
        <f t="shared" ref="J39:J43" si="20">IF(SUM(H39:I39),SUM(H39:I39),"")</f>
        <v>16406.5</v>
      </c>
    </row>
    <row r="40" spans="2:14" ht="12.75" customHeight="1" x14ac:dyDescent="0.25">
      <c r="B40" s="9"/>
      <c r="C40" s="98"/>
      <c r="D40" s="98"/>
      <c r="E40" s="146"/>
      <c r="F40" s="121"/>
      <c r="G40" s="39" t="s">
        <v>28</v>
      </c>
      <c r="H40" s="133">
        <v>2334.75</v>
      </c>
      <c r="I40" s="133">
        <v>679.74</v>
      </c>
      <c r="J40" s="145">
        <f t="shared" si="20"/>
        <v>3014.49</v>
      </c>
    </row>
    <row r="41" spans="2:14" ht="12.75" customHeight="1" x14ac:dyDescent="0.25">
      <c r="B41" s="117" t="s">
        <v>108</v>
      </c>
      <c r="C41" s="140"/>
      <c r="D41" s="140"/>
      <c r="E41" s="141"/>
      <c r="F41" s="121"/>
      <c r="G41" s="29" t="s">
        <v>40</v>
      </c>
      <c r="H41" s="132">
        <v>20396.7</v>
      </c>
      <c r="I41" s="132">
        <v>554.39999999999986</v>
      </c>
      <c r="J41" s="148">
        <f t="shared" si="20"/>
        <v>20951.100000000002</v>
      </c>
    </row>
    <row r="42" spans="2:14" ht="12.75" customHeight="1" x14ac:dyDescent="0.25">
      <c r="B42" s="96" t="s">
        <v>15</v>
      </c>
      <c r="C42" s="132">
        <v>6584.55</v>
      </c>
      <c r="D42" s="132">
        <v>198.95</v>
      </c>
      <c r="E42" s="135">
        <f t="shared" ref="E42:E49" si="21">IF(SUM(C42:D42),SUM(C42:D42),"")</f>
        <v>6783.5</v>
      </c>
      <c r="F42" s="121"/>
      <c r="G42" s="39" t="s">
        <v>45</v>
      </c>
      <c r="H42" s="133">
        <v>69411.510000000009</v>
      </c>
      <c r="I42" s="133">
        <v>649.32000000000039</v>
      </c>
      <c r="J42" s="145">
        <f t="shared" si="20"/>
        <v>70060.830000000016</v>
      </c>
    </row>
    <row r="43" spans="2:14" ht="12.75" customHeight="1" x14ac:dyDescent="0.25">
      <c r="B43" s="39" t="s">
        <v>22</v>
      </c>
      <c r="C43" s="133">
        <v>12018.35</v>
      </c>
      <c r="D43" s="133"/>
      <c r="E43" s="167">
        <f t="shared" si="21"/>
        <v>12018.35</v>
      </c>
      <c r="F43" s="121"/>
      <c r="G43" s="96" t="s">
        <v>51</v>
      </c>
      <c r="H43" s="134">
        <v>4422.2700000000004</v>
      </c>
      <c r="I43" s="134">
        <v>178.44</v>
      </c>
      <c r="J43" s="148">
        <f t="shared" si="20"/>
        <v>4600.71</v>
      </c>
    </row>
    <row r="44" spans="2:14" ht="12.75" customHeight="1" x14ac:dyDescent="0.25">
      <c r="B44" s="98" t="s">
        <v>101</v>
      </c>
      <c r="C44" s="132">
        <v>192.34</v>
      </c>
      <c r="D44" s="132"/>
      <c r="E44" s="135">
        <f t="shared" si="21"/>
        <v>192.34</v>
      </c>
      <c r="F44" s="121"/>
      <c r="G44" s="127" t="s">
        <v>178</v>
      </c>
      <c r="H44" s="142">
        <f>IF(SUM(H39:H43),SUM(H39:H43),"")</f>
        <v>111376.23000000001</v>
      </c>
      <c r="I44" s="142">
        <f t="shared" ref="I44:J44" si="22">IF(SUM(I39:I43),SUM(I39:I43),"")</f>
        <v>3657.4</v>
      </c>
      <c r="J44" s="142">
        <f t="shared" si="22"/>
        <v>115033.63000000002</v>
      </c>
    </row>
    <row r="45" spans="2:14" ht="12.75" customHeight="1" x14ac:dyDescent="0.25">
      <c r="B45" s="39" t="s">
        <v>41</v>
      </c>
      <c r="C45" s="133">
        <v>1591.66</v>
      </c>
      <c r="D45" s="133">
        <v>4903.72</v>
      </c>
      <c r="E45" s="167">
        <f t="shared" si="21"/>
        <v>6495.38</v>
      </c>
      <c r="F45" s="121"/>
    </row>
    <row r="46" spans="2:14" ht="12.75" customHeight="1" x14ac:dyDescent="0.25">
      <c r="B46" s="96" t="s">
        <v>50</v>
      </c>
      <c r="C46" s="134">
        <v>27180.570000000003</v>
      </c>
      <c r="D46" s="134">
        <v>705.89</v>
      </c>
      <c r="E46" s="135">
        <f t="shared" si="21"/>
        <v>27886.460000000003</v>
      </c>
      <c r="F46" s="121"/>
      <c r="G46" s="117" t="s">
        <v>179</v>
      </c>
      <c r="H46" s="140"/>
      <c r="I46" s="140"/>
      <c r="J46" s="141"/>
      <c r="N46" s="85"/>
    </row>
    <row r="47" spans="2:14" ht="12.75" customHeight="1" x14ac:dyDescent="0.25">
      <c r="B47" s="39" t="s">
        <v>52</v>
      </c>
      <c r="C47" s="133">
        <v>802.3</v>
      </c>
      <c r="D47" s="133"/>
      <c r="E47" s="167">
        <f t="shared" si="21"/>
        <v>802.3</v>
      </c>
      <c r="F47" s="121"/>
      <c r="G47" s="29" t="s">
        <v>4</v>
      </c>
      <c r="H47" s="132">
        <v>7056.2899999999972</v>
      </c>
      <c r="I47" s="132">
        <v>2922.9200000000005</v>
      </c>
      <c r="J47" s="148">
        <f t="shared" ref="J47:J49" si="23">IF(SUM(H47:I47),SUM(H47:I47),"")</f>
        <v>9979.2099999999973</v>
      </c>
      <c r="N47" s="85"/>
    </row>
    <row r="48" spans="2:14" ht="12.75" customHeight="1" x14ac:dyDescent="0.25">
      <c r="B48" s="96" t="s">
        <v>53</v>
      </c>
      <c r="C48" s="132">
        <v>1502.3700000000003</v>
      </c>
      <c r="D48" s="132">
        <v>775.24</v>
      </c>
      <c r="E48" s="135">
        <f t="shared" si="21"/>
        <v>2277.6100000000006</v>
      </c>
      <c r="F48" s="121"/>
      <c r="G48" s="39" t="s">
        <v>14</v>
      </c>
      <c r="H48" s="133">
        <v>8198.5499999999993</v>
      </c>
      <c r="I48" s="133">
        <v>16012.779999999997</v>
      </c>
      <c r="J48" s="145">
        <f t="shared" si="23"/>
        <v>24211.329999999994</v>
      </c>
      <c r="N48" s="85"/>
    </row>
    <row r="49" spans="2:14" ht="12.75" customHeight="1" x14ac:dyDescent="0.25">
      <c r="B49" s="39" t="s">
        <v>55</v>
      </c>
      <c r="C49" s="133">
        <v>2214.7400000000002</v>
      </c>
      <c r="D49" s="133"/>
      <c r="E49" s="167">
        <f t="shared" si="21"/>
        <v>2214.7400000000002</v>
      </c>
      <c r="F49" s="121"/>
      <c r="G49" s="29" t="s">
        <v>59</v>
      </c>
      <c r="H49" s="132">
        <v>10121.449999999999</v>
      </c>
      <c r="I49" s="132">
        <v>3618.4099999999994</v>
      </c>
      <c r="J49" s="148">
        <f t="shared" si="23"/>
        <v>13739.859999999999</v>
      </c>
      <c r="N49" s="85"/>
    </row>
    <row r="50" spans="2:14" ht="12.75" customHeight="1" x14ac:dyDescent="0.25">
      <c r="B50" s="31" t="s">
        <v>109</v>
      </c>
      <c r="C50" s="142">
        <f>IF(SUM(C42:C49),SUM(C42:C49),"")</f>
        <v>52086.880000000005</v>
      </c>
      <c r="D50" s="142">
        <f t="shared" ref="D50:E50" si="24">IF(SUM(D42:D49),SUM(D42:D49),"")</f>
        <v>6583.8</v>
      </c>
      <c r="E50" s="169">
        <f t="shared" si="24"/>
        <v>58670.68</v>
      </c>
      <c r="F50" s="121"/>
      <c r="G50" s="31" t="s">
        <v>180</v>
      </c>
      <c r="H50" s="142">
        <f>IF(SUM(H47:H49),SUM(H47:H49),"")</f>
        <v>25376.289999999994</v>
      </c>
      <c r="I50" s="142">
        <f t="shared" ref="I50:J50" si="25">IF(SUM(I47:I49),SUM(I47:I49),"")</f>
        <v>22554.109999999997</v>
      </c>
      <c r="J50" s="142">
        <f t="shared" si="25"/>
        <v>47930.399999999994</v>
      </c>
      <c r="N50" s="85"/>
    </row>
    <row r="51" spans="2:14" ht="12.75" customHeight="1" x14ac:dyDescent="0.25">
      <c r="B51" s="9"/>
      <c r="C51" s="98"/>
      <c r="D51" s="98"/>
      <c r="F51" s="170"/>
      <c r="N51" s="85"/>
    </row>
    <row r="52" spans="2:14" ht="12.75" customHeight="1" x14ac:dyDescent="0.25">
      <c r="B52" s="117" t="s">
        <v>110</v>
      </c>
      <c r="C52" s="140"/>
      <c r="D52" s="140"/>
      <c r="E52" s="141"/>
      <c r="F52" s="121"/>
      <c r="G52" s="117" t="s">
        <v>181</v>
      </c>
      <c r="H52" s="140"/>
      <c r="I52" s="140"/>
      <c r="J52" s="141"/>
      <c r="N52" s="85"/>
    </row>
    <row r="53" spans="2:14" ht="12.75" customHeight="1" x14ac:dyDescent="0.25">
      <c r="B53" s="96" t="s">
        <v>8</v>
      </c>
      <c r="C53" s="132">
        <v>17582.77</v>
      </c>
      <c r="D53" s="132">
        <v>4909.8400000000011</v>
      </c>
      <c r="E53" s="135">
        <f t="shared" ref="E53:E55" si="26">IF(SUM(C53:D53),SUM(C53:D53),"")</f>
        <v>22492.61</v>
      </c>
      <c r="F53" s="121"/>
      <c r="G53" s="29" t="s">
        <v>98</v>
      </c>
      <c r="H53" s="132">
        <v>11844.190000000002</v>
      </c>
      <c r="I53" s="132">
        <v>9764.4300000000057</v>
      </c>
      <c r="J53" s="148">
        <f t="shared" ref="J53:J57" si="27">IF(SUM(H53:I53),SUM(H53:I53),"")</f>
        <v>21608.62000000001</v>
      </c>
      <c r="N53" s="85"/>
    </row>
    <row r="54" spans="2:14" ht="12.75" customHeight="1" x14ac:dyDescent="0.25">
      <c r="B54" s="39" t="s">
        <v>12</v>
      </c>
      <c r="C54" s="133">
        <v>8414.130000000001</v>
      </c>
      <c r="D54" s="133">
        <v>1461.57</v>
      </c>
      <c r="E54" s="167">
        <f t="shared" si="26"/>
        <v>9875.7000000000007</v>
      </c>
      <c r="F54" s="121"/>
      <c r="G54" s="39" t="s">
        <v>23</v>
      </c>
      <c r="H54" s="133"/>
      <c r="I54" s="133"/>
      <c r="J54" s="145" t="str">
        <f t="shared" si="27"/>
        <v/>
      </c>
    </row>
    <row r="55" spans="2:14" ht="12.75" customHeight="1" x14ac:dyDescent="0.25">
      <c r="B55" s="98" t="s">
        <v>35</v>
      </c>
      <c r="C55" s="132">
        <v>2271.1999999999998</v>
      </c>
      <c r="D55" s="132">
        <v>1979.4</v>
      </c>
      <c r="E55" s="135">
        <f t="shared" si="26"/>
        <v>4250.6000000000004</v>
      </c>
      <c r="F55" s="121"/>
      <c r="G55" s="29" t="s">
        <v>29</v>
      </c>
      <c r="H55" s="132">
        <v>1413.2500000000002</v>
      </c>
      <c r="I55" s="132">
        <v>1056.6099999999999</v>
      </c>
      <c r="J55" s="148">
        <f t="shared" si="27"/>
        <v>2469.86</v>
      </c>
      <c r="K55" s="7"/>
    </row>
    <row r="56" spans="2:14" ht="12.75" customHeight="1" x14ac:dyDescent="0.25">
      <c r="B56" s="31" t="s">
        <v>111</v>
      </c>
      <c r="C56" s="142">
        <f>IF(SUM(C53:C55),SUM(C53:C55),"")</f>
        <v>28268.100000000002</v>
      </c>
      <c r="D56" s="142">
        <f>IF(SUM(D53:D55),SUM(D53:D55),"")</f>
        <v>8350.8100000000013</v>
      </c>
      <c r="E56" s="169">
        <f t="shared" ref="E56" si="28">IF(SUM(E53:E55),SUM(E53:E55),"")</f>
        <v>36618.910000000003</v>
      </c>
      <c r="F56" s="121"/>
      <c r="G56" s="39" t="s">
        <v>62</v>
      </c>
      <c r="H56" s="133">
        <v>12511.080000000004</v>
      </c>
      <c r="I56" s="133">
        <v>7007.1999999999925</v>
      </c>
      <c r="J56" s="145">
        <f t="shared" si="27"/>
        <v>19518.279999999995</v>
      </c>
    </row>
    <row r="57" spans="2:14" ht="12.75" customHeight="1" x14ac:dyDescent="0.25">
      <c r="F57" s="121"/>
      <c r="G57" s="96" t="s">
        <v>65</v>
      </c>
      <c r="H57" s="132">
        <v>7610.8499999999976</v>
      </c>
      <c r="I57" s="132">
        <v>3303.800000000002</v>
      </c>
      <c r="J57" s="148">
        <f t="shared" si="27"/>
        <v>10914.65</v>
      </c>
    </row>
    <row r="58" spans="2:14" ht="12.75" customHeight="1" x14ac:dyDescent="0.25">
      <c r="B58" s="117" t="s">
        <v>112</v>
      </c>
      <c r="C58" s="140"/>
      <c r="D58" s="140"/>
      <c r="E58" s="141"/>
      <c r="F58" s="121"/>
      <c r="G58" s="31" t="s">
        <v>182</v>
      </c>
      <c r="H58" s="142">
        <f>IF(SUM(H53:H57),SUM(H53:H57),"")</f>
        <v>33379.370000000003</v>
      </c>
      <c r="I58" s="142">
        <f t="shared" ref="I58:J58" si="29">IF(SUM(I53:I57),SUM(I53:I57),"")</f>
        <v>21132.04</v>
      </c>
      <c r="J58" s="142">
        <f t="shared" si="29"/>
        <v>54511.410000000011</v>
      </c>
    </row>
    <row r="59" spans="2:14" ht="12.75" customHeight="1" x14ac:dyDescent="0.25">
      <c r="B59" s="96" t="s">
        <v>13</v>
      </c>
      <c r="C59" s="132">
        <v>12001.870000000003</v>
      </c>
      <c r="D59" s="132"/>
      <c r="E59" s="135">
        <f t="shared" ref="E59:E62" si="30">IF(SUM(C59:D59),SUM(C59:D59),"")</f>
        <v>12001.870000000003</v>
      </c>
      <c r="F59" s="121"/>
      <c r="J59" s="7"/>
      <c r="K59" s="7"/>
    </row>
    <row r="60" spans="2:14" ht="12.75" customHeight="1" x14ac:dyDescent="0.25">
      <c r="B60" s="39" t="s">
        <v>43</v>
      </c>
      <c r="C60" s="133">
        <v>7274.3999999999987</v>
      </c>
      <c r="D60" s="133">
        <v>471.98999999999984</v>
      </c>
      <c r="E60" s="167">
        <f t="shared" si="30"/>
        <v>7746.3899999999985</v>
      </c>
      <c r="F60" s="121"/>
      <c r="G60" s="117" t="s">
        <v>222</v>
      </c>
      <c r="H60" s="140"/>
      <c r="I60" s="140"/>
      <c r="J60" s="141"/>
      <c r="K60" s="7"/>
      <c r="L60" s="6"/>
    </row>
    <row r="61" spans="2:14" ht="12.75" customHeight="1" x14ac:dyDescent="0.25">
      <c r="B61" s="98" t="s">
        <v>56</v>
      </c>
      <c r="C61" s="132">
        <v>2450.88</v>
      </c>
      <c r="D61" s="132"/>
      <c r="E61" s="135">
        <f t="shared" si="30"/>
        <v>2450.88</v>
      </c>
      <c r="F61" s="121"/>
      <c r="G61" s="29" t="s">
        <v>7</v>
      </c>
      <c r="H61" s="132">
        <v>1146.7399999999998</v>
      </c>
      <c r="I61" s="132"/>
      <c r="J61" s="149">
        <f t="shared" ref="J61:J63" si="31">IF(SUM(H61:I61),SUM(H61:I61),"")</f>
        <v>1146.7399999999998</v>
      </c>
      <c r="K61" s="7"/>
    </row>
    <row r="62" spans="2:14" ht="12.75" customHeight="1" x14ac:dyDescent="0.25">
      <c r="B62" s="39" t="s">
        <v>67</v>
      </c>
      <c r="C62" s="133">
        <v>9132.9599999999991</v>
      </c>
      <c r="D62" s="133">
        <v>459.71</v>
      </c>
      <c r="E62" s="167">
        <f t="shared" si="30"/>
        <v>9592.6699999999983</v>
      </c>
      <c r="F62" s="121"/>
      <c r="G62" s="39" t="s">
        <v>48</v>
      </c>
      <c r="H62" s="150">
        <v>2536.6</v>
      </c>
      <c r="I62" s="150"/>
      <c r="J62" s="151">
        <f t="shared" si="31"/>
        <v>2536.6</v>
      </c>
      <c r="K62" s="7"/>
    </row>
    <row r="63" spans="2:14" ht="12.75" customHeight="1" x14ac:dyDescent="0.25">
      <c r="B63" s="31" t="s">
        <v>113</v>
      </c>
      <c r="C63" s="142">
        <f>IF(SUM(C59:C62),SUM(C59:C62),"")</f>
        <v>30860.11</v>
      </c>
      <c r="D63" s="142">
        <f>IF(SUM(D59:D62),SUM(D59:D62),"")</f>
        <v>931.69999999999982</v>
      </c>
      <c r="E63" s="169">
        <f t="shared" ref="E63" si="32">IF(SUM(E59:E62),SUM(E59:E62),"")</f>
        <v>31791.81</v>
      </c>
      <c r="G63" s="29" t="s">
        <v>57</v>
      </c>
      <c r="H63" s="132"/>
      <c r="I63" s="132"/>
      <c r="J63" s="149" t="str">
        <f t="shared" si="31"/>
        <v/>
      </c>
      <c r="K63" s="7"/>
    </row>
    <row r="64" spans="2:14" ht="12.75" customHeight="1" x14ac:dyDescent="0.25">
      <c r="G64" s="31" t="s">
        <v>184</v>
      </c>
      <c r="H64" s="142">
        <f>IF(SUM(H61:H63),SUM(H61:H63),"")</f>
        <v>3683.3399999999997</v>
      </c>
      <c r="I64" s="142" t="str">
        <f t="shared" ref="I64" si="33">IF(SUM(I61:I63),SUM(I61:I63),"")</f>
        <v/>
      </c>
      <c r="J64" s="142">
        <f>IF(SUM(J61:J63),SUM(J61:J63),"")</f>
        <v>3683.3399999999997</v>
      </c>
    </row>
    <row r="65" spans="2:13" ht="12.75" customHeight="1" x14ac:dyDescent="0.25">
      <c r="B65" s="117" t="s">
        <v>114</v>
      </c>
      <c r="C65" s="140"/>
      <c r="D65" s="140"/>
      <c r="E65" s="141"/>
      <c r="G65" s="67"/>
      <c r="J65" s="78"/>
    </row>
    <row r="66" spans="2:13" ht="12.75" customHeight="1" x14ac:dyDescent="0.25">
      <c r="B66" s="29" t="s">
        <v>1</v>
      </c>
      <c r="C66" s="132">
        <v>7044.2600000000011</v>
      </c>
      <c r="D66" s="132">
        <v>114</v>
      </c>
      <c r="E66" s="166">
        <f t="shared" ref="E66:E69" si="34">IF(SUM(C66:D66),SUM(C66:D66),"")</f>
        <v>7158.2600000000011</v>
      </c>
      <c r="G66" s="117" t="s">
        <v>185</v>
      </c>
      <c r="H66" s="140"/>
      <c r="I66" s="140"/>
      <c r="J66" s="141"/>
    </row>
    <row r="67" spans="2:13" ht="12.75" customHeight="1" x14ac:dyDescent="0.25">
      <c r="B67" s="39" t="s">
        <v>209</v>
      </c>
      <c r="C67" s="133">
        <v>5446.63</v>
      </c>
      <c r="D67" s="133">
        <v>1048.8800000000001</v>
      </c>
      <c r="E67" s="167">
        <f t="shared" si="34"/>
        <v>6495.51</v>
      </c>
      <c r="G67" s="29" t="s">
        <v>97</v>
      </c>
      <c r="H67" s="132">
        <v>35266.200000000019</v>
      </c>
      <c r="I67" s="132">
        <v>244359.90999999997</v>
      </c>
      <c r="J67" s="148">
        <f t="shared" ref="J67:J69" si="35">IF(SUM(H67:I67),SUM(H67:I67),"")</f>
        <v>279626.11</v>
      </c>
    </row>
    <row r="68" spans="2:13" ht="12.75" customHeight="1" x14ac:dyDescent="0.25">
      <c r="B68" s="96" t="s">
        <v>17</v>
      </c>
      <c r="C68" s="132">
        <v>4887.9100000000008</v>
      </c>
      <c r="D68" s="132">
        <v>304.5</v>
      </c>
      <c r="E68" s="135">
        <f t="shared" si="34"/>
        <v>5192.4100000000008</v>
      </c>
      <c r="G68" s="31" t="s">
        <v>186</v>
      </c>
      <c r="H68" s="142">
        <f t="shared" ref="H68:I68" si="36">IF(SUM(H67),SUM(H67),"")</f>
        <v>35266.200000000019</v>
      </c>
      <c r="I68" s="142">
        <f t="shared" si="36"/>
        <v>244359.90999999997</v>
      </c>
      <c r="J68" s="142">
        <f>IF(SUM(J67),SUM(J67),"")</f>
        <v>279626.11</v>
      </c>
    </row>
    <row r="69" spans="2:13" ht="12.75" customHeight="1" x14ac:dyDescent="0.25">
      <c r="B69" s="39" t="s">
        <v>60</v>
      </c>
      <c r="C69" s="133">
        <v>2063.61</v>
      </c>
      <c r="D69" s="133"/>
      <c r="E69" s="167">
        <f t="shared" si="34"/>
        <v>2063.61</v>
      </c>
      <c r="G69" s="67"/>
      <c r="J69" s="78" t="str">
        <f t="shared" si="35"/>
        <v/>
      </c>
    </row>
    <row r="70" spans="2:13" ht="12.75" customHeight="1" x14ac:dyDescent="0.25">
      <c r="B70" s="31" t="s">
        <v>115</v>
      </c>
      <c r="C70" s="142">
        <f>IF(SUM(C66:C69),SUM(C66:C69),"")</f>
        <v>19442.410000000003</v>
      </c>
      <c r="D70" s="142">
        <f t="shared" ref="D70" si="37">IF(SUM(D66:D69),SUM(D66:D69),"")</f>
        <v>1467.38</v>
      </c>
      <c r="E70" s="169">
        <f>IF(SUM(E66:E69),SUM(E66:E69),"")</f>
        <v>20909.79</v>
      </c>
      <c r="G70" s="127" t="s">
        <v>121</v>
      </c>
      <c r="H70" s="142">
        <f>IF(SUM(C10,C17,C25,C33,C39,C50,C56,C63,C70,H9,H16,H22,H29,H36,H44,H50,H58,H64,H68),SUM(C10,C17,C25,C33,C39,C50,C56,C63,C70,H9,H16,H22,H29,H36,H44,H50,H58,H64,H68),"")</f>
        <v>885002.25999999989</v>
      </c>
      <c r="I70" s="142">
        <f>IF(SUM(D10,D17,D25,D33,D39,D50,D56,D63,D70,I9,I16,I22,I29,I36,I44,I50,I58,I64,I68),SUM(D10,D17,D25,D33,D39,D50,D56,D63,D70,I9,I16,I22,I29,I36,I44,I50,I58,I64,I68),"")</f>
        <v>577563.05999999994</v>
      </c>
      <c r="J70" s="142">
        <f>IF(SUM(E10,E17,E25,E33,E39,E50,E56,E63,E70,J9,J16,J22,J29,J36,J44,J50,J58,J64,J68),SUM(E10,E17,E25,E33,E39,E50,E56,E63,E70,J9,J16,J22,J29,J36,J44,J50,J58,J64,J68),"")</f>
        <v>1462565.3199999998</v>
      </c>
      <c r="L70" s="7"/>
      <c r="M70" s="7"/>
    </row>
    <row r="71" spans="2:13" x14ac:dyDescent="0.25">
      <c r="J71" s="7"/>
    </row>
    <row r="74" spans="2:13" ht="16.5" customHeight="1" x14ac:dyDescent="0.25"/>
    <row r="91" spans="5:10" x14ac:dyDescent="0.25">
      <c r="H91" s="83"/>
      <c r="I91" s="83"/>
    </row>
    <row r="92" spans="5:10" s="26" customFormat="1" ht="12" customHeight="1" x14ac:dyDescent="0.25">
      <c r="E92" s="78"/>
      <c r="F92" s="65"/>
      <c r="G92" s="67"/>
      <c r="H92" s="79"/>
      <c r="I92" s="83"/>
      <c r="J92" s="78"/>
    </row>
    <row r="93" spans="5:10" s="26" customFormat="1" ht="12" customHeight="1" x14ac:dyDescent="0.25">
      <c r="E93" s="78"/>
      <c r="F93" s="65"/>
      <c r="G93" s="67"/>
      <c r="H93" s="79"/>
      <c r="I93" s="83"/>
      <c r="J93" s="78"/>
    </row>
    <row r="94" spans="5:10" s="26" customFormat="1" ht="12" customHeight="1" x14ac:dyDescent="0.25">
      <c r="E94" s="78"/>
      <c r="F94" s="65"/>
      <c r="G94" s="67"/>
      <c r="H94" s="79"/>
      <c r="I94" s="83"/>
      <c r="J94" s="78"/>
    </row>
    <row r="95" spans="5:10" s="26" customFormat="1" ht="12" customHeight="1" x14ac:dyDescent="0.25">
      <c r="E95" s="78"/>
      <c r="F95" s="65"/>
      <c r="G95" s="67"/>
      <c r="H95" s="79"/>
      <c r="I95" s="83"/>
      <c r="J95" s="78"/>
    </row>
    <row r="96" spans="5:10" s="26" customFormat="1" ht="12" customHeight="1" x14ac:dyDescent="0.25">
      <c r="E96" s="78"/>
      <c r="F96" s="65"/>
      <c r="G96" s="67"/>
      <c r="H96" s="79"/>
      <c r="I96" s="83"/>
      <c r="J96" s="78"/>
    </row>
    <row r="97" spans="2:10" s="26" customFormat="1" ht="12" customHeight="1" x14ac:dyDescent="0.25">
      <c r="E97" s="78"/>
      <c r="F97" s="65"/>
      <c r="G97" s="67"/>
      <c r="H97" s="79"/>
      <c r="I97" s="83"/>
      <c r="J97" s="78"/>
    </row>
    <row r="98" spans="2:10" s="26" customFormat="1" ht="12" customHeight="1" x14ac:dyDescent="0.25">
      <c r="E98" s="78"/>
      <c r="F98" s="65"/>
      <c r="G98" s="67"/>
      <c r="H98" s="79"/>
      <c r="I98" s="83"/>
      <c r="J98" s="78"/>
    </row>
    <row r="99" spans="2:10" s="26" customFormat="1" ht="12" customHeight="1" x14ac:dyDescent="0.25">
      <c r="E99" s="78"/>
      <c r="F99" s="65"/>
      <c r="G99" s="67"/>
      <c r="H99" s="79"/>
      <c r="I99" s="83"/>
      <c r="J99" s="78"/>
    </row>
    <row r="100" spans="2:10" s="26" customFormat="1" ht="12" customHeight="1" x14ac:dyDescent="0.25">
      <c r="B100" s="77"/>
      <c r="C100" s="81" t="s">
        <v>170</v>
      </c>
      <c r="D100" s="81" t="s">
        <v>171</v>
      </c>
      <c r="E100" s="81" t="s">
        <v>207</v>
      </c>
      <c r="F100" s="65"/>
      <c r="G100" s="67"/>
      <c r="H100" s="83"/>
      <c r="I100" s="83"/>
      <c r="J100" s="78"/>
    </row>
    <row r="101" spans="2:10" s="26" customFormat="1" ht="12" customHeight="1" x14ac:dyDescent="0.25">
      <c r="B101" s="82" t="s">
        <v>190</v>
      </c>
      <c r="C101" s="82">
        <f>C10</f>
        <v>131239.44</v>
      </c>
      <c r="D101" s="82">
        <f>D10</f>
        <v>9880.86</v>
      </c>
      <c r="E101" s="82">
        <f>SUM(C101:D101)</f>
        <v>141120.29999999999</v>
      </c>
      <c r="F101" s="65"/>
      <c r="G101" s="67"/>
      <c r="H101" s="83"/>
      <c r="I101" s="83"/>
      <c r="J101" s="78"/>
    </row>
    <row r="102" spans="2:10" s="26" customFormat="1" ht="12" customHeight="1" x14ac:dyDescent="0.25">
      <c r="B102" s="82" t="s">
        <v>191</v>
      </c>
      <c r="C102" s="82">
        <f>C17</f>
        <v>78978.429999999978</v>
      </c>
      <c r="D102" s="82">
        <f>D17</f>
        <v>11016.35</v>
      </c>
      <c r="E102" s="82">
        <f t="shared" ref="E102:E119" si="38">SUM(C102:D102)</f>
        <v>89994.779999999984</v>
      </c>
      <c r="F102" s="65"/>
      <c r="G102" s="67"/>
      <c r="H102" s="83"/>
      <c r="I102" s="83"/>
      <c r="J102" s="78"/>
    </row>
    <row r="103" spans="2:10" s="26" customFormat="1" ht="12" customHeight="1" x14ac:dyDescent="0.25">
      <c r="B103" s="82" t="s">
        <v>192</v>
      </c>
      <c r="C103" s="82">
        <f>C25</f>
        <v>50541.479999999996</v>
      </c>
      <c r="D103" s="82">
        <f>D25</f>
        <v>3703.7700000000004</v>
      </c>
      <c r="E103" s="82">
        <f t="shared" si="38"/>
        <v>54245.25</v>
      </c>
      <c r="F103" s="65"/>
      <c r="G103" s="67"/>
      <c r="H103" s="83"/>
      <c r="I103" s="83"/>
      <c r="J103" s="78"/>
    </row>
    <row r="104" spans="2:10" s="26" customFormat="1" ht="12" customHeight="1" x14ac:dyDescent="0.25">
      <c r="B104" s="82" t="s">
        <v>193</v>
      </c>
      <c r="C104" s="82">
        <f>C33</f>
        <v>107045.69</v>
      </c>
      <c r="D104" s="82">
        <f>D33</f>
        <v>12627.099999999999</v>
      </c>
      <c r="E104" s="82">
        <f t="shared" si="38"/>
        <v>119672.79000000001</v>
      </c>
      <c r="F104" s="65"/>
      <c r="G104" s="67"/>
      <c r="H104" s="83"/>
      <c r="I104" s="83"/>
      <c r="J104" s="78"/>
    </row>
    <row r="105" spans="2:10" s="26" customFormat="1" ht="12" customHeight="1" x14ac:dyDescent="0.25">
      <c r="B105" s="82" t="s">
        <v>210</v>
      </c>
      <c r="C105" s="82">
        <f>C39</f>
        <v>16337.52</v>
      </c>
      <c r="D105" s="82">
        <f>D39</f>
        <v>2938.76</v>
      </c>
      <c r="E105" s="82">
        <f t="shared" si="38"/>
        <v>19276.28</v>
      </c>
      <c r="F105" s="65"/>
      <c r="G105" s="67"/>
      <c r="H105" s="83"/>
      <c r="I105" s="83"/>
      <c r="J105" s="78"/>
    </row>
    <row r="106" spans="2:10" s="26" customFormat="1" ht="12" customHeight="1" x14ac:dyDescent="0.25">
      <c r="B106" s="82" t="s">
        <v>194</v>
      </c>
      <c r="C106" s="82">
        <f>C50</f>
        <v>52086.880000000005</v>
      </c>
      <c r="D106" s="82">
        <f>D50</f>
        <v>6583.8</v>
      </c>
      <c r="E106" s="82">
        <f t="shared" si="38"/>
        <v>58670.680000000008</v>
      </c>
      <c r="F106" s="65"/>
      <c r="G106" s="67"/>
      <c r="H106" s="83"/>
      <c r="I106" s="83"/>
      <c r="J106" s="78"/>
    </row>
    <row r="107" spans="2:10" x14ac:dyDescent="0.25">
      <c r="B107" s="82" t="s">
        <v>195</v>
      </c>
      <c r="C107" s="82">
        <f>C56</f>
        <v>28268.100000000002</v>
      </c>
      <c r="D107" s="82">
        <f>D56</f>
        <v>8350.8100000000013</v>
      </c>
      <c r="E107" s="82">
        <f t="shared" si="38"/>
        <v>36618.910000000003</v>
      </c>
    </row>
    <row r="108" spans="2:10" x14ac:dyDescent="0.25">
      <c r="B108" s="82" t="s">
        <v>196</v>
      </c>
      <c r="C108" s="82">
        <f>C63</f>
        <v>30860.11</v>
      </c>
      <c r="D108" s="82">
        <f>D63</f>
        <v>931.69999999999982</v>
      </c>
      <c r="E108" s="82">
        <f t="shared" si="38"/>
        <v>31791.81</v>
      </c>
    </row>
    <row r="109" spans="2:10" x14ac:dyDescent="0.25">
      <c r="B109" s="82" t="s">
        <v>197</v>
      </c>
      <c r="C109" s="82">
        <f>C70</f>
        <v>19442.410000000003</v>
      </c>
      <c r="D109" s="82">
        <f>D70</f>
        <v>1467.38</v>
      </c>
      <c r="E109" s="82">
        <f t="shared" si="38"/>
        <v>20909.790000000005</v>
      </c>
    </row>
    <row r="110" spans="2:10" x14ac:dyDescent="0.25">
      <c r="B110" s="82" t="s">
        <v>211</v>
      </c>
      <c r="C110" s="82">
        <f>H9</f>
        <v>35022.22</v>
      </c>
      <c r="D110" s="82">
        <f>I9</f>
        <v>1433.48</v>
      </c>
      <c r="E110" s="82">
        <f t="shared" si="38"/>
        <v>36455.700000000004</v>
      </c>
    </row>
    <row r="111" spans="2:10" x14ac:dyDescent="0.25">
      <c r="B111" s="82" t="s">
        <v>198</v>
      </c>
      <c r="C111" s="82">
        <f>H16</f>
        <v>52824.470000000016</v>
      </c>
      <c r="D111" s="82">
        <f>I16</f>
        <v>205763.44</v>
      </c>
      <c r="E111" s="82">
        <f t="shared" si="38"/>
        <v>258587.91000000003</v>
      </c>
    </row>
    <row r="112" spans="2:10" x14ac:dyDescent="0.25">
      <c r="B112" s="82" t="s">
        <v>199</v>
      </c>
      <c r="C112" s="82">
        <f>H22</f>
        <v>21219.99</v>
      </c>
      <c r="D112" s="82">
        <f>I22</f>
        <v>2673.4699999999993</v>
      </c>
      <c r="E112" s="82">
        <f t="shared" si="38"/>
        <v>23893.46</v>
      </c>
    </row>
    <row r="113" spans="2:5" x14ac:dyDescent="0.25">
      <c r="B113" s="81" t="s">
        <v>200</v>
      </c>
      <c r="C113" s="81">
        <f>H29</f>
        <v>24807.120000000003</v>
      </c>
      <c r="D113" s="81">
        <f>I29</f>
        <v>7878.5599999999995</v>
      </c>
      <c r="E113" s="81">
        <f t="shared" si="38"/>
        <v>32685.68</v>
      </c>
    </row>
    <row r="114" spans="2:5" x14ac:dyDescent="0.25">
      <c r="B114" s="82" t="s">
        <v>201</v>
      </c>
      <c r="C114" s="82">
        <f>H36</f>
        <v>27246.97</v>
      </c>
      <c r="D114" s="82">
        <f>I36</f>
        <v>10610.119999999999</v>
      </c>
      <c r="E114" s="82">
        <f t="shared" si="38"/>
        <v>37857.089999999997</v>
      </c>
    </row>
    <row r="115" spans="2:5" x14ac:dyDescent="0.25">
      <c r="B115" s="82" t="s">
        <v>202</v>
      </c>
      <c r="C115" s="82">
        <f>H44</f>
        <v>111376.23000000001</v>
      </c>
      <c r="D115" s="82">
        <f>I44</f>
        <v>3657.4</v>
      </c>
      <c r="E115" s="82">
        <f t="shared" si="38"/>
        <v>115033.63</v>
      </c>
    </row>
    <row r="116" spans="2:5" x14ac:dyDescent="0.25">
      <c r="B116" s="82" t="s">
        <v>203</v>
      </c>
      <c r="C116" s="82">
        <f>H50</f>
        <v>25376.289999999994</v>
      </c>
      <c r="D116" s="82">
        <f>I50</f>
        <v>22554.109999999997</v>
      </c>
      <c r="E116" s="82">
        <f t="shared" si="38"/>
        <v>47930.399999999994</v>
      </c>
    </row>
    <row r="117" spans="2:5" x14ac:dyDescent="0.25">
      <c r="B117" s="82" t="s">
        <v>204</v>
      </c>
      <c r="C117" s="82">
        <f>H58</f>
        <v>33379.370000000003</v>
      </c>
      <c r="D117" s="82">
        <f>I58</f>
        <v>21132.04</v>
      </c>
      <c r="E117" s="82">
        <f t="shared" si="38"/>
        <v>54511.41</v>
      </c>
    </row>
    <row r="118" spans="2:5" x14ac:dyDescent="0.25">
      <c r="B118" s="82" t="s">
        <v>205</v>
      </c>
      <c r="C118" s="82">
        <f>H64</f>
        <v>3683.3399999999997</v>
      </c>
      <c r="D118" s="82" t="str">
        <f>I64</f>
        <v/>
      </c>
      <c r="E118" s="82">
        <f t="shared" si="38"/>
        <v>3683.3399999999997</v>
      </c>
    </row>
    <row r="119" spans="2:5" x14ac:dyDescent="0.25">
      <c r="B119" s="82" t="s">
        <v>206</v>
      </c>
      <c r="C119" s="82">
        <f>H68</f>
        <v>35266.200000000019</v>
      </c>
      <c r="D119" s="82">
        <f>I68</f>
        <v>244359.90999999997</v>
      </c>
      <c r="E119" s="82">
        <f t="shared" si="38"/>
        <v>279626.11</v>
      </c>
    </row>
    <row r="120" spans="2:5" x14ac:dyDescent="0.25">
      <c r="E120" s="81">
        <f>SUM(E101:E119)</f>
        <v>1462565.3199999998</v>
      </c>
    </row>
  </sheetData>
  <mergeCells count="7">
    <mergeCell ref="B2:J2"/>
    <mergeCell ref="B3:B4"/>
    <mergeCell ref="C3:D3"/>
    <mergeCell ref="E3:E4"/>
    <mergeCell ref="G3:G4"/>
    <mergeCell ref="H3:I3"/>
    <mergeCell ref="J3:J4"/>
  </mergeCells>
  <phoneticPr fontId="0" type="noConversion"/>
  <printOptions horizontalCentered="1"/>
  <pageMargins left="0.51181102362204722" right="0.27559055118110237" top="0.39370078740157483" bottom="0.47244094488188981" header="0.39370078740157483" footer="0.51181102362204722"/>
  <pageSetup paperSize="9" scale="64" orientation="portrait" r:id="rId1"/>
  <headerFooter alignWithMargins="0"/>
  <ignoredErrors>
    <ignoredError sqref="J68" formula="1"/>
  </ignoredErrors>
  <drawing r:id="rId2"/>
  <legacyDrawing r:id="rId3"/>
  <oleObjects>
    <mc:AlternateContent xmlns:mc="http://schemas.openxmlformats.org/markup-compatibility/2006">
      <mc:Choice Requires="x14">
        <oleObject shapeId="82946" r:id="rId4">
          <objectPr defaultSize="0" autoPict="0" r:id="rId5">
            <anchor moveWithCells="1" sizeWithCells="1">
              <from>
                <xdr:col>0</xdr:col>
                <xdr:colOff>266700</xdr:colOff>
                <xdr:row>0</xdr:row>
                <xdr:rowOff>47625</xdr:rowOff>
              </from>
              <to>
                <xdr:col>1</xdr:col>
                <xdr:colOff>876300</xdr:colOff>
                <xdr:row>0</xdr:row>
                <xdr:rowOff>495300</xdr:rowOff>
              </to>
            </anchor>
          </objectPr>
        </oleObject>
      </mc:Choice>
      <mc:Fallback>
        <oleObject shapeId="82946" r:id="rId4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8"/>
  <dimension ref="A1:R58"/>
  <sheetViews>
    <sheetView showGridLines="0" tabSelected="1" view="pageBreakPreview" topLeftCell="B63" zoomScale="85" zoomScaleNormal="85" zoomScaleSheetLayoutView="85" workbookViewId="0">
      <selection activeCell="K72" sqref="K72"/>
    </sheetView>
  </sheetViews>
  <sheetFormatPr defaultColWidth="11" defaultRowHeight="12.75" x14ac:dyDescent="0.2"/>
  <cols>
    <col min="1" max="1" width="1.25" style="1" hidden="1" customWidth="1"/>
    <col min="2" max="8" width="15.625" style="1" customWidth="1"/>
    <col min="9" max="9" width="8.75" style="1" customWidth="1"/>
    <col min="10" max="16384" width="11" style="1"/>
  </cols>
  <sheetData>
    <row r="1" spans="1:10" ht="82.5" customHeight="1" x14ac:dyDescent="0.2"/>
    <row r="2" spans="1:10" x14ac:dyDescent="0.2">
      <c r="A2" s="1" t="s">
        <v>221</v>
      </c>
    </row>
    <row r="3" spans="1:10" ht="13.5" thickBot="1" x14ac:dyDescent="0.25"/>
    <row r="4" spans="1:10" s="70" customFormat="1" ht="18" customHeight="1" thickBot="1" x14ac:dyDescent="0.3">
      <c r="B4" s="215" t="s">
        <v>167</v>
      </c>
      <c r="C4" s="215"/>
      <c r="D4" s="215"/>
      <c r="E4" s="215"/>
      <c r="F4" s="215"/>
      <c r="G4" s="215"/>
      <c r="H4" s="215"/>
    </row>
    <row r="5" spans="1:10" ht="27.95" customHeight="1" x14ac:dyDescent="0.2">
      <c r="B5" s="216" t="s">
        <v>154</v>
      </c>
      <c r="C5" s="216" t="s">
        <v>155</v>
      </c>
      <c r="D5" s="216" t="s">
        <v>156</v>
      </c>
      <c r="E5" s="216" t="s">
        <v>160</v>
      </c>
      <c r="F5" s="216" t="s">
        <v>161</v>
      </c>
      <c r="G5" s="216" t="s">
        <v>162</v>
      </c>
      <c r="H5" s="216" t="s">
        <v>157</v>
      </c>
    </row>
    <row r="6" spans="1:10" ht="19.5" customHeight="1" thickBot="1" x14ac:dyDescent="0.25">
      <c r="B6" s="217"/>
      <c r="C6" s="217"/>
      <c r="D6" s="217"/>
      <c r="E6" s="217"/>
      <c r="F6" s="217"/>
      <c r="G6" s="217" t="s">
        <v>158</v>
      </c>
      <c r="H6" s="217" t="s">
        <v>159</v>
      </c>
    </row>
    <row r="7" spans="1:10" s="70" customFormat="1" ht="18" hidden="1" customHeight="1" x14ac:dyDescent="0.25">
      <c r="B7" s="75">
        <v>44941</v>
      </c>
      <c r="C7" s="71">
        <v>205757.35000000024</v>
      </c>
      <c r="D7" s="71">
        <v>194321.53000000014</v>
      </c>
      <c r="E7" s="71">
        <v>1310.9999999999993</v>
      </c>
      <c r="F7" s="71">
        <v>196</v>
      </c>
      <c r="G7" s="71">
        <f>IF(SUM(C7:D7),SUM(C7:D7),"")</f>
        <v>400078.88000000035</v>
      </c>
      <c r="H7" s="71">
        <f>IF(SUM(E7:F7),SUM(E7:F7),"")</f>
        <v>1506.9999999999993</v>
      </c>
    </row>
    <row r="8" spans="1:10" s="70" customFormat="1" ht="18" hidden="1" customHeight="1" x14ac:dyDescent="0.25">
      <c r="B8" s="76">
        <v>44972</v>
      </c>
      <c r="C8" s="72">
        <v>108654.83999999997</v>
      </c>
      <c r="D8" s="72">
        <v>46501.610000000052</v>
      </c>
      <c r="E8" s="72">
        <v>693.00000000000057</v>
      </c>
      <c r="F8" s="72">
        <v>93.999999999999986</v>
      </c>
      <c r="G8" s="72">
        <f t="shared" ref="G8:G14" si="0">IF(SUM(C8:D8),SUM(C8:D8),"")</f>
        <v>155156.45000000001</v>
      </c>
      <c r="H8" s="72">
        <f t="shared" ref="H8:H11" si="1">IF(SUM(E8:F8),SUM(E8:F8),"")</f>
        <v>787.00000000000057</v>
      </c>
    </row>
    <row r="9" spans="1:10" s="70" customFormat="1" ht="18" hidden="1" customHeight="1" x14ac:dyDescent="0.25">
      <c r="B9" s="75">
        <v>45000</v>
      </c>
      <c r="C9" s="71">
        <v>124336.17000000003</v>
      </c>
      <c r="D9" s="71">
        <v>118884.32000000007</v>
      </c>
      <c r="E9" s="71">
        <v>1122.0000000000011</v>
      </c>
      <c r="F9" s="71">
        <v>167.99999999999997</v>
      </c>
      <c r="G9" s="71">
        <f t="shared" si="0"/>
        <v>243220.49000000011</v>
      </c>
      <c r="H9" s="71">
        <f t="shared" si="1"/>
        <v>1290.0000000000011</v>
      </c>
    </row>
    <row r="10" spans="1:10" s="70" customFormat="1" ht="18" hidden="1" customHeight="1" x14ac:dyDescent="0.25">
      <c r="B10" s="76">
        <v>45031</v>
      </c>
      <c r="C10" s="72">
        <v>146755.19000000003</v>
      </c>
      <c r="D10" s="72">
        <v>187503.20000000004</v>
      </c>
      <c r="E10" s="72">
        <v>971.00000000000011</v>
      </c>
      <c r="F10" s="72">
        <v>78.999999999999986</v>
      </c>
      <c r="G10" s="72">
        <f t="shared" si="0"/>
        <v>334258.39000000007</v>
      </c>
      <c r="H10" s="72">
        <f t="shared" si="1"/>
        <v>1050</v>
      </c>
    </row>
    <row r="11" spans="1:10" s="70" customFormat="1" ht="18" hidden="1" customHeight="1" x14ac:dyDescent="0.25">
      <c r="B11" s="75">
        <v>45061</v>
      </c>
      <c r="C11" s="71">
        <v>189593.36</v>
      </c>
      <c r="D11" s="71">
        <v>109776.5500000001</v>
      </c>
      <c r="E11" s="71">
        <v>1570.9999999999989</v>
      </c>
      <c r="F11" s="71">
        <v>198.99999999999997</v>
      </c>
      <c r="G11" s="71">
        <f t="shared" si="0"/>
        <v>299369.91000000009</v>
      </c>
      <c r="H11" s="71">
        <f t="shared" si="1"/>
        <v>1769.9999999999989</v>
      </c>
      <c r="I11" s="71"/>
      <c r="J11" s="71"/>
    </row>
    <row r="12" spans="1:10" s="70" customFormat="1" ht="18" hidden="1" customHeight="1" x14ac:dyDescent="0.25">
      <c r="B12" s="76">
        <v>45092</v>
      </c>
      <c r="C12" s="72">
        <v>192808.58</v>
      </c>
      <c r="D12" s="72">
        <v>200147.3600000001</v>
      </c>
      <c r="E12" s="72">
        <v>1819</v>
      </c>
      <c r="F12" s="72">
        <v>250.00000000000011</v>
      </c>
      <c r="G12" s="72">
        <f t="shared" si="0"/>
        <v>392955.94000000006</v>
      </c>
      <c r="H12" s="72">
        <f>IF(SUM(E12:F12),SUM(E12:F12),"")</f>
        <v>2069</v>
      </c>
      <c r="I12" s="92"/>
      <c r="J12" s="92"/>
    </row>
    <row r="13" spans="1:10" s="70" customFormat="1" ht="18" hidden="1" customHeight="1" x14ac:dyDescent="0.25">
      <c r="B13" s="75">
        <v>45122</v>
      </c>
      <c r="C13" s="71">
        <v>127681.26999999999</v>
      </c>
      <c r="D13" s="71">
        <v>41902.410000000018</v>
      </c>
      <c r="E13" s="71">
        <v>1559.0000000000007</v>
      </c>
      <c r="F13" s="71">
        <v>146</v>
      </c>
      <c r="G13" s="71">
        <f t="shared" si="0"/>
        <v>169583.68</v>
      </c>
      <c r="H13" s="71">
        <f t="shared" ref="H13:H17" si="2">IF(SUM(E13:F13),SUM(E13:F13),"")</f>
        <v>1705.0000000000007</v>
      </c>
      <c r="I13" s="84"/>
      <c r="J13" s="84"/>
    </row>
    <row r="14" spans="1:10" s="70" customFormat="1" ht="18" hidden="1" customHeight="1" x14ac:dyDescent="0.25">
      <c r="B14" s="76">
        <v>45153</v>
      </c>
      <c r="C14" s="72">
        <v>217202.14999999997</v>
      </c>
      <c r="D14" s="72">
        <v>66365.23000000001</v>
      </c>
      <c r="E14" s="72">
        <v>2150.0000000000009</v>
      </c>
      <c r="F14" s="72">
        <v>118.00000000000003</v>
      </c>
      <c r="G14" s="72">
        <f t="shared" si="0"/>
        <v>283567.38</v>
      </c>
      <c r="H14" s="72">
        <f t="shared" si="2"/>
        <v>2268.0000000000009</v>
      </c>
      <c r="I14" s="84"/>
    </row>
    <row r="15" spans="1:10" s="70" customFormat="1" ht="18" hidden="1" customHeight="1" x14ac:dyDescent="0.25">
      <c r="B15" s="75">
        <v>45184</v>
      </c>
      <c r="C15" s="71">
        <v>173079.52999999991</v>
      </c>
      <c r="D15" s="71">
        <v>72680.880000000063</v>
      </c>
      <c r="E15" s="71">
        <v>1395.0000000000009</v>
      </c>
      <c r="F15" s="71">
        <v>132</v>
      </c>
      <c r="G15" s="71">
        <f>IF(SUM(C15:D15),SUM(C15:D15),"")</f>
        <v>245760.40999999997</v>
      </c>
      <c r="H15" s="71">
        <f t="shared" si="2"/>
        <v>1527.0000000000009</v>
      </c>
    </row>
    <row r="16" spans="1:10" s="70" customFormat="1" ht="18" hidden="1" customHeight="1" x14ac:dyDescent="0.25">
      <c r="B16" s="76">
        <v>45214</v>
      </c>
      <c r="C16" s="72">
        <v>111837.44999999992</v>
      </c>
      <c r="D16" s="72">
        <v>146703.08999999997</v>
      </c>
      <c r="E16" s="72">
        <v>1096.9999999999993</v>
      </c>
      <c r="F16" s="72">
        <v>194</v>
      </c>
      <c r="G16" s="72">
        <f t="shared" ref="G16" si="3">IF(SUM(C16:D16),SUM(C16:D16),"")</f>
        <v>258540.53999999989</v>
      </c>
      <c r="H16" s="72">
        <f t="shared" si="2"/>
        <v>1290.9999999999993</v>
      </c>
    </row>
    <row r="17" spans="2:18" s="70" customFormat="1" ht="18" hidden="1" customHeight="1" x14ac:dyDescent="0.25">
      <c r="B17" s="75">
        <v>45245</v>
      </c>
      <c r="C17" s="71">
        <v>158346.28000000014</v>
      </c>
      <c r="D17" s="71">
        <v>47055.450000000012</v>
      </c>
      <c r="E17" s="71">
        <v>1743.0000000000009</v>
      </c>
      <c r="F17" s="71">
        <v>158.00000000000003</v>
      </c>
      <c r="G17" s="71">
        <f>IF(SUM(C17:D17),SUM(C17:D17),"")</f>
        <v>205401.73000000016</v>
      </c>
      <c r="H17" s="71">
        <f t="shared" si="2"/>
        <v>1901.0000000000009</v>
      </c>
    </row>
    <row r="18" spans="2:18" s="70" customFormat="1" ht="18" hidden="1" customHeight="1" thickBot="1" x14ac:dyDescent="0.3">
      <c r="B18" s="76">
        <v>45275</v>
      </c>
      <c r="C18" s="72">
        <v>106208.14000000007</v>
      </c>
      <c r="D18" s="72">
        <v>166160.30999999994</v>
      </c>
      <c r="E18" s="72">
        <v>1061.0000000000009</v>
      </c>
      <c r="F18" s="72">
        <v>245</v>
      </c>
      <c r="G18" s="72">
        <f>IF(SUM(C18:D18),SUM(C18:D18),"")</f>
        <v>272368.45</v>
      </c>
      <c r="H18" s="72">
        <f>IF(SUM(E18:F18),SUM(E18:F18),"")</f>
        <v>1306.0000000000009</v>
      </c>
    </row>
    <row r="19" spans="2:18" s="70" customFormat="1" ht="18" hidden="1" customHeight="1" thickBot="1" x14ac:dyDescent="0.3">
      <c r="B19" s="73" t="s">
        <v>223</v>
      </c>
      <c r="C19" s="74">
        <f t="shared" ref="C19:H19" si="4">IF(SUM(C7:C18),SUM(C7:C18),"")</f>
        <v>1862260.31</v>
      </c>
      <c r="D19" s="74">
        <f t="shared" si="4"/>
        <v>1398001.9400000004</v>
      </c>
      <c r="E19" s="74">
        <f t="shared" si="4"/>
        <v>16492</v>
      </c>
      <c r="F19" s="74">
        <f t="shared" si="4"/>
        <v>1979</v>
      </c>
      <c r="G19" s="74">
        <f t="shared" si="4"/>
        <v>3260262.2500000009</v>
      </c>
      <c r="H19" s="74">
        <f t="shared" si="4"/>
        <v>18471</v>
      </c>
      <c r="J19"/>
    </row>
    <row r="20" spans="2:18" s="70" customFormat="1" ht="18" hidden="1" customHeight="1" x14ac:dyDescent="0.25">
      <c r="B20" s="75">
        <f>B18+31</f>
        <v>45306</v>
      </c>
      <c r="C20" s="71">
        <v>141067.10000000003</v>
      </c>
      <c r="D20" s="71">
        <v>34756.449999999997</v>
      </c>
      <c r="E20" s="71">
        <v>1465</v>
      </c>
      <c r="F20" s="71">
        <v>82.000000000000014</v>
      </c>
      <c r="G20" s="71">
        <f>IF(SUM(C20:D20),SUM(C20:D20),"")</f>
        <v>175823.55000000005</v>
      </c>
      <c r="H20" s="71">
        <f t="shared" ref="H20:H22" si="5">IF(SUM(E20:F20),SUM(E20:F20),"")</f>
        <v>1547</v>
      </c>
      <c r="I20" s="152"/>
      <c r="J20"/>
    </row>
    <row r="21" spans="2:18" s="70" customFormat="1" ht="18" hidden="1" customHeight="1" x14ac:dyDescent="0.25">
      <c r="B21" s="76">
        <f>B20+31</f>
        <v>45337</v>
      </c>
      <c r="C21" s="72">
        <v>151350.16000000006</v>
      </c>
      <c r="D21" s="72">
        <v>31101.709999999985</v>
      </c>
      <c r="E21" s="72">
        <v>1733.9999999999991</v>
      </c>
      <c r="F21" s="72">
        <v>75</v>
      </c>
      <c r="G21" s="72">
        <f t="shared" ref="G21:G22" si="6">IF(SUM(C21:D21),SUM(C21:D21),"")</f>
        <v>182451.87000000005</v>
      </c>
      <c r="H21" s="72">
        <f t="shared" si="5"/>
        <v>1808.9999999999991</v>
      </c>
      <c r="I21" s="152"/>
      <c r="J21"/>
    </row>
    <row r="22" spans="2:18" s="70" customFormat="1" ht="18" hidden="1" customHeight="1" x14ac:dyDescent="0.25">
      <c r="B22" s="75">
        <f t="shared" ref="B22:B27" si="7">B21+31</f>
        <v>45368</v>
      </c>
      <c r="C22" s="71">
        <v>160787.05000000013</v>
      </c>
      <c r="D22" s="71">
        <v>35622.14</v>
      </c>
      <c r="E22" s="71">
        <v>1686.9999999999991</v>
      </c>
      <c r="F22" s="71">
        <v>127.00000000000006</v>
      </c>
      <c r="G22" s="71">
        <f t="shared" si="6"/>
        <v>196409.19000000012</v>
      </c>
      <c r="H22" s="71">
        <f t="shared" si="5"/>
        <v>1813.9999999999991</v>
      </c>
      <c r="I22" s="152"/>
      <c r="J22"/>
      <c r="N22" s="178"/>
      <c r="O22"/>
      <c r="P22"/>
      <c r="Q22"/>
      <c r="R22"/>
    </row>
    <row r="23" spans="2:18" s="70" customFormat="1" ht="18" hidden="1" customHeight="1" x14ac:dyDescent="0.25">
      <c r="B23" s="76">
        <f t="shared" si="7"/>
        <v>45399</v>
      </c>
      <c r="C23" s="72">
        <v>129151.08000000006</v>
      </c>
      <c r="D23" s="72">
        <v>42854.36</v>
      </c>
      <c r="E23" s="72">
        <v>1208.0000000000005</v>
      </c>
      <c r="F23" s="72">
        <v>116.00000000000001</v>
      </c>
      <c r="G23" s="72">
        <f t="shared" ref="G23" si="8">IF(SUM(C23:D23),SUM(C23:D23),"")</f>
        <v>172005.44000000006</v>
      </c>
      <c r="H23" s="72">
        <f t="shared" ref="H23" si="9">IF(SUM(E23:F23),SUM(E23:F23),"")</f>
        <v>1324.0000000000005</v>
      </c>
      <c r="I23" s="152"/>
      <c r="J23"/>
      <c r="N23" s="178"/>
      <c r="O23"/>
      <c r="P23"/>
      <c r="Q23"/>
      <c r="R23"/>
    </row>
    <row r="24" spans="2:18" s="70" customFormat="1" ht="18" hidden="1" customHeight="1" x14ac:dyDescent="0.25">
      <c r="B24" s="75">
        <f t="shared" si="7"/>
        <v>45430</v>
      </c>
      <c r="C24" s="71">
        <v>247945.93999999983</v>
      </c>
      <c r="D24" s="71">
        <v>33231.380000000005</v>
      </c>
      <c r="E24" s="71">
        <v>2240</v>
      </c>
      <c r="F24" s="71">
        <v>101.00000000000001</v>
      </c>
      <c r="G24" s="71">
        <f t="shared" ref="G24" si="10">IF(SUM(C24:D24),SUM(C24:D24),"")</f>
        <v>281177.31999999983</v>
      </c>
      <c r="H24" s="71">
        <f t="shared" ref="H24" si="11">IF(SUM(E24:F24),SUM(E24:F24),"")</f>
        <v>2341</v>
      </c>
      <c r="I24" s="152"/>
      <c r="J24"/>
      <c r="N24" s="178"/>
      <c r="O24"/>
      <c r="P24"/>
      <c r="Q24"/>
      <c r="R24"/>
    </row>
    <row r="25" spans="2:18" s="70" customFormat="1" ht="15.75" hidden="1" customHeight="1" x14ac:dyDescent="0.25">
      <c r="B25" s="76">
        <f t="shared" si="7"/>
        <v>45461</v>
      </c>
      <c r="C25" s="72">
        <v>300371.53000000038</v>
      </c>
      <c r="D25" s="72">
        <v>47207.090000000011</v>
      </c>
      <c r="E25" s="72">
        <v>1893.9999999999977</v>
      </c>
      <c r="F25" s="72">
        <v>116.99999999999999</v>
      </c>
      <c r="G25" s="72">
        <f t="shared" ref="G25:G26" si="12">IF(SUM(C25:D25),SUM(C25:D25),"")</f>
        <v>347578.6200000004</v>
      </c>
      <c r="H25" s="72">
        <f t="shared" ref="H25:H26" si="13">IF(SUM(E25:F25),SUM(E25:F25),"")</f>
        <v>2010.9999999999977</v>
      </c>
      <c r="I25" s="152"/>
      <c r="J25" s="180"/>
      <c r="N25" s="178"/>
      <c r="O25"/>
      <c r="P25"/>
      <c r="Q25"/>
      <c r="R25"/>
    </row>
    <row r="26" spans="2:18" s="70" customFormat="1" ht="18" hidden="1" customHeight="1" x14ac:dyDescent="0.25">
      <c r="B26" s="75">
        <f t="shared" si="7"/>
        <v>45492</v>
      </c>
      <c r="C26" s="71">
        <v>106427.24000000014</v>
      </c>
      <c r="D26" s="71">
        <v>56904.940000000017</v>
      </c>
      <c r="E26" s="71">
        <v>1246.9999999999993</v>
      </c>
      <c r="F26" s="71">
        <v>105.00000000000001</v>
      </c>
      <c r="G26" s="71">
        <f t="shared" si="12"/>
        <v>163332.18000000017</v>
      </c>
      <c r="H26" s="71">
        <f t="shared" si="13"/>
        <v>1351.9999999999993</v>
      </c>
      <c r="I26" s="152"/>
      <c r="N26" s="179"/>
      <c r="O26" s="180"/>
      <c r="P26" s="180"/>
      <c r="Q26" s="180"/>
      <c r="R26" s="180"/>
    </row>
    <row r="27" spans="2:18" s="70" customFormat="1" ht="18" hidden="1" customHeight="1" x14ac:dyDescent="0.25">
      <c r="B27" s="76">
        <f t="shared" si="7"/>
        <v>45523</v>
      </c>
      <c r="C27" s="72">
        <v>164381.65000000008</v>
      </c>
      <c r="D27" s="72">
        <v>116991.02999999998</v>
      </c>
      <c r="E27" s="72">
        <v>2172</v>
      </c>
      <c r="F27" s="72">
        <v>200.99999999999997</v>
      </c>
      <c r="G27" s="72">
        <f t="shared" ref="G27:G28" si="14">IF(SUM(C27:D27),SUM(C27:D27),"")</f>
        <v>281372.68000000005</v>
      </c>
      <c r="H27" s="72">
        <f t="shared" ref="H27:H28" si="15">IF(SUM(E27:F27),SUM(E27:F27),"")</f>
        <v>2373</v>
      </c>
      <c r="I27" s="152"/>
    </row>
    <row r="28" spans="2:18" s="70" customFormat="1" ht="18" hidden="1" customHeight="1" x14ac:dyDescent="0.25">
      <c r="B28" s="75">
        <f>B27+31</f>
        <v>45554</v>
      </c>
      <c r="C28" s="71">
        <v>97265.980000000025</v>
      </c>
      <c r="D28" s="71">
        <v>33345.919999999991</v>
      </c>
      <c r="E28" s="71">
        <v>1096</v>
      </c>
      <c r="F28" s="71">
        <v>154.00000000000003</v>
      </c>
      <c r="G28" s="71">
        <f t="shared" si="14"/>
        <v>130611.90000000002</v>
      </c>
      <c r="H28" s="71">
        <f t="shared" si="15"/>
        <v>1250</v>
      </c>
      <c r="I28" s="152"/>
    </row>
    <row r="29" spans="2:18" s="70" customFormat="1" ht="18" hidden="1" customHeight="1" x14ac:dyDescent="0.25">
      <c r="B29" s="76">
        <f>B28+31</f>
        <v>45585</v>
      </c>
      <c r="C29" s="72">
        <v>263202.27000000014</v>
      </c>
      <c r="D29" s="72">
        <v>52301.429999999986</v>
      </c>
      <c r="E29" s="72">
        <v>2475.0000000000032</v>
      </c>
      <c r="F29" s="72">
        <v>99.000000000000014</v>
      </c>
      <c r="G29" s="72">
        <f t="shared" ref="G29:G30" si="16">IF(SUM(C29:D29),SUM(C29:D29),"")</f>
        <v>315503.70000000013</v>
      </c>
      <c r="H29" s="72">
        <f t="shared" ref="H29:H30" si="17">IF(SUM(E29:F29),SUM(E29:F29),"")</f>
        <v>2574.0000000000032</v>
      </c>
      <c r="I29" s="153"/>
    </row>
    <row r="30" spans="2:18" s="70" customFormat="1" ht="18" hidden="1" customHeight="1" x14ac:dyDescent="0.25">
      <c r="B30" s="75">
        <f t="shared" ref="B30:B31" si="18">B29+31</f>
        <v>45616</v>
      </c>
      <c r="C30" s="71">
        <v>128286.00999999997</v>
      </c>
      <c r="D30" s="71">
        <v>67144.540000000008</v>
      </c>
      <c r="E30" s="71">
        <v>1360.0000000000002</v>
      </c>
      <c r="F30" s="71">
        <v>346.00000000000006</v>
      </c>
      <c r="G30" s="71">
        <f t="shared" si="16"/>
        <v>195430.55</v>
      </c>
      <c r="H30" s="71">
        <f t="shared" si="17"/>
        <v>1706.0000000000002</v>
      </c>
    </row>
    <row r="31" spans="2:18" s="70" customFormat="1" ht="18" hidden="1" customHeight="1" thickBot="1" x14ac:dyDescent="0.3">
      <c r="B31" s="76">
        <f t="shared" si="18"/>
        <v>45647</v>
      </c>
      <c r="C31" s="72">
        <v>175498.98000000007</v>
      </c>
      <c r="D31" s="72">
        <v>26818.879999999994</v>
      </c>
      <c r="E31" s="72">
        <v>1885.0000000000009</v>
      </c>
      <c r="F31" s="72">
        <v>70.000000000000014</v>
      </c>
      <c r="G31" s="72">
        <f t="shared" ref="G31" si="19">IF(SUM(C31:D31),SUM(C31:D31),"")</f>
        <v>202317.86000000007</v>
      </c>
      <c r="H31" s="72">
        <f t="shared" ref="H31" si="20">IF(SUM(E31:F31),SUM(E31:F31),"")</f>
        <v>1955.0000000000009</v>
      </c>
    </row>
    <row r="32" spans="2:18" s="70" customFormat="1" ht="18" hidden="1" customHeight="1" thickBot="1" x14ac:dyDescent="0.3">
      <c r="B32" s="73" t="s">
        <v>224</v>
      </c>
      <c r="C32" s="74">
        <f t="shared" ref="C32:H32" si="21">IF(SUM(C20:C31),SUM(C20:C31),"")</f>
        <v>2065734.9900000009</v>
      </c>
      <c r="D32" s="74">
        <f t="shared" si="21"/>
        <v>578279.87</v>
      </c>
      <c r="E32" s="74">
        <f t="shared" si="21"/>
        <v>20463</v>
      </c>
      <c r="F32" s="74">
        <f t="shared" si="21"/>
        <v>1593</v>
      </c>
      <c r="G32" s="74">
        <f t="shared" si="21"/>
        <v>2644014.8600000003</v>
      </c>
      <c r="H32" s="74">
        <f t="shared" si="21"/>
        <v>22056</v>
      </c>
    </row>
    <row r="33" spans="2:18" s="70" customFormat="1" ht="18" customHeight="1" x14ac:dyDescent="0.25">
      <c r="B33" s="75">
        <f>B31+31</f>
        <v>45678</v>
      </c>
      <c r="C33" s="71">
        <v>168086.08000000005</v>
      </c>
      <c r="D33" s="71">
        <v>22606.260000000031</v>
      </c>
      <c r="E33" s="71">
        <v>2127</v>
      </c>
      <c r="F33" s="71">
        <v>81</v>
      </c>
      <c r="G33" s="71">
        <f>IF(SUM(C33:D33),SUM(C33:D33),"")</f>
        <v>190692.34000000008</v>
      </c>
      <c r="H33" s="71">
        <f t="shared" ref="H33:H43" si="22">IF(SUM(E33:F33),SUM(E33:F33),"")</f>
        <v>2208</v>
      </c>
      <c r="I33" s="152"/>
      <c r="J33"/>
    </row>
    <row r="34" spans="2:18" s="70" customFormat="1" ht="18" customHeight="1" x14ac:dyDescent="0.25">
      <c r="B34" s="76">
        <f>B33+31</f>
        <v>45709</v>
      </c>
      <c r="C34" s="72">
        <v>162200.11000000004</v>
      </c>
      <c r="D34" s="72">
        <v>30310.219999999987</v>
      </c>
      <c r="E34" s="72">
        <v>1928.9999999999998</v>
      </c>
      <c r="F34" s="72">
        <v>104</v>
      </c>
      <c r="G34" s="72">
        <f t="shared" ref="G34:G43" si="23">IF(SUM(C34:D34),SUM(C34:D34),"")</f>
        <v>192510.33000000002</v>
      </c>
      <c r="H34" s="72">
        <f t="shared" si="22"/>
        <v>2032.9999999999998</v>
      </c>
      <c r="I34" s="152"/>
      <c r="J34"/>
    </row>
    <row r="35" spans="2:18" s="70" customFormat="1" ht="18" customHeight="1" x14ac:dyDescent="0.25">
      <c r="B35" s="75">
        <f t="shared" ref="B35:B40" si="24">B34+31</f>
        <v>45740</v>
      </c>
      <c r="C35" s="71">
        <v>145376.92999999996</v>
      </c>
      <c r="D35" s="71">
        <v>104819.55999999998</v>
      </c>
      <c r="E35" s="71">
        <v>1368.9999999999989</v>
      </c>
      <c r="F35" s="71">
        <v>121</v>
      </c>
      <c r="G35" s="71">
        <f t="shared" si="23"/>
        <v>250196.48999999993</v>
      </c>
      <c r="H35" s="71">
        <f t="shared" si="22"/>
        <v>1489.9999999999989</v>
      </c>
      <c r="I35" s="152"/>
      <c r="J35"/>
      <c r="N35" s="178"/>
      <c r="O35"/>
      <c r="P35"/>
      <c r="Q35"/>
      <c r="R35"/>
    </row>
    <row r="36" spans="2:18" s="70" customFormat="1" ht="18" customHeight="1" x14ac:dyDescent="0.25">
      <c r="B36" s="76">
        <f t="shared" si="24"/>
        <v>45771</v>
      </c>
      <c r="C36" s="72">
        <v>206114.67999999996</v>
      </c>
      <c r="D36" s="72">
        <v>37952.060000000005</v>
      </c>
      <c r="E36" s="72">
        <v>2519.9999999999982</v>
      </c>
      <c r="F36" s="72">
        <v>70</v>
      </c>
      <c r="G36" s="72">
        <f t="shared" si="23"/>
        <v>244066.73999999996</v>
      </c>
      <c r="H36" s="72">
        <f t="shared" si="22"/>
        <v>2589.9999999999982</v>
      </c>
      <c r="I36" s="152"/>
      <c r="J36"/>
      <c r="N36" s="178"/>
      <c r="O36"/>
      <c r="P36"/>
      <c r="Q36"/>
      <c r="R36"/>
    </row>
    <row r="37" spans="2:18" s="70" customFormat="1" ht="18" customHeight="1" x14ac:dyDescent="0.25">
      <c r="B37" s="75">
        <f t="shared" si="24"/>
        <v>45802</v>
      </c>
      <c r="C37" s="71">
        <v>155331.2999999999</v>
      </c>
      <c r="D37" s="71">
        <v>28065.67</v>
      </c>
      <c r="E37" s="71">
        <v>1628.9999999999995</v>
      </c>
      <c r="F37" s="71">
        <v>89.000000000000028</v>
      </c>
      <c r="G37" s="71">
        <f t="shared" si="23"/>
        <v>183396.96999999991</v>
      </c>
      <c r="H37" s="71">
        <f t="shared" si="22"/>
        <v>1717.9999999999995</v>
      </c>
      <c r="I37" s="152"/>
      <c r="J37"/>
      <c r="N37" s="178"/>
      <c r="O37"/>
      <c r="P37"/>
      <c r="Q37"/>
      <c r="R37"/>
    </row>
    <row r="38" spans="2:18" s="70" customFormat="1" ht="15.75" customHeight="1" x14ac:dyDescent="0.25">
      <c r="B38" s="76">
        <f t="shared" si="24"/>
        <v>45833</v>
      </c>
      <c r="C38" s="72">
        <v>205525.78</v>
      </c>
      <c r="D38" s="72">
        <v>69535.039999999964</v>
      </c>
      <c r="E38" s="72">
        <v>1585.9999999999993</v>
      </c>
      <c r="F38" s="72">
        <v>128.00000000000003</v>
      </c>
      <c r="G38" s="72">
        <f t="shared" si="23"/>
        <v>275060.81999999995</v>
      </c>
      <c r="H38" s="72">
        <f t="shared" si="22"/>
        <v>1713.9999999999993</v>
      </c>
      <c r="I38" s="152"/>
      <c r="J38" s="180"/>
      <c r="N38" s="178"/>
      <c r="O38"/>
      <c r="P38"/>
      <c r="Q38"/>
      <c r="R38"/>
    </row>
    <row r="39" spans="2:18" s="70" customFormat="1" ht="18" customHeight="1" x14ac:dyDescent="0.25">
      <c r="B39" s="75">
        <f t="shared" si="24"/>
        <v>45864</v>
      </c>
      <c r="C39" s="71">
        <v>112488.45999999999</v>
      </c>
      <c r="D39" s="71">
        <v>80961.250000000015</v>
      </c>
      <c r="E39" s="71">
        <v>1622.0000000000014</v>
      </c>
      <c r="F39" s="71">
        <v>140</v>
      </c>
      <c r="G39" s="71">
        <f t="shared" si="23"/>
        <v>193449.71000000002</v>
      </c>
      <c r="H39" s="71">
        <f t="shared" si="22"/>
        <v>1762.0000000000014</v>
      </c>
      <c r="I39" s="152"/>
      <c r="N39" s="179"/>
      <c r="O39" s="180"/>
      <c r="P39" s="180"/>
      <c r="Q39" s="180"/>
      <c r="R39" s="180"/>
    </row>
    <row r="40" spans="2:18" s="70" customFormat="1" ht="18" customHeight="1" x14ac:dyDescent="0.25">
      <c r="B40" s="76">
        <f t="shared" si="24"/>
        <v>45895</v>
      </c>
      <c r="C40" s="72">
        <v>210875.13999999993</v>
      </c>
      <c r="D40" s="72">
        <v>32956.899999999972</v>
      </c>
      <c r="E40" s="72">
        <v>2255.0000000000009</v>
      </c>
      <c r="F40" s="72">
        <v>123</v>
      </c>
      <c r="G40" s="72">
        <f t="shared" si="23"/>
        <v>243832.03999999989</v>
      </c>
      <c r="H40" s="72">
        <f t="shared" si="22"/>
        <v>2378.0000000000009</v>
      </c>
      <c r="I40" s="152"/>
    </row>
    <row r="41" spans="2:18" s="70" customFormat="1" ht="18" customHeight="1" x14ac:dyDescent="0.25">
      <c r="B41" s="75">
        <f>B40+31</f>
        <v>45926</v>
      </c>
      <c r="C41" s="71">
        <v>245512.78000000009</v>
      </c>
      <c r="D41" s="71">
        <v>34473.970000000016</v>
      </c>
      <c r="E41" s="71">
        <v>2323.9999999999991</v>
      </c>
      <c r="F41" s="71">
        <v>144.00000000000003</v>
      </c>
      <c r="G41" s="71">
        <f t="shared" si="23"/>
        <v>279986.75000000012</v>
      </c>
      <c r="H41" s="71">
        <f t="shared" si="22"/>
        <v>2467.9999999999991</v>
      </c>
      <c r="I41" s="152"/>
    </row>
    <row r="42" spans="2:18" s="70" customFormat="1" ht="18" customHeight="1" x14ac:dyDescent="0.25">
      <c r="B42" s="76">
        <f>B41+31</f>
        <v>45957</v>
      </c>
      <c r="C42" s="72">
        <v>189315.56000000003</v>
      </c>
      <c r="D42" s="72">
        <v>66215.249999999985</v>
      </c>
      <c r="E42" s="72">
        <v>3193.0000000000018</v>
      </c>
      <c r="F42" s="72">
        <v>205.00000000000009</v>
      </c>
      <c r="G42" s="72">
        <f t="shared" si="23"/>
        <v>255530.81</v>
      </c>
      <c r="H42" s="72">
        <f t="shared" si="22"/>
        <v>3398.0000000000018</v>
      </c>
      <c r="I42" s="153"/>
    </row>
    <row r="43" spans="2:18" s="70" customFormat="1" ht="18" customHeight="1" x14ac:dyDescent="0.25">
      <c r="B43" s="75">
        <f t="shared" ref="B43:B44" si="25">B42+31</f>
        <v>45988</v>
      </c>
      <c r="C43" s="71">
        <v>89763.290000000008</v>
      </c>
      <c r="D43" s="71">
        <v>37858.129999999997</v>
      </c>
      <c r="E43" s="71">
        <v>1012.9999999999994</v>
      </c>
      <c r="F43" s="71">
        <v>94.000000000000028</v>
      </c>
      <c r="G43" s="71">
        <f t="shared" si="23"/>
        <v>127621.42000000001</v>
      </c>
      <c r="H43" s="71">
        <f t="shared" si="22"/>
        <v>1106.9999999999995</v>
      </c>
    </row>
    <row r="44" spans="2:18" s="70" customFormat="1" ht="18" customHeight="1" thickBot="1" x14ac:dyDescent="0.3">
      <c r="B44" s="76">
        <f t="shared" si="25"/>
        <v>46019</v>
      </c>
      <c r="C44" s="72">
        <v>124595.48999999999</v>
      </c>
      <c r="D44" s="72">
        <v>100498.53</v>
      </c>
      <c r="E44" s="72">
        <v>1279</v>
      </c>
      <c r="F44" s="72">
        <v>184</v>
      </c>
      <c r="G44" s="72">
        <f t="shared" ref="G44" si="26">IF(SUM(C44:D44),SUM(C44:D44),"")</f>
        <v>225094.02</v>
      </c>
      <c r="H44" s="72">
        <f t="shared" ref="H44" si="27">IF(SUM(E44:F44),SUM(E44:F44),"")</f>
        <v>1463</v>
      </c>
    </row>
    <row r="45" spans="2:18" s="70" customFormat="1" ht="18" customHeight="1" thickBot="1" x14ac:dyDescent="0.3">
      <c r="B45" s="73" t="s">
        <v>231</v>
      </c>
      <c r="C45" s="74">
        <f t="shared" ref="C45:H45" si="28">IF(SUM(C33:C44),SUM(C33:C44),"")</f>
        <v>2015185.5999999999</v>
      </c>
      <c r="D45" s="74">
        <f t="shared" si="28"/>
        <v>646252.84</v>
      </c>
      <c r="E45" s="74">
        <f t="shared" si="28"/>
        <v>22846</v>
      </c>
      <c r="F45" s="74">
        <f t="shared" si="28"/>
        <v>1483</v>
      </c>
      <c r="G45" s="74">
        <f t="shared" si="28"/>
        <v>2661438.44</v>
      </c>
      <c r="H45" s="74">
        <f t="shared" si="28"/>
        <v>24329</v>
      </c>
    </row>
    <row r="46" spans="2:18" s="70" customFormat="1" ht="18" customHeight="1" x14ac:dyDescent="0.25">
      <c r="B46" s="76">
        <f>B44+31</f>
        <v>46050</v>
      </c>
      <c r="C46" s="72">
        <v>221296.29999999978</v>
      </c>
      <c r="D46" s="72">
        <v>26928.509999999995</v>
      </c>
      <c r="E46" s="72">
        <v>1912.9999999999993</v>
      </c>
      <c r="F46" s="72">
        <v>68</v>
      </c>
      <c r="G46" s="72">
        <f>IF(SUM(C46:D46),SUM(C46:D46),"")</f>
        <v>248224.80999999976</v>
      </c>
      <c r="H46" s="72">
        <f t="shared" ref="H46:H57" si="29">IF(SUM(E46:F46),SUM(E46:F46),"")</f>
        <v>1980.9999999999993</v>
      </c>
      <c r="I46" s="152"/>
      <c r="J46"/>
    </row>
    <row r="47" spans="2:18" s="70" customFormat="1" ht="18" customHeight="1" x14ac:dyDescent="0.25">
      <c r="B47" s="75">
        <f>B46+31</f>
        <v>46081</v>
      </c>
      <c r="C47" s="71">
        <v>112714.11999999992</v>
      </c>
      <c r="D47" s="71">
        <v>356076.42000000004</v>
      </c>
      <c r="E47" s="71">
        <v>1295.0000000000011</v>
      </c>
      <c r="F47" s="71">
        <v>69.999999999999986</v>
      </c>
      <c r="G47" s="71">
        <f t="shared" ref="G47:G57" si="30">IF(SUM(C47:D47),SUM(C47:D47),"")</f>
        <v>468790.54</v>
      </c>
      <c r="H47" s="71">
        <f t="shared" si="29"/>
        <v>1365.0000000000011</v>
      </c>
      <c r="I47" s="152"/>
      <c r="J47"/>
    </row>
    <row r="48" spans="2:18" s="70" customFormat="1" ht="18" customHeight="1" x14ac:dyDescent="0.25">
      <c r="B48" s="76">
        <f t="shared" ref="B48:B55" si="31">B47+31</f>
        <v>46112</v>
      </c>
      <c r="C48" s="72">
        <v>154640.25999999986</v>
      </c>
      <c r="D48" s="72">
        <v>46743.21</v>
      </c>
      <c r="E48" s="72">
        <v>2165.0000000000009</v>
      </c>
      <c r="F48" s="72">
        <v>71</v>
      </c>
      <c r="G48" s="72">
        <f t="shared" si="30"/>
        <v>201383.46999999986</v>
      </c>
      <c r="H48" s="72">
        <f t="shared" si="29"/>
        <v>2236.0000000000009</v>
      </c>
      <c r="I48" s="152"/>
      <c r="J48"/>
      <c r="N48" s="178"/>
      <c r="O48"/>
      <c r="P48"/>
      <c r="Q48"/>
      <c r="R48"/>
    </row>
    <row r="49" spans="2:18" s="70" customFormat="1" ht="18" customHeight="1" x14ac:dyDescent="0.25">
      <c r="B49" s="75">
        <f>B48+30</f>
        <v>46142</v>
      </c>
      <c r="C49" s="71">
        <v>109511.15000000004</v>
      </c>
      <c r="D49" s="71">
        <v>72556.890000000014</v>
      </c>
      <c r="E49" s="71">
        <v>1412.0000000000007</v>
      </c>
      <c r="F49" s="71">
        <v>48.000000000000007</v>
      </c>
      <c r="G49" s="71">
        <f t="shared" ref="G49" si="32">IF(SUM(C49:D49),SUM(C49:D49),"")</f>
        <v>182068.04000000004</v>
      </c>
      <c r="H49" s="71">
        <f t="shared" ref="H49" si="33">IF(SUM(E49:F49),SUM(E49:F49),"")</f>
        <v>1460.0000000000007</v>
      </c>
      <c r="I49" s="152"/>
      <c r="J49"/>
      <c r="N49" s="178"/>
      <c r="O49"/>
      <c r="P49"/>
      <c r="Q49"/>
      <c r="R49"/>
    </row>
    <row r="50" spans="2:18" s="70" customFormat="1" ht="18" customHeight="1" x14ac:dyDescent="0.25">
      <c r="B50" s="76">
        <f>B49+31</f>
        <v>46173</v>
      </c>
      <c r="C50" s="72">
        <v>172744.60000000003</v>
      </c>
      <c r="D50" s="72">
        <v>24402.020000000011</v>
      </c>
      <c r="E50" s="72">
        <v>2568.9999999999982</v>
      </c>
      <c r="F50" s="72">
        <v>78</v>
      </c>
      <c r="G50" s="72">
        <f t="shared" si="30"/>
        <v>197146.62000000005</v>
      </c>
      <c r="H50" s="72">
        <f t="shared" si="29"/>
        <v>2646.9999999999982</v>
      </c>
      <c r="I50" s="152"/>
      <c r="J50"/>
      <c r="N50" s="178"/>
      <c r="O50"/>
      <c r="P50"/>
      <c r="Q50"/>
      <c r="R50"/>
    </row>
    <row r="51" spans="2:18" s="70" customFormat="1" ht="18" customHeight="1" x14ac:dyDescent="0.25">
      <c r="B51" s="75">
        <f>B50+30</f>
        <v>46203</v>
      </c>
      <c r="C51" s="71">
        <v>114095.82999999999</v>
      </c>
      <c r="D51" s="71">
        <v>50856.009999999995</v>
      </c>
      <c r="E51" s="71">
        <v>1332.9999999999991</v>
      </c>
      <c r="F51" s="71">
        <v>74.000000000000014</v>
      </c>
      <c r="G51" s="71">
        <f t="shared" ref="G51" si="34">IF(SUM(C51:D51),SUM(C51:D51),"")</f>
        <v>164951.83999999997</v>
      </c>
      <c r="H51" s="71">
        <f t="shared" ref="H51" si="35">IF(SUM(E51:F51),SUM(E51:F51),"")</f>
        <v>1406.9999999999991</v>
      </c>
      <c r="I51" s="152"/>
      <c r="J51"/>
      <c r="N51" s="178"/>
      <c r="O51"/>
      <c r="P51"/>
      <c r="Q51"/>
      <c r="R51"/>
    </row>
    <row r="52" spans="2:18" s="70" customFormat="1" ht="18" customHeight="1" x14ac:dyDescent="0.25">
      <c r="B52" s="76">
        <f>B50+31</f>
        <v>46204</v>
      </c>
      <c r="C52" s="72"/>
      <c r="D52" s="72"/>
      <c r="E52" s="72"/>
      <c r="F52" s="72"/>
      <c r="G52" s="72" t="str">
        <f t="shared" si="30"/>
        <v/>
      </c>
      <c r="H52" s="72" t="str">
        <f t="shared" si="29"/>
        <v/>
      </c>
      <c r="I52" s="152"/>
      <c r="J52"/>
      <c r="N52" s="178"/>
      <c r="O52"/>
      <c r="P52"/>
      <c r="Q52"/>
      <c r="R52"/>
    </row>
    <row r="53" spans="2:18" s="70" customFormat="1" ht="15.75" customHeight="1" x14ac:dyDescent="0.25">
      <c r="B53" s="75">
        <f t="shared" si="31"/>
        <v>46235</v>
      </c>
      <c r="C53" s="71"/>
      <c r="D53" s="71"/>
      <c r="E53" s="71"/>
      <c r="F53" s="71"/>
      <c r="G53" s="71" t="str">
        <f t="shared" si="30"/>
        <v/>
      </c>
      <c r="H53" s="71" t="str">
        <f t="shared" si="29"/>
        <v/>
      </c>
      <c r="I53" s="152"/>
      <c r="J53" s="180"/>
      <c r="N53" s="178"/>
      <c r="O53"/>
      <c r="P53"/>
      <c r="Q53"/>
      <c r="R53"/>
    </row>
    <row r="54" spans="2:18" s="70" customFormat="1" ht="18" customHeight="1" x14ac:dyDescent="0.25">
      <c r="B54" s="76">
        <f t="shared" si="31"/>
        <v>46266</v>
      </c>
      <c r="C54" s="72"/>
      <c r="D54" s="72"/>
      <c r="E54" s="72"/>
      <c r="F54" s="72"/>
      <c r="G54" s="72" t="str">
        <f t="shared" si="30"/>
        <v/>
      </c>
      <c r="H54" s="72" t="str">
        <f t="shared" si="29"/>
        <v/>
      </c>
      <c r="I54" s="152"/>
      <c r="N54" s="179"/>
      <c r="O54" s="180"/>
      <c r="P54" s="180"/>
      <c r="Q54" s="180"/>
      <c r="R54" s="180"/>
    </row>
    <row r="55" spans="2:18" s="70" customFormat="1" ht="18" customHeight="1" x14ac:dyDescent="0.25">
      <c r="B55" s="75">
        <f t="shared" si="31"/>
        <v>46297</v>
      </c>
      <c r="C55" s="71"/>
      <c r="D55" s="71"/>
      <c r="E55" s="71"/>
      <c r="F55" s="71"/>
      <c r="G55" s="71" t="str">
        <f t="shared" si="30"/>
        <v/>
      </c>
      <c r="H55" s="71" t="str">
        <f t="shared" si="29"/>
        <v/>
      </c>
      <c r="I55" s="152"/>
    </row>
    <row r="56" spans="2:18" s="70" customFormat="1" ht="18" customHeight="1" x14ac:dyDescent="0.25">
      <c r="B56" s="76">
        <f>B55+31</f>
        <v>46328</v>
      </c>
      <c r="C56" s="72"/>
      <c r="D56" s="72"/>
      <c r="E56" s="72"/>
      <c r="F56" s="72"/>
      <c r="G56" s="72" t="str">
        <f t="shared" si="30"/>
        <v/>
      </c>
      <c r="H56" s="72" t="str">
        <f t="shared" si="29"/>
        <v/>
      </c>
      <c r="I56" s="152"/>
    </row>
    <row r="57" spans="2:18" s="70" customFormat="1" ht="18" customHeight="1" thickBot="1" x14ac:dyDescent="0.3">
      <c r="B57" s="75">
        <f>B56+31</f>
        <v>46359</v>
      </c>
      <c r="C57" s="71"/>
      <c r="D57" s="71"/>
      <c r="E57" s="71"/>
      <c r="F57" s="71"/>
      <c r="G57" s="71" t="str">
        <f t="shared" si="30"/>
        <v/>
      </c>
      <c r="H57" s="71" t="str">
        <f t="shared" si="29"/>
        <v/>
      </c>
      <c r="I57" s="153"/>
    </row>
    <row r="58" spans="2:18" s="70" customFormat="1" ht="18" customHeight="1" thickBot="1" x14ac:dyDescent="0.3">
      <c r="B58" s="73" t="s">
        <v>232</v>
      </c>
      <c r="C58" s="74">
        <f t="shared" ref="C58:H58" si="36">IF(SUM(C46:C57),SUM(C46:C57),"")</f>
        <v>885002.25999999966</v>
      </c>
      <c r="D58" s="74">
        <f t="shared" si="36"/>
        <v>577563.06000000006</v>
      </c>
      <c r="E58" s="74">
        <f t="shared" si="36"/>
        <v>10687</v>
      </c>
      <c r="F58" s="74">
        <f t="shared" si="36"/>
        <v>409</v>
      </c>
      <c r="G58" s="74">
        <f t="shared" si="36"/>
        <v>1462565.3199999998</v>
      </c>
      <c r="H58" s="74">
        <f t="shared" si="36"/>
        <v>11096</v>
      </c>
    </row>
  </sheetData>
  <mergeCells count="8">
    <mergeCell ref="B4:H4"/>
    <mergeCell ref="B5:B6"/>
    <mergeCell ref="C5:C6"/>
    <mergeCell ref="D5:D6"/>
    <mergeCell ref="E5:E6"/>
    <mergeCell ref="F5:F6"/>
    <mergeCell ref="G5:G6"/>
    <mergeCell ref="H5:H6"/>
  </mergeCells>
  <phoneticPr fontId="0" type="noConversion"/>
  <printOptions horizontalCentered="1" gridLinesSet="0"/>
  <pageMargins left="0.39370078740157483" right="0.15748031496062992" top="0.31496062992125984" bottom="0" header="0" footer="0"/>
  <pageSetup paperSize="9" scale="78" orientation="portrait" r:id="rId1"/>
  <headerFooter alignWithMargins="0"/>
  <ignoredErrors>
    <ignoredError sqref="C32:F32 G7:H18 G20:H22 G23:H23 G25:H25 G26:H26 G27:H27 G28:H28 G29:H29 G30:H30 G31:H31 G24:H24 G33:H33 G34:H34 G35:H35 G36:H36 G37:H37 G38:H38 G39:H39 G40:H40 G41:H41 G42:H42 G43:H43 G44:H44 G46:H46 G47:H47 G48:H48 G49:H49 G50:H50 G51:H51" formulaRange="1"/>
    <ignoredError sqref="G19:H19 G32:H32" formula="1" formulaRange="1"/>
    <ignoredError sqref="G45:H45 B49:B50" formula="1"/>
  </ignoredErrors>
  <drawing r:id="rId2"/>
  <legacyDrawing r:id="rId3"/>
  <oleObjects>
    <mc:AlternateContent xmlns:mc="http://schemas.openxmlformats.org/markup-compatibility/2006">
      <mc:Choice Requires="x14">
        <oleObject shapeId="74755" r:id="rId4">
          <objectPr defaultSize="0" autoPict="0" r:id="rId5">
            <anchor moveWithCells="1" sizeWithCells="1">
              <from>
                <xdr:col>1</xdr:col>
                <xdr:colOff>38100</xdr:colOff>
                <xdr:row>0</xdr:row>
                <xdr:rowOff>228600</xdr:rowOff>
              </from>
              <to>
                <xdr:col>2</xdr:col>
                <xdr:colOff>361950</xdr:colOff>
                <xdr:row>0</xdr:row>
                <xdr:rowOff>771525</xdr:rowOff>
              </to>
            </anchor>
          </objectPr>
        </oleObject>
      </mc:Choice>
      <mc:Fallback>
        <oleObject shapeId="7475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8</vt:i4>
      </vt:variant>
    </vt:vector>
  </HeadingPairs>
  <TitlesOfParts>
    <vt:vector size="17" baseType="lpstr">
      <vt:lpstr>Plan1</vt:lpstr>
      <vt:lpstr>Folha 03 Resid-area</vt:lpstr>
      <vt:lpstr>Folha 04 Resid-Pav</vt:lpstr>
      <vt:lpstr>Folha 05 Resid-zona</vt:lpstr>
      <vt:lpstr>Folha 06 Resid-area</vt:lpstr>
      <vt:lpstr>Folha 07 Resid-Pav</vt:lpstr>
      <vt:lpstr>Folha 08 Resid-zona</vt:lpstr>
      <vt:lpstr>Folha 09 area por bairro</vt:lpstr>
      <vt:lpstr>Folha 10 serie hist</vt:lpstr>
      <vt:lpstr>'Folha 03 Resid-area'!Area_de_impressao</vt:lpstr>
      <vt:lpstr>'Folha 04 Resid-Pav'!Area_de_impressao</vt:lpstr>
      <vt:lpstr>'Folha 05 Resid-zona'!Area_de_impressao</vt:lpstr>
      <vt:lpstr>'Folha 06 Resid-area'!Area_de_impressao</vt:lpstr>
      <vt:lpstr>'Folha 07 Resid-Pav'!Area_de_impressao</vt:lpstr>
      <vt:lpstr>'Folha 08 Resid-zona'!Area_de_impressao</vt:lpstr>
      <vt:lpstr>'Folha 09 area por bairro'!Area_de_impressao</vt:lpstr>
      <vt:lpstr>'Folha 10 serie hist'!Area_de_impressao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kellen</dc:creator>
  <cp:lastModifiedBy>BR-59-2015</cp:lastModifiedBy>
  <cp:lastPrinted>2026-07-23T15:47:21Z</cp:lastPrinted>
  <dcterms:created xsi:type="dcterms:W3CDTF">1999-04-03T22:56:06Z</dcterms:created>
  <dcterms:modified xsi:type="dcterms:W3CDTF">2026-08-27T19:06:14Z</dcterms:modified>
</cp:coreProperties>
</file>