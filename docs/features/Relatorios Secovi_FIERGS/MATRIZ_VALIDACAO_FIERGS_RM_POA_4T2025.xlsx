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ARIDADE NUMÉRICA" sheetId="2" state="visible" r:id="rId2"/>
    <sheet xmlns:r="http://schemas.openxmlformats.org/officeDocument/2006/relationships" name="CHECKLIST VISUAL" sheetId="3" state="visible" r:id="rId3"/>
    <sheet xmlns:r="http://schemas.openxmlformats.org/officeDocument/2006/relationships" name="COBERTURA" sheetId="4" state="visible" r:id="rId4"/>
  </sheets>
  <definedNames>
    <definedName name="_xlnm._FilterDatabase" localSheetId="1" hidden="1">'PARIDADE NUMÉRICA'!$A$1:$J$986</definedName>
    <definedName name="_xlnm._FilterDatabase" localSheetId="2" hidden="1">'CHECKLIST VISUAL'!$A$1:$J$76</definedName>
    <definedName name="_xlnm._FilterDatabase" localSheetId="3" hidden="1">'COBERTURA'!$A$1:$G$76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74E13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74E13"/>
      </patternFill>
    </fill>
    <fill>
      <patternFill patternType="solid">
        <fgColor rgb="00EAF2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Matriz de paridade — FIERGS RM Porto Alegre 4T2025</t>
        </is>
      </c>
    </row>
    <row r="2">
      <c r="A2" t="inlineStr">
        <is>
          <t>Fonte oficial</t>
        </is>
      </c>
      <c r="B2" t="inlineStr">
        <is>
          <t>fiergs-rm-porto-alegre-4t25.pptx</t>
        </is>
      </c>
    </row>
    <row r="3">
      <c r="A3" t="inlineStr">
        <is>
          <t>Slides na fonte</t>
        </is>
      </c>
      <c r="B3" t="n">
        <v>75</v>
      </c>
    </row>
    <row r="4">
      <c r="A4" t="inlineStr">
        <is>
          <t>Como usar</t>
        </is>
      </c>
      <c r="B4" t="inlineStr">
        <is>
          <t>Cole/transcreva o valor do PDF novo em 'Obtido'. O status é calculado automaticamente.</t>
        </is>
      </c>
    </row>
    <row r="5">
      <c r="A5" t="inlineStr">
        <is>
          <t>Status</t>
        </is>
      </c>
      <c r="B5" t="inlineStr">
        <is>
          <t>IGUAL, DIVERGENTE, PENDENTE ou NÃO COMPARÁVEL.</t>
        </is>
      </c>
    </row>
    <row r="6">
      <c r="A6" t="inlineStr">
        <is>
          <t>Regra numérica</t>
        </is>
      </c>
      <c r="B6" t="inlineStr">
        <is>
          <t>Diferença absoluta dentro da tolerância. Contagens usam 0; decimais usam 0,005.</t>
        </is>
      </c>
    </row>
    <row r="7">
      <c r="A7" t="inlineStr">
        <is>
          <t>Limite</t>
        </is>
      </c>
      <c r="B7" t="inlineStr">
        <is>
          <t>Slides horizontais 63–66 são raster no deck oficial e exigem conferência visual/manual.</t>
        </is>
      </c>
    </row>
    <row r="8">
      <c r="A8" t="inlineStr">
        <is>
          <t>Limite</t>
        </is>
      </c>
      <c r="B8" t="inlineStr">
        <is>
          <t>Mapas validam legenda e aparência; posição geográfica requer inspeção visual.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20" customWidth="1" min="3" max="3"/>
    <col width="20" customWidth="1" min="4" max="4"/>
    <col width="28" customWidth="1" min="5" max="5"/>
    <col width="32" customWidth="1" min="6" max="6"/>
    <col width="8" customWidth="1" min="7" max="7"/>
    <col width="12" customWidth="1" min="8" max="8"/>
    <col width="45" customWidth="1" min="9" max="9"/>
    <col width="12" customWidth="1" min="10" max="10"/>
  </cols>
  <sheetData>
    <row r="1">
      <c r="A1" s="2" t="inlineStr">
        <is>
          <t>Slide</t>
        </is>
      </c>
      <c r="B1" s="2" t="inlineStr">
        <is>
          <t>Título</t>
        </is>
      </c>
      <c r="C1" s="2" t="inlineStr">
        <is>
          <t>Origem</t>
        </is>
      </c>
      <c r="D1" s="2" t="inlineStr">
        <is>
          <t>Série / linha</t>
        </is>
      </c>
      <c r="E1" s="2" t="inlineStr">
        <is>
          <t>Categoria / coluna</t>
        </is>
      </c>
      <c r="F1" s="2" t="inlineStr">
        <is>
          <t>Esperado</t>
        </is>
      </c>
      <c r="G1" s="2" t="inlineStr">
        <is>
          <t>Obtido</t>
        </is>
      </c>
      <c r="H1" s="2" t="inlineStr">
        <is>
          <t>Tolerância</t>
        </is>
      </c>
      <c r="I1" s="2" t="inlineStr">
        <is>
          <t>Status</t>
        </is>
      </c>
      <c r="J1" s="2" t="inlineStr">
        <is>
          <t>Observação</t>
        </is>
      </c>
    </row>
    <row r="2">
      <c r="A2" s="3" t="n">
        <v>9</v>
      </c>
      <c r="B2" s="3" t="inlineStr">
        <is>
          <t>EMPREENDIMENTOS VERTICAIS LANÇADOS POR TRIMESTRE</t>
        </is>
      </c>
      <c r="C2" s="3" t="inlineStr">
        <is>
          <t>Gráfico 1 / plot 1</t>
        </is>
      </c>
      <c r="D2" s="3" t="inlineStr">
        <is>
          <t>RM de Porto Alegre</t>
        </is>
      </c>
      <c r="E2" s="3" t="inlineStr">
        <is>
          <t>4T/21</t>
        </is>
      </c>
      <c r="F2" s="3" t="n">
        <v>26</v>
      </c>
      <c r="G2" s="3" t="n"/>
      <c r="H2" s="3" t="n">
        <v>0</v>
      </c>
      <c r="I2" s="3">
        <f>IF(G2="","PENDENTE",IF(AND(ISNUMBER(F2),ISNUMBER(G2)),IF(ABS(G2-F2)&lt;=H2,"IGUAL","DIVERGENTE"),IF(TRIM(G2&amp;"")=TRIM(F2&amp;""),"IGUAL","DIVERGENTE")))</f>
        <v/>
      </c>
      <c r="J2" s="3" t="n"/>
    </row>
    <row r="3">
      <c r="A3" s="4" t="n">
        <v>9</v>
      </c>
      <c r="B3" s="4" t="inlineStr">
        <is>
          <t>EMPREENDIMENTOS VERTICAIS LANÇADOS POR TRIMESTRE</t>
        </is>
      </c>
      <c r="C3" s="4" t="inlineStr">
        <is>
          <t>Gráfico 1 / plot 1</t>
        </is>
      </c>
      <c r="D3" s="4" t="inlineStr">
        <is>
          <t>RM de Porto Alegre</t>
        </is>
      </c>
      <c r="E3" s="4" t="inlineStr">
        <is>
          <t>1T/22</t>
        </is>
      </c>
      <c r="F3" s="4" t="n">
        <v>17</v>
      </c>
      <c r="G3" s="4" t="n"/>
      <c r="H3" s="4" t="n">
        <v>0</v>
      </c>
      <c r="I3" s="4">
        <f>IF(G3="","PENDENTE",IF(AND(ISNUMBER(F3),ISNUMBER(G3)),IF(ABS(G3-F3)&lt;=H3,"IGUAL","DIVERGENTE"),IF(TRIM(G3&amp;"")=TRIM(F3&amp;""),"IGUAL","DIVERGENTE")))</f>
        <v/>
      </c>
      <c r="J3" s="4" t="n"/>
    </row>
    <row r="4">
      <c r="A4" s="3" t="n">
        <v>9</v>
      </c>
      <c r="B4" s="3" t="inlineStr">
        <is>
          <t>EMPREENDIMENTOS VERTICAIS LANÇADOS POR TRIMESTRE</t>
        </is>
      </c>
      <c r="C4" s="3" t="inlineStr">
        <is>
          <t>Gráfico 1 / plot 1</t>
        </is>
      </c>
      <c r="D4" s="3" t="inlineStr">
        <is>
          <t>RM de Porto Alegre</t>
        </is>
      </c>
      <c r="E4" s="3" t="inlineStr">
        <is>
          <t>2T/22</t>
        </is>
      </c>
      <c r="F4" s="3" t="n">
        <v>14</v>
      </c>
      <c r="G4" s="3" t="n"/>
      <c r="H4" s="3" t="n">
        <v>0</v>
      </c>
      <c r="I4" s="3">
        <f>IF(G4="","PENDENTE",IF(AND(ISNUMBER(F4),ISNUMBER(G4)),IF(ABS(G4-F4)&lt;=H4,"IGUAL","DIVERGENTE"),IF(TRIM(G4&amp;"")=TRIM(F4&amp;""),"IGUAL","DIVERGENTE")))</f>
        <v/>
      </c>
      <c r="J4" s="3" t="n"/>
    </row>
    <row r="5">
      <c r="A5" s="4" t="n">
        <v>9</v>
      </c>
      <c r="B5" s="4" t="inlineStr">
        <is>
          <t>EMPREENDIMENTOS VERTICAIS LANÇADOS POR TRIMESTRE</t>
        </is>
      </c>
      <c r="C5" s="4" t="inlineStr">
        <is>
          <t>Gráfico 1 / plot 1</t>
        </is>
      </c>
      <c r="D5" s="4" t="inlineStr">
        <is>
          <t>RM de Porto Alegre</t>
        </is>
      </c>
      <c r="E5" s="4" t="inlineStr">
        <is>
          <t>3T/22</t>
        </is>
      </c>
      <c r="F5" s="4" t="n">
        <v>13</v>
      </c>
      <c r="G5" s="4" t="n"/>
      <c r="H5" s="4" t="n">
        <v>0</v>
      </c>
      <c r="I5" s="4">
        <f>IF(G5="","PENDENTE",IF(AND(ISNUMBER(F5),ISNUMBER(G5)),IF(ABS(G5-F5)&lt;=H5,"IGUAL","DIVERGENTE"),IF(TRIM(G5&amp;"")=TRIM(F5&amp;""),"IGUAL","DIVERGENTE")))</f>
        <v/>
      </c>
      <c r="J5" s="4" t="n"/>
    </row>
    <row r="6">
      <c r="A6" s="3" t="n">
        <v>9</v>
      </c>
      <c r="B6" s="3" t="inlineStr">
        <is>
          <t>EMPREENDIMENTOS VERTICAIS LANÇADOS POR TRIMESTRE</t>
        </is>
      </c>
      <c r="C6" s="3" t="inlineStr">
        <is>
          <t>Gráfico 1 / plot 1</t>
        </is>
      </c>
      <c r="D6" s="3" t="inlineStr">
        <is>
          <t>RM de Porto Alegre</t>
        </is>
      </c>
      <c r="E6" s="3" t="inlineStr">
        <is>
          <t>4T/22</t>
        </is>
      </c>
      <c r="F6" s="3" t="n">
        <v>13</v>
      </c>
      <c r="G6" s="3" t="n"/>
      <c r="H6" s="3" t="n">
        <v>0</v>
      </c>
      <c r="I6" s="3">
        <f>IF(G6="","PENDENTE",IF(AND(ISNUMBER(F6),ISNUMBER(G6)),IF(ABS(G6-F6)&lt;=H6,"IGUAL","DIVERGENTE"),IF(TRIM(G6&amp;"")=TRIM(F6&amp;""),"IGUAL","DIVERGENTE")))</f>
        <v/>
      </c>
      <c r="J6" s="3" t="n"/>
    </row>
    <row r="7">
      <c r="A7" s="4" t="n">
        <v>9</v>
      </c>
      <c r="B7" s="4" t="inlineStr">
        <is>
          <t>EMPREENDIMENTOS VERTICAIS LANÇADOS POR TRIMESTRE</t>
        </is>
      </c>
      <c r="C7" s="4" t="inlineStr">
        <is>
          <t>Gráfico 1 / plot 1</t>
        </is>
      </c>
      <c r="D7" s="4" t="inlineStr">
        <is>
          <t>RM de Porto Alegre</t>
        </is>
      </c>
      <c r="E7" s="4" t="inlineStr">
        <is>
          <t>1T/23</t>
        </is>
      </c>
      <c r="F7" s="4" t="n">
        <v>14</v>
      </c>
      <c r="G7" s="4" t="n"/>
      <c r="H7" s="4" t="n">
        <v>0</v>
      </c>
      <c r="I7" s="4">
        <f>IF(G7="","PENDENTE",IF(AND(ISNUMBER(F7),ISNUMBER(G7)),IF(ABS(G7-F7)&lt;=H7,"IGUAL","DIVERGENTE"),IF(TRIM(G7&amp;"")=TRIM(F7&amp;""),"IGUAL","DIVERGENTE")))</f>
        <v/>
      </c>
      <c r="J7" s="4" t="n"/>
    </row>
    <row r="8">
      <c r="A8" s="3" t="n">
        <v>9</v>
      </c>
      <c r="B8" s="3" t="inlineStr">
        <is>
          <t>EMPREENDIMENTOS VERTICAIS LANÇADOS POR TRIMESTRE</t>
        </is>
      </c>
      <c r="C8" s="3" t="inlineStr">
        <is>
          <t>Gráfico 1 / plot 1</t>
        </is>
      </c>
      <c r="D8" s="3" t="inlineStr">
        <is>
          <t>RM de Porto Alegre</t>
        </is>
      </c>
      <c r="E8" s="3" t="inlineStr">
        <is>
          <t>2T/23</t>
        </is>
      </c>
      <c r="F8" s="3" t="n">
        <v>11</v>
      </c>
      <c r="G8" s="3" t="n"/>
      <c r="H8" s="3" t="n">
        <v>0</v>
      </c>
      <c r="I8" s="3">
        <f>IF(G8="","PENDENTE",IF(AND(ISNUMBER(F8),ISNUMBER(G8)),IF(ABS(G8-F8)&lt;=H8,"IGUAL","DIVERGENTE"),IF(TRIM(G8&amp;"")=TRIM(F8&amp;""),"IGUAL","DIVERGENTE")))</f>
        <v/>
      </c>
      <c r="J8" s="3" t="n"/>
    </row>
    <row r="9">
      <c r="A9" s="4" t="n">
        <v>9</v>
      </c>
      <c r="B9" s="4" t="inlineStr">
        <is>
          <t>EMPREENDIMENTOS VERTICAIS LANÇADOS POR TRIMESTRE</t>
        </is>
      </c>
      <c r="C9" s="4" t="inlineStr">
        <is>
          <t>Gráfico 1 / plot 1</t>
        </is>
      </c>
      <c r="D9" s="4" t="inlineStr">
        <is>
          <t>RM de Porto Alegre</t>
        </is>
      </c>
      <c r="E9" s="4" t="inlineStr">
        <is>
          <t>3T/23</t>
        </is>
      </c>
      <c r="F9" s="4" t="n">
        <v>6</v>
      </c>
      <c r="G9" s="4" t="n"/>
      <c r="H9" s="4" t="n">
        <v>0</v>
      </c>
      <c r="I9" s="4">
        <f>IF(G9="","PENDENTE",IF(AND(ISNUMBER(F9),ISNUMBER(G9)),IF(ABS(G9-F9)&lt;=H9,"IGUAL","DIVERGENTE"),IF(TRIM(G9&amp;"")=TRIM(F9&amp;""),"IGUAL","DIVERGENTE")))</f>
        <v/>
      </c>
      <c r="J9" s="4" t="n"/>
    </row>
    <row r="10">
      <c r="A10" s="3" t="n">
        <v>9</v>
      </c>
      <c r="B10" s="3" t="inlineStr">
        <is>
          <t>EMPREENDIMENTOS VERTICAIS LANÇADOS POR TRIMESTRE</t>
        </is>
      </c>
      <c r="C10" s="3" t="inlineStr">
        <is>
          <t>Gráfico 1 / plot 1</t>
        </is>
      </c>
      <c r="D10" s="3" t="inlineStr">
        <is>
          <t>RM de Porto Alegre</t>
        </is>
      </c>
      <c r="E10" s="3" t="inlineStr">
        <is>
          <t>4T/23</t>
        </is>
      </c>
      <c r="F10" s="3" t="n">
        <v>5</v>
      </c>
      <c r="G10" s="3" t="n"/>
      <c r="H10" s="3" t="n">
        <v>0</v>
      </c>
      <c r="I10" s="3">
        <f>IF(G10="","PENDENTE",IF(AND(ISNUMBER(F10),ISNUMBER(G10)),IF(ABS(G10-F10)&lt;=H10,"IGUAL","DIVERGENTE"),IF(TRIM(G10&amp;"")=TRIM(F10&amp;""),"IGUAL","DIVERGENTE")))</f>
        <v/>
      </c>
      <c r="J10" s="3" t="n"/>
    </row>
    <row r="11">
      <c r="A11" s="4" t="n">
        <v>9</v>
      </c>
      <c r="B11" s="4" t="inlineStr">
        <is>
          <t>EMPREENDIMENTOS VERTICAIS LANÇADOS POR TRIMESTRE</t>
        </is>
      </c>
      <c r="C11" s="4" t="inlineStr">
        <is>
          <t>Gráfico 1 / plot 1</t>
        </is>
      </c>
      <c r="D11" s="4" t="inlineStr">
        <is>
          <t>RM de Porto Alegre</t>
        </is>
      </c>
      <c r="E11" s="4" t="inlineStr">
        <is>
          <t>1T/24</t>
        </is>
      </c>
      <c r="F11" s="4" t="n">
        <v>10</v>
      </c>
      <c r="G11" s="4" t="n"/>
      <c r="H11" s="4" t="n">
        <v>0</v>
      </c>
      <c r="I11" s="4">
        <f>IF(G11="","PENDENTE",IF(AND(ISNUMBER(F11),ISNUMBER(G11)),IF(ABS(G11-F11)&lt;=H11,"IGUAL","DIVERGENTE"),IF(TRIM(G11&amp;"")=TRIM(F11&amp;""),"IGUAL","DIVERGENTE")))</f>
        <v/>
      </c>
      <c r="J11" s="4" t="n"/>
    </row>
    <row r="12">
      <c r="A12" s="3" t="n">
        <v>9</v>
      </c>
      <c r="B12" s="3" t="inlineStr">
        <is>
          <t>EMPREENDIMENTOS VERTICAIS LANÇADOS POR TRIMESTRE</t>
        </is>
      </c>
      <c r="C12" s="3" t="inlineStr">
        <is>
          <t>Gráfico 1 / plot 1</t>
        </is>
      </c>
      <c r="D12" s="3" t="inlineStr">
        <is>
          <t>RM de Porto Alegre</t>
        </is>
      </c>
      <c r="E12" s="3" t="inlineStr">
        <is>
          <t>2T/24</t>
        </is>
      </c>
      <c r="F12" s="3" t="n">
        <v>14</v>
      </c>
      <c r="G12" s="3" t="n"/>
      <c r="H12" s="3" t="n">
        <v>0</v>
      </c>
      <c r="I12" s="3">
        <f>IF(G12="","PENDENTE",IF(AND(ISNUMBER(F12),ISNUMBER(G12)),IF(ABS(G12-F12)&lt;=H12,"IGUAL","DIVERGENTE"),IF(TRIM(G12&amp;"")=TRIM(F12&amp;""),"IGUAL","DIVERGENTE")))</f>
        <v/>
      </c>
      <c r="J12" s="3" t="n"/>
    </row>
    <row r="13">
      <c r="A13" s="4" t="n">
        <v>9</v>
      </c>
      <c r="B13" s="4" t="inlineStr">
        <is>
          <t>EMPREENDIMENTOS VERTICAIS LANÇADOS POR TRIMESTRE</t>
        </is>
      </c>
      <c r="C13" s="4" t="inlineStr">
        <is>
          <t>Gráfico 1 / plot 1</t>
        </is>
      </c>
      <c r="D13" s="4" t="inlineStr">
        <is>
          <t>RM de Porto Alegre</t>
        </is>
      </c>
      <c r="E13" s="4" t="inlineStr">
        <is>
          <t>3T/24</t>
        </is>
      </c>
      <c r="F13" s="4" t="n">
        <v>5</v>
      </c>
      <c r="G13" s="4" t="n"/>
      <c r="H13" s="4" t="n">
        <v>0</v>
      </c>
      <c r="I13" s="4">
        <f>IF(G13="","PENDENTE",IF(AND(ISNUMBER(F13),ISNUMBER(G13)),IF(ABS(G13-F13)&lt;=H13,"IGUAL","DIVERGENTE"),IF(TRIM(G13&amp;"")=TRIM(F13&amp;""),"IGUAL","DIVERGENTE")))</f>
        <v/>
      </c>
      <c r="J13" s="4" t="n"/>
    </row>
    <row r="14">
      <c r="A14" s="3" t="n">
        <v>9</v>
      </c>
      <c r="B14" s="3" t="inlineStr">
        <is>
          <t>EMPREENDIMENTOS VERTICAIS LANÇADOS POR TRIMESTRE</t>
        </is>
      </c>
      <c r="C14" s="3" t="inlineStr">
        <is>
          <t>Gráfico 1 / plot 1</t>
        </is>
      </c>
      <c r="D14" s="3" t="inlineStr">
        <is>
          <t>RM de Porto Alegre</t>
        </is>
      </c>
      <c r="E14" s="3" t="inlineStr">
        <is>
          <t>4T/24</t>
        </is>
      </c>
      <c r="F14" s="3" t="n">
        <v>12</v>
      </c>
      <c r="G14" s="3" t="n"/>
      <c r="H14" s="3" t="n">
        <v>0</v>
      </c>
      <c r="I14" s="3">
        <f>IF(G14="","PENDENTE",IF(AND(ISNUMBER(F14),ISNUMBER(G14)),IF(ABS(G14-F14)&lt;=H14,"IGUAL","DIVERGENTE"),IF(TRIM(G14&amp;"")=TRIM(F14&amp;""),"IGUAL","DIVERGENTE")))</f>
        <v/>
      </c>
      <c r="J14" s="3" t="n"/>
    </row>
    <row r="15">
      <c r="A15" s="4" t="n">
        <v>9</v>
      </c>
      <c r="B15" s="4" t="inlineStr">
        <is>
          <t>EMPREENDIMENTOS VERTICAIS LANÇADOS POR TRIMESTRE</t>
        </is>
      </c>
      <c r="C15" s="4" t="inlineStr">
        <is>
          <t>Gráfico 1 / plot 1</t>
        </is>
      </c>
      <c r="D15" s="4" t="inlineStr">
        <is>
          <t>RM de Porto Alegre</t>
        </is>
      </c>
      <c r="E15" s="4" t="inlineStr">
        <is>
          <t>1T/25</t>
        </is>
      </c>
      <c r="F15" s="4" t="n">
        <v>9</v>
      </c>
      <c r="G15" s="4" t="n"/>
      <c r="H15" s="4" t="n">
        <v>0</v>
      </c>
      <c r="I15" s="4">
        <f>IF(G15="","PENDENTE",IF(AND(ISNUMBER(F15),ISNUMBER(G15)),IF(ABS(G15-F15)&lt;=H15,"IGUAL","DIVERGENTE"),IF(TRIM(G15&amp;"")=TRIM(F15&amp;""),"IGUAL","DIVERGENTE")))</f>
        <v/>
      </c>
      <c r="J15" s="4" t="n"/>
    </row>
    <row r="16">
      <c r="A16" s="3" t="n">
        <v>9</v>
      </c>
      <c r="B16" s="3" t="inlineStr">
        <is>
          <t>EMPREENDIMENTOS VERTICAIS LANÇADOS POR TRIMESTRE</t>
        </is>
      </c>
      <c r="C16" s="3" t="inlineStr">
        <is>
          <t>Gráfico 1 / plot 1</t>
        </is>
      </c>
      <c r="D16" s="3" t="inlineStr">
        <is>
          <t>RM de Porto Alegre</t>
        </is>
      </c>
      <c r="E16" s="3" t="inlineStr">
        <is>
          <t>2T/25</t>
        </is>
      </c>
      <c r="F16" s="3" t="n">
        <v>10</v>
      </c>
      <c r="G16" s="3" t="n"/>
      <c r="H16" s="3" t="n">
        <v>0</v>
      </c>
      <c r="I16" s="3">
        <f>IF(G16="","PENDENTE",IF(AND(ISNUMBER(F16),ISNUMBER(G16)),IF(ABS(G16-F16)&lt;=H16,"IGUAL","DIVERGENTE"),IF(TRIM(G16&amp;"")=TRIM(F16&amp;""),"IGUAL","DIVERGENTE")))</f>
        <v/>
      </c>
      <c r="J16" s="3" t="n"/>
    </row>
    <row r="17">
      <c r="A17" s="4" t="n">
        <v>9</v>
      </c>
      <c r="B17" s="4" t="inlineStr">
        <is>
          <t>EMPREENDIMENTOS VERTICAIS LANÇADOS POR TRIMESTRE</t>
        </is>
      </c>
      <c r="C17" s="4" t="inlineStr">
        <is>
          <t>Gráfico 1 / plot 1</t>
        </is>
      </c>
      <c r="D17" s="4" t="inlineStr">
        <is>
          <t>RM de Porto Alegre</t>
        </is>
      </c>
      <c r="E17" s="4" t="inlineStr">
        <is>
          <t>3T/25</t>
        </is>
      </c>
      <c r="F17" s="4" t="n">
        <v>3</v>
      </c>
      <c r="G17" s="4" t="n"/>
      <c r="H17" s="4" t="n">
        <v>0</v>
      </c>
      <c r="I17" s="4">
        <f>IF(G17="","PENDENTE",IF(AND(ISNUMBER(F17),ISNUMBER(G17)),IF(ABS(G17-F17)&lt;=H17,"IGUAL","DIVERGENTE"),IF(TRIM(G17&amp;"")=TRIM(F17&amp;""),"IGUAL","DIVERGENTE")))</f>
        <v/>
      </c>
      <c r="J17" s="4" t="n"/>
    </row>
    <row r="18">
      <c r="A18" s="3" t="n">
        <v>9</v>
      </c>
      <c r="B18" s="3" t="inlineStr">
        <is>
          <t>EMPREENDIMENTOS VERTICAIS LANÇADOS POR TRIMESTRE</t>
        </is>
      </c>
      <c r="C18" s="3" t="inlineStr">
        <is>
          <t>Gráfico 1 / plot 1</t>
        </is>
      </c>
      <c r="D18" s="3" t="inlineStr">
        <is>
          <t>RM de Porto Alegre</t>
        </is>
      </c>
      <c r="E18" s="3" t="inlineStr">
        <is>
          <t>4T/25</t>
        </is>
      </c>
      <c r="F18" s="3" t="n">
        <v>13</v>
      </c>
      <c r="G18" s="3" t="n"/>
      <c r="H18" s="3" t="n">
        <v>0</v>
      </c>
      <c r="I18" s="3">
        <f>IF(G18="","PENDENTE",IF(AND(ISNUMBER(F18),ISNUMBER(G18)),IF(ABS(G18-F18)&lt;=H18,"IGUAL","DIVERGENTE"),IF(TRIM(G18&amp;"")=TRIM(F18&amp;""),"IGUAL","DIVERGENTE")))</f>
        <v/>
      </c>
      <c r="J18" s="3" t="n"/>
    </row>
    <row r="19">
      <c r="A19" s="4" t="n">
        <v>9</v>
      </c>
      <c r="B19" s="4" t="inlineStr">
        <is>
          <t>EMPREENDIMENTOS VERTICAIS LANÇADOS POR TRIMESTRE</t>
        </is>
      </c>
      <c r="C19" s="4" t="inlineStr">
        <is>
          <t>Gráfico 2 / plot 1</t>
        </is>
      </c>
      <c r="D19" s="4" t="inlineStr">
        <is>
          <t>RM de Porto Alegre</t>
        </is>
      </c>
      <c r="E19" s="4" t="inlineStr">
        <is>
          <t>1S 2025</t>
        </is>
      </c>
      <c r="F19" s="4" t="n">
        <v>19</v>
      </c>
      <c r="G19" s="4" t="n"/>
      <c r="H19" s="4" t="n">
        <v>0</v>
      </c>
      <c r="I19" s="4">
        <f>IF(G19="","PENDENTE",IF(AND(ISNUMBER(F19),ISNUMBER(G19)),IF(ABS(G19-F19)&lt;=H19,"IGUAL","DIVERGENTE"),IF(TRIM(G19&amp;"")=TRIM(F19&amp;""),"IGUAL","DIVERGENTE")))</f>
        <v/>
      </c>
      <c r="J19" s="4" t="n"/>
    </row>
    <row r="20">
      <c r="A20" s="3" t="n">
        <v>9</v>
      </c>
      <c r="B20" s="3" t="inlineStr">
        <is>
          <t>EMPREENDIMENTOS VERTICAIS LANÇADOS POR TRIMESTRE</t>
        </is>
      </c>
      <c r="C20" s="3" t="inlineStr">
        <is>
          <t>Gráfico 2 / plot 1</t>
        </is>
      </c>
      <c r="D20" s="3" t="inlineStr">
        <is>
          <t>RM de Porto Alegre</t>
        </is>
      </c>
      <c r="E20" s="3" t="inlineStr">
        <is>
          <t>2S 2025</t>
        </is>
      </c>
      <c r="F20" s="3" t="n">
        <v>16</v>
      </c>
      <c r="G20" s="3" t="n"/>
      <c r="H20" s="3" t="n">
        <v>0</v>
      </c>
      <c r="I20" s="3">
        <f>IF(G20="","PENDENTE",IF(AND(ISNUMBER(F20),ISNUMBER(G20)),IF(ABS(G20-F20)&lt;=H20,"IGUAL","DIVERGENTE"),IF(TRIM(G20&amp;"")=TRIM(F20&amp;""),"IGUAL","DIVERGENTE")))</f>
        <v/>
      </c>
      <c r="J20" s="3" t="n"/>
    </row>
    <row r="21">
      <c r="A21" s="4" t="n">
        <v>9</v>
      </c>
      <c r="B21" s="4" t="inlineStr">
        <is>
          <t>EMPREENDIMENTOS VERTICAIS LANÇADOS POR TRIMESTRE</t>
        </is>
      </c>
      <c r="C21" s="4" t="inlineStr">
        <is>
          <t>Tabela 1</t>
        </is>
      </c>
      <c r="D21" s="4" t="inlineStr">
        <is>
          <t>2021 x 2022</t>
        </is>
      </c>
      <c r="E21" s="4" t="inlineStr">
        <is>
          <t>Coluna 2</t>
        </is>
      </c>
      <c r="F21" s="4" t="inlineStr">
        <is>
          <t>2022 x 2023</t>
        </is>
      </c>
      <c r="G21" s="4" t="n"/>
      <c r="H21" s="4" t="n"/>
      <c r="I21" s="4">
        <f>IF(G21="","PENDENTE",IF(AND(ISNUMBER(F21),ISNUMBER(G21)),IF(ABS(G21-F21)&lt;=H21,"IGUAL","DIVERGENTE"),IF(TRIM(G21&amp;"")=TRIM(F21&amp;""),"IGUAL","DIVERGENTE")))</f>
        <v/>
      </c>
      <c r="J21" s="4" t="n"/>
    </row>
    <row r="22">
      <c r="A22" s="3" t="n">
        <v>9</v>
      </c>
      <c r="B22" s="3" t="inlineStr">
        <is>
          <t>EMPREENDIMENTOS VERTICAIS LANÇADOS POR TRIMESTRE</t>
        </is>
      </c>
      <c r="C22" s="3" t="inlineStr">
        <is>
          <t>Tabela 1</t>
        </is>
      </c>
      <c r="D22" s="3" t="inlineStr">
        <is>
          <t>2021 x 2022</t>
        </is>
      </c>
      <c r="E22" s="3" t="inlineStr">
        <is>
          <t>Coluna 3</t>
        </is>
      </c>
      <c r="F22" s="3" t="inlineStr">
        <is>
          <t>2023 X 2024</t>
        </is>
      </c>
      <c r="G22" s="3" t="n"/>
      <c r="H22" s="3" t="n"/>
      <c r="I22" s="3">
        <f>IF(G22="","PENDENTE",IF(AND(ISNUMBER(F22),ISNUMBER(G22)),IF(ABS(G22-F22)&lt;=H22,"IGUAL","DIVERGENTE"),IF(TRIM(G22&amp;"")=TRIM(F22&amp;""),"IGUAL","DIVERGENTE")))</f>
        <v/>
      </c>
      <c r="J22" s="3" t="n"/>
    </row>
    <row r="23">
      <c r="A23" s="4" t="n">
        <v>9</v>
      </c>
      <c r="B23" s="4" t="inlineStr">
        <is>
          <t>EMPREENDIMENTOS VERTICAIS LANÇADOS POR TRIMESTRE</t>
        </is>
      </c>
      <c r="C23" s="4" t="inlineStr">
        <is>
          <t>Tabela 1</t>
        </is>
      </c>
      <c r="D23" s="4" t="inlineStr">
        <is>
          <t>2021 x 2022</t>
        </is>
      </c>
      <c r="E23" s="4" t="inlineStr">
        <is>
          <t>Coluna 4</t>
        </is>
      </c>
      <c r="F23" s="4" t="inlineStr">
        <is>
          <t>2024 x 2025</t>
        </is>
      </c>
      <c r="G23" s="4" t="n"/>
      <c r="H23" s="4" t="n"/>
      <c r="I23" s="4">
        <f>IF(G23="","PENDENTE",IF(AND(ISNUMBER(F23),ISNUMBER(G23)),IF(ABS(G23-F23)&lt;=H23,"IGUAL","DIVERGENTE"),IF(TRIM(G23&amp;"")=TRIM(F23&amp;""),"IGUAL","DIVERGENTE")))</f>
        <v/>
      </c>
      <c r="J23" s="4" t="n"/>
    </row>
    <row r="24">
      <c r="A24" s="3" t="n">
        <v>9</v>
      </c>
      <c r="B24" s="3" t="inlineStr">
        <is>
          <t>EMPREENDIMENTOS VERTICAIS LANÇADOS POR TRIMESTRE</t>
        </is>
      </c>
      <c r="C24" s="3" t="inlineStr">
        <is>
          <t>Tabela 1</t>
        </is>
      </c>
      <c r="D24" s="3" t="inlineStr">
        <is>
          <t>+2%</t>
        </is>
      </c>
      <c r="E24" s="3" t="inlineStr">
        <is>
          <t>Coluna 2</t>
        </is>
      </c>
      <c r="F24" s="3" t="inlineStr">
        <is>
          <t>-37%</t>
        </is>
      </c>
      <c r="G24" s="3" t="n"/>
      <c r="H24" s="3" t="n"/>
      <c r="I24" s="3">
        <f>IF(G24="","PENDENTE",IF(AND(ISNUMBER(F24),ISNUMBER(G24)),IF(ABS(G24-F24)&lt;=H24,"IGUAL","DIVERGENTE"),IF(TRIM(G24&amp;"")=TRIM(F24&amp;""),"IGUAL","DIVERGENTE")))</f>
        <v/>
      </c>
      <c r="J24" s="3" t="n"/>
    </row>
    <row r="25">
      <c r="A25" s="4" t="n">
        <v>9</v>
      </c>
      <c r="B25" s="4" t="inlineStr">
        <is>
          <t>EMPREENDIMENTOS VERTICAIS LANÇADOS POR TRIMESTRE</t>
        </is>
      </c>
      <c r="C25" s="4" t="inlineStr">
        <is>
          <t>Tabela 1</t>
        </is>
      </c>
      <c r="D25" s="4" t="inlineStr">
        <is>
          <t>+2%</t>
        </is>
      </c>
      <c r="E25" s="4" t="inlineStr">
        <is>
          <t>Coluna 3</t>
        </is>
      </c>
      <c r="F25" s="4" t="inlineStr">
        <is>
          <t>+14%</t>
        </is>
      </c>
      <c r="G25" s="4" t="n"/>
      <c r="H25" s="4" t="n"/>
      <c r="I25" s="4">
        <f>IF(G25="","PENDENTE",IF(AND(ISNUMBER(F25),ISNUMBER(G25)),IF(ABS(G25-F25)&lt;=H25,"IGUAL","DIVERGENTE"),IF(TRIM(G25&amp;"")=TRIM(F25&amp;""),"IGUAL","DIVERGENTE")))</f>
        <v/>
      </c>
      <c r="J25" s="4" t="n"/>
    </row>
    <row r="26">
      <c r="A26" s="3" t="n">
        <v>9</v>
      </c>
      <c r="B26" s="3" t="inlineStr">
        <is>
          <t>EMPREENDIMENTOS VERTICAIS LANÇADOS POR TRIMESTRE</t>
        </is>
      </c>
      <c r="C26" s="3" t="inlineStr">
        <is>
          <t>Tabela 1</t>
        </is>
      </c>
      <c r="D26" s="3" t="inlineStr">
        <is>
          <t>+2%</t>
        </is>
      </c>
      <c r="E26" s="3" t="inlineStr">
        <is>
          <t>Coluna 4</t>
        </is>
      </c>
      <c r="F26" s="3" t="inlineStr">
        <is>
          <t>-15%</t>
        </is>
      </c>
      <c r="G26" s="3" t="n"/>
      <c r="H26" s="3" t="n"/>
      <c r="I26" s="3">
        <f>IF(G26="","PENDENTE",IF(AND(ISNUMBER(F26),ISNUMBER(G26)),IF(ABS(G26-F26)&lt;=H26,"IGUAL","DIVERGENTE"),IF(TRIM(G26&amp;"")=TRIM(F26&amp;""),"IGUAL","DIVERGENTE")))</f>
        <v/>
      </c>
      <c r="J26" s="3" t="n"/>
    </row>
    <row r="27">
      <c r="A27" s="4" t="n">
        <v>10</v>
      </c>
      <c r="B27" s="4" t="inlineStr">
        <is>
          <t>EMPREENDIMENTOS VERTICAIS LANÇADOS POR PADRÃO</t>
        </is>
      </c>
      <c r="C27" s="4" t="inlineStr">
        <is>
          <t>Gráfico 1 / plot 1</t>
        </is>
      </c>
      <c r="D27" s="4" t="inlineStr">
        <is>
          <t>Luxo</t>
        </is>
      </c>
      <c r="E27" s="4" t="inlineStr">
        <is>
          <t>2020</t>
        </is>
      </c>
      <c r="F27" s="4" t="n">
        <v>0</v>
      </c>
      <c r="G27" s="4" t="n"/>
      <c r="H27" s="4" t="n">
        <v>0</v>
      </c>
      <c r="I27" s="4">
        <f>IF(G27="","PENDENTE",IF(AND(ISNUMBER(F27),ISNUMBER(G27)),IF(ABS(G27-F27)&lt;=H27,"IGUAL","DIVERGENTE"),IF(TRIM(G27&amp;"")=TRIM(F27&amp;""),"IGUAL","DIVERGENTE")))</f>
        <v/>
      </c>
      <c r="J27" s="4" t="n"/>
    </row>
    <row r="28">
      <c r="A28" s="3" t="n">
        <v>10</v>
      </c>
      <c r="B28" s="3" t="inlineStr">
        <is>
          <t>EMPREENDIMENTOS VERTICAIS LANÇADOS POR PADRÃO</t>
        </is>
      </c>
      <c r="C28" s="3" t="inlineStr">
        <is>
          <t>Gráfico 1 / plot 1</t>
        </is>
      </c>
      <c r="D28" s="3" t="inlineStr">
        <is>
          <t>Luxo</t>
        </is>
      </c>
      <c r="E28" s="3" t="inlineStr">
        <is>
          <t>2021</t>
        </is>
      </c>
      <c r="F28" s="3" t="n">
        <v>0</v>
      </c>
      <c r="G28" s="3" t="n"/>
      <c r="H28" s="3" t="n">
        <v>0</v>
      </c>
      <c r="I28" s="3">
        <f>IF(G28="","PENDENTE",IF(AND(ISNUMBER(F28),ISNUMBER(G28)),IF(ABS(G28-F28)&lt;=H28,"IGUAL","DIVERGENTE"),IF(TRIM(G28&amp;"")=TRIM(F28&amp;""),"IGUAL","DIVERGENTE")))</f>
        <v/>
      </c>
      <c r="J28" s="3" t="n"/>
    </row>
    <row r="29">
      <c r="A29" s="4" t="n">
        <v>10</v>
      </c>
      <c r="B29" s="4" t="inlineStr">
        <is>
          <t>EMPREENDIMENTOS VERTICAIS LANÇADOS POR PADRÃO</t>
        </is>
      </c>
      <c r="C29" s="4" t="inlineStr">
        <is>
          <t>Gráfico 1 / plot 1</t>
        </is>
      </c>
      <c r="D29" s="4" t="inlineStr">
        <is>
          <t>Luxo</t>
        </is>
      </c>
      <c r="E29" s="4" t="inlineStr">
        <is>
          <t>2022</t>
        </is>
      </c>
      <c r="F29" s="4" t="n">
        <v>0</v>
      </c>
      <c r="G29" s="4" t="n"/>
      <c r="H29" s="4" t="n">
        <v>0</v>
      </c>
      <c r="I29" s="4">
        <f>IF(G29="","PENDENTE",IF(AND(ISNUMBER(F29),ISNUMBER(G29)),IF(ABS(G29-F29)&lt;=H29,"IGUAL","DIVERGENTE"),IF(TRIM(G29&amp;"")=TRIM(F29&amp;""),"IGUAL","DIVERGENTE")))</f>
        <v/>
      </c>
      <c r="J29" s="4" t="n"/>
    </row>
    <row r="30">
      <c r="A30" s="3" t="n">
        <v>10</v>
      </c>
      <c r="B30" s="3" t="inlineStr">
        <is>
          <t>EMPREENDIMENTOS VERTICAIS LANÇADOS POR PADRÃO</t>
        </is>
      </c>
      <c r="C30" s="3" t="inlineStr">
        <is>
          <t>Gráfico 1 / plot 1</t>
        </is>
      </c>
      <c r="D30" s="3" t="inlineStr">
        <is>
          <t>Luxo</t>
        </is>
      </c>
      <c r="E30" s="3" t="inlineStr">
        <is>
          <t>2023</t>
        </is>
      </c>
      <c r="F30" s="3" t="n">
        <v>0</v>
      </c>
      <c r="G30" s="3" t="n"/>
      <c r="H30" s="3" t="n">
        <v>0</v>
      </c>
      <c r="I30" s="3">
        <f>IF(G30="","PENDENTE",IF(AND(ISNUMBER(F30),ISNUMBER(G30)),IF(ABS(G30-F30)&lt;=H30,"IGUAL","DIVERGENTE"),IF(TRIM(G30&amp;"")=TRIM(F30&amp;""),"IGUAL","DIVERGENTE")))</f>
        <v/>
      </c>
      <c r="J30" s="3" t="n"/>
    </row>
    <row r="31">
      <c r="A31" s="4" t="n">
        <v>10</v>
      </c>
      <c r="B31" s="4" t="inlineStr">
        <is>
          <t>EMPREENDIMENTOS VERTICAIS LANÇADOS POR PADRÃO</t>
        </is>
      </c>
      <c r="C31" s="4" t="inlineStr">
        <is>
          <t>Gráfico 1 / plot 1</t>
        </is>
      </c>
      <c r="D31" s="4" t="inlineStr">
        <is>
          <t>Luxo</t>
        </is>
      </c>
      <c r="E31" s="4" t="inlineStr">
        <is>
          <t>2024</t>
        </is>
      </c>
      <c r="F31" s="4" t="n">
        <v>0.02439024390243903</v>
      </c>
      <c r="G31" s="4" t="n"/>
      <c r="H31" s="4" t="n">
        <v>0.005</v>
      </c>
      <c r="I31" s="4">
        <f>IF(G31="","PENDENTE",IF(AND(ISNUMBER(F31),ISNUMBER(G31)),IF(ABS(G31-F31)&lt;=H31,"IGUAL","DIVERGENTE"),IF(TRIM(G31&amp;"")=TRIM(F31&amp;""),"IGUAL","DIVERGENTE")))</f>
        <v/>
      </c>
      <c r="J31" s="4" t="n"/>
    </row>
    <row r="32">
      <c r="A32" s="3" t="n">
        <v>10</v>
      </c>
      <c r="B32" s="3" t="inlineStr">
        <is>
          <t>EMPREENDIMENTOS VERTICAIS LANÇADOS POR PADRÃO</t>
        </is>
      </c>
      <c r="C32" s="3" t="inlineStr">
        <is>
          <t>Gráfico 1 / plot 1</t>
        </is>
      </c>
      <c r="D32" s="3" t="inlineStr">
        <is>
          <t>Luxo</t>
        </is>
      </c>
      <c r="E32" s="3" t="inlineStr">
        <is>
          <t>2025</t>
        </is>
      </c>
      <c r="F32" s="3" t="n">
        <v>0</v>
      </c>
      <c r="G32" s="3" t="n"/>
      <c r="H32" s="3" t="n">
        <v>0</v>
      </c>
      <c r="I32" s="3">
        <f>IF(G32="","PENDENTE",IF(AND(ISNUMBER(F32),ISNUMBER(G32)),IF(ABS(G32-F32)&lt;=H32,"IGUAL","DIVERGENTE"),IF(TRIM(G32&amp;"")=TRIM(F32&amp;""),"IGUAL","DIVERGENTE")))</f>
        <v/>
      </c>
      <c r="J32" s="3" t="n"/>
    </row>
    <row r="33">
      <c r="A33" s="4" t="n">
        <v>10</v>
      </c>
      <c r="B33" s="4" t="inlineStr">
        <is>
          <t>EMPREENDIMENTOS VERTICAIS LANÇADOS POR PADRÃO</t>
        </is>
      </c>
      <c r="C33" s="4" t="inlineStr">
        <is>
          <t>Gráfico 1 / plot 1</t>
        </is>
      </c>
      <c r="D33" s="4" t="inlineStr">
        <is>
          <t>Médio Padrão</t>
        </is>
      </c>
      <c r="E33" s="4" t="inlineStr">
        <is>
          <t>2020</t>
        </is>
      </c>
      <c r="F33" s="4" t="n">
        <v>0.4230769230769231</v>
      </c>
      <c r="G33" s="4" t="n"/>
      <c r="H33" s="4" t="n">
        <v>0.005</v>
      </c>
      <c r="I33" s="4">
        <f>IF(G33="","PENDENTE",IF(AND(ISNUMBER(F33),ISNUMBER(G33)),IF(ABS(G33-F33)&lt;=H33,"IGUAL","DIVERGENTE"),IF(TRIM(G33&amp;"")=TRIM(F33&amp;""),"IGUAL","DIVERGENTE")))</f>
        <v/>
      </c>
      <c r="J33" s="4" t="n"/>
    </row>
    <row r="34">
      <c r="A34" s="3" t="n">
        <v>10</v>
      </c>
      <c r="B34" s="3" t="inlineStr">
        <is>
          <t>EMPREENDIMENTOS VERTICAIS LANÇADOS POR PADRÃO</t>
        </is>
      </c>
      <c r="C34" s="3" t="inlineStr">
        <is>
          <t>Gráfico 1 / plot 1</t>
        </is>
      </c>
      <c r="D34" s="3" t="inlineStr">
        <is>
          <t>Médio Padrão</t>
        </is>
      </c>
      <c r="E34" s="3" t="inlineStr">
        <is>
          <t>2021</t>
        </is>
      </c>
      <c r="F34" s="3" t="n">
        <v>0.4464285714285715</v>
      </c>
      <c r="G34" s="3" t="n"/>
      <c r="H34" s="3" t="n">
        <v>0.005</v>
      </c>
      <c r="I34" s="3">
        <f>IF(G34="","PENDENTE",IF(AND(ISNUMBER(F34),ISNUMBER(G34)),IF(ABS(G34-F34)&lt;=H34,"IGUAL","DIVERGENTE"),IF(TRIM(G34&amp;"")=TRIM(F34&amp;""),"IGUAL","DIVERGENTE")))</f>
        <v/>
      </c>
      <c r="J34" s="3" t="n"/>
    </row>
    <row r="35">
      <c r="A35" s="4" t="n">
        <v>10</v>
      </c>
      <c r="B35" s="4" t="inlineStr">
        <is>
          <t>EMPREENDIMENTOS VERTICAIS LANÇADOS POR PADRÃO</t>
        </is>
      </c>
      <c r="C35" s="4" t="inlineStr">
        <is>
          <t>Gráfico 1 / plot 1</t>
        </is>
      </c>
      <c r="D35" s="4" t="inlineStr">
        <is>
          <t>Médio Padrão</t>
        </is>
      </c>
      <c r="E35" s="4" t="inlineStr">
        <is>
          <t>2022</t>
        </is>
      </c>
      <c r="F35" s="4" t="n">
        <v>0.456140350877193</v>
      </c>
      <c r="G35" s="4" t="n"/>
      <c r="H35" s="4" t="n">
        <v>0.005</v>
      </c>
      <c r="I35" s="4">
        <f>IF(G35="","PENDENTE",IF(AND(ISNUMBER(F35),ISNUMBER(G35)),IF(ABS(G35-F35)&lt;=H35,"IGUAL","DIVERGENTE"),IF(TRIM(G35&amp;"")=TRIM(F35&amp;""),"IGUAL","DIVERGENTE")))</f>
        <v/>
      </c>
      <c r="J35" s="4" t="n"/>
    </row>
    <row r="36">
      <c r="A36" s="3" t="n">
        <v>10</v>
      </c>
      <c r="B36" s="3" t="inlineStr">
        <is>
          <t>EMPREENDIMENTOS VERTICAIS LANÇADOS POR PADRÃO</t>
        </is>
      </c>
      <c r="C36" s="3" t="inlineStr">
        <is>
          <t>Gráfico 1 / plot 1</t>
        </is>
      </c>
      <c r="D36" s="3" t="inlineStr">
        <is>
          <t>Médio Padrão</t>
        </is>
      </c>
      <c r="E36" s="3" t="inlineStr">
        <is>
          <t>2023</t>
        </is>
      </c>
      <c r="F36" s="3" t="n">
        <v>0.4722222222222222</v>
      </c>
      <c r="G36" s="3" t="n"/>
      <c r="H36" s="3" t="n">
        <v>0.005</v>
      </c>
      <c r="I36" s="3">
        <f>IF(G36="","PENDENTE",IF(AND(ISNUMBER(F36),ISNUMBER(G36)),IF(ABS(G36-F36)&lt;=H36,"IGUAL","DIVERGENTE"),IF(TRIM(G36&amp;"")=TRIM(F36&amp;""),"IGUAL","DIVERGENTE")))</f>
        <v/>
      </c>
      <c r="J36" s="3" t="n"/>
    </row>
    <row r="37">
      <c r="A37" s="4" t="n">
        <v>10</v>
      </c>
      <c r="B37" s="4" t="inlineStr">
        <is>
          <t>EMPREENDIMENTOS VERTICAIS LANÇADOS POR PADRÃO</t>
        </is>
      </c>
      <c r="C37" s="4" t="inlineStr">
        <is>
          <t>Gráfico 1 / plot 1</t>
        </is>
      </c>
      <c r="D37" s="4" t="inlineStr">
        <is>
          <t>Médio Padrão</t>
        </is>
      </c>
      <c r="E37" s="4" t="inlineStr">
        <is>
          <t>2024</t>
        </is>
      </c>
      <c r="F37" s="4" t="n">
        <v>0.2926829268292683</v>
      </c>
      <c r="G37" s="4" t="n"/>
      <c r="H37" s="4" t="n">
        <v>0.005</v>
      </c>
      <c r="I37" s="4">
        <f>IF(G37="","PENDENTE",IF(AND(ISNUMBER(F37),ISNUMBER(G37)),IF(ABS(G37-F37)&lt;=H37,"IGUAL","DIVERGENTE"),IF(TRIM(G37&amp;"")=TRIM(F37&amp;""),"IGUAL","DIVERGENTE")))</f>
        <v/>
      </c>
      <c r="J37" s="4" t="n"/>
    </row>
    <row r="38">
      <c r="A38" s="3" t="n">
        <v>10</v>
      </c>
      <c r="B38" s="3" t="inlineStr">
        <is>
          <t>EMPREENDIMENTOS VERTICAIS LANÇADOS POR PADRÃO</t>
        </is>
      </c>
      <c r="C38" s="3" t="inlineStr">
        <is>
          <t>Gráfico 1 / plot 1</t>
        </is>
      </c>
      <c r="D38" s="3" t="inlineStr">
        <is>
          <t>Médio Padrão</t>
        </is>
      </c>
      <c r="E38" s="3" t="inlineStr">
        <is>
          <t>2025</t>
        </is>
      </c>
      <c r="F38" s="3" t="n">
        <v>0.3714285714285714</v>
      </c>
      <c r="G38" s="3" t="n"/>
      <c r="H38" s="3" t="n">
        <v>0.005</v>
      </c>
      <c r="I38" s="3">
        <f>IF(G38="","PENDENTE",IF(AND(ISNUMBER(F38),ISNUMBER(G38)),IF(ABS(G38-F38)&lt;=H38,"IGUAL","DIVERGENTE"),IF(TRIM(G38&amp;"")=TRIM(F38&amp;""),"IGUAL","DIVERGENTE")))</f>
        <v/>
      </c>
      <c r="J38" s="3" t="n"/>
    </row>
    <row r="39">
      <c r="A39" s="4" t="n">
        <v>10</v>
      </c>
      <c r="B39" s="4" t="inlineStr">
        <is>
          <t>EMPREENDIMENTOS VERTICAIS LANÇADOS POR PADRÃO</t>
        </is>
      </c>
      <c r="C39" s="4" t="inlineStr">
        <is>
          <t>Gráfico 1 / plot 1</t>
        </is>
      </c>
      <c r="D39" s="4" t="inlineStr">
        <is>
          <t>MCMV</t>
        </is>
      </c>
      <c r="E39" s="4" t="inlineStr">
        <is>
          <t>2020</t>
        </is>
      </c>
      <c r="F39" s="4" t="n">
        <v>0.5576923076923077</v>
      </c>
      <c r="G39" s="4" t="n"/>
      <c r="H39" s="4" t="n">
        <v>0.005</v>
      </c>
      <c r="I39" s="4">
        <f>IF(G39="","PENDENTE",IF(AND(ISNUMBER(F39),ISNUMBER(G39)),IF(ABS(G39-F39)&lt;=H39,"IGUAL","DIVERGENTE"),IF(TRIM(G39&amp;"")=TRIM(F39&amp;""),"IGUAL","DIVERGENTE")))</f>
        <v/>
      </c>
      <c r="J39" s="4" t="n"/>
    </row>
    <row r="40">
      <c r="A40" s="3" t="n">
        <v>10</v>
      </c>
      <c r="B40" s="3" t="inlineStr">
        <is>
          <t>EMPREENDIMENTOS VERTICAIS LANÇADOS POR PADRÃO</t>
        </is>
      </c>
      <c r="C40" s="3" t="inlineStr">
        <is>
          <t>Gráfico 1 / plot 1</t>
        </is>
      </c>
      <c r="D40" s="3" t="inlineStr">
        <is>
          <t>MCMV</t>
        </is>
      </c>
      <c r="E40" s="3" t="inlineStr">
        <is>
          <t>2021</t>
        </is>
      </c>
      <c r="F40" s="3" t="n">
        <v>0.5178571428571429</v>
      </c>
      <c r="G40" s="3" t="n"/>
      <c r="H40" s="3" t="n">
        <v>0.005</v>
      </c>
      <c r="I40" s="3">
        <f>IF(G40="","PENDENTE",IF(AND(ISNUMBER(F40),ISNUMBER(G40)),IF(ABS(G40-F40)&lt;=H40,"IGUAL","DIVERGENTE"),IF(TRIM(G40&amp;"")=TRIM(F40&amp;""),"IGUAL","DIVERGENTE")))</f>
        <v/>
      </c>
      <c r="J40" s="3" t="n"/>
    </row>
    <row r="41">
      <c r="A41" s="4" t="n">
        <v>10</v>
      </c>
      <c r="B41" s="4" t="inlineStr">
        <is>
          <t>EMPREENDIMENTOS VERTICAIS LANÇADOS POR PADRÃO</t>
        </is>
      </c>
      <c r="C41" s="4" t="inlineStr">
        <is>
          <t>Gráfico 1 / plot 1</t>
        </is>
      </c>
      <c r="D41" s="4" t="inlineStr">
        <is>
          <t>MCMV</t>
        </is>
      </c>
      <c r="E41" s="4" t="inlineStr">
        <is>
          <t>2022</t>
        </is>
      </c>
      <c r="F41" s="4" t="n">
        <v>0.4385964912280702</v>
      </c>
      <c r="G41" s="4" t="n"/>
      <c r="H41" s="4" t="n">
        <v>0.005</v>
      </c>
      <c r="I41" s="4">
        <f>IF(G41="","PENDENTE",IF(AND(ISNUMBER(F41),ISNUMBER(G41)),IF(ABS(G41-F41)&lt;=H41,"IGUAL","DIVERGENTE"),IF(TRIM(G41&amp;"")=TRIM(F41&amp;""),"IGUAL","DIVERGENTE")))</f>
        <v/>
      </c>
      <c r="J41" s="4" t="n"/>
    </row>
    <row r="42">
      <c r="A42" s="3" t="n">
        <v>10</v>
      </c>
      <c r="B42" s="3" t="inlineStr">
        <is>
          <t>EMPREENDIMENTOS VERTICAIS LANÇADOS POR PADRÃO</t>
        </is>
      </c>
      <c r="C42" s="3" t="inlineStr">
        <is>
          <t>Gráfico 1 / plot 1</t>
        </is>
      </c>
      <c r="D42" s="3" t="inlineStr">
        <is>
          <t>MCMV</t>
        </is>
      </c>
      <c r="E42" s="3" t="inlineStr">
        <is>
          <t>2023</t>
        </is>
      </c>
      <c r="F42" s="3" t="n">
        <v>0.4722222222222222</v>
      </c>
      <c r="G42" s="3" t="n"/>
      <c r="H42" s="3" t="n">
        <v>0.005</v>
      </c>
      <c r="I42" s="3">
        <f>IF(G42="","PENDENTE",IF(AND(ISNUMBER(F42),ISNUMBER(G42)),IF(ABS(G42-F42)&lt;=H42,"IGUAL","DIVERGENTE"),IF(TRIM(G42&amp;"")=TRIM(F42&amp;""),"IGUAL","DIVERGENTE")))</f>
        <v/>
      </c>
      <c r="J42" s="3" t="n"/>
    </row>
    <row r="43">
      <c r="A43" s="4" t="n">
        <v>10</v>
      </c>
      <c r="B43" s="4" t="inlineStr">
        <is>
          <t>EMPREENDIMENTOS VERTICAIS LANÇADOS POR PADRÃO</t>
        </is>
      </c>
      <c r="C43" s="4" t="inlineStr">
        <is>
          <t>Gráfico 1 / plot 1</t>
        </is>
      </c>
      <c r="D43" s="4" t="inlineStr">
        <is>
          <t>MCMV</t>
        </is>
      </c>
      <c r="E43" s="4" t="inlineStr">
        <is>
          <t>2024</t>
        </is>
      </c>
      <c r="F43" s="4" t="n">
        <v>0.5853658536585366</v>
      </c>
      <c r="G43" s="4" t="n"/>
      <c r="H43" s="4" t="n">
        <v>0.005</v>
      </c>
      <c r="I43" s="4">
        <f>IF(G43="","PENDENTE",IF(AND(ISNUMBER(F43),ISNUMBER(G43)),IF(ABS(G43-F43)&lt;=H43,"IGUAL","DIVERGENTE"),IF(TRIM(G43&amp;"")=TRIM(F43&amp;""),"IGUAL","DIVERGENTE")))</f>
        <v/>
      </c>
      <c r="J43" s="4" t="n"/>
    </row>
    <row r="44">
      <c r="A44" s="3" t="n">
        <v>10</v>
      </c>
      <c r="B44" s="3" t="inlineStr">
        <is>
          <t>EMPREENDIMENTOS VERTICAIS LANÇADOS POR PADRÃO</t>
        </is>
      </c>
      <c r="C44" s="3" t="inlineStr">
        <is>
          <t>Gráfico 1 / plot 1</t>
        </is>
      </c>
      <c r="D44" s="3" t="inlineStr">
        <is>
          <t>MCMV</t>
        </is>
      </c>
      <c r="E44" s="3" t="inlineStr">
        <is>
          <t>2025</t>
        </is>
      </c>
      <c r="F44" s="3" t="n">
        <v>0.6285714285714286</v>
      </c>
      <c r="G44" s="3" t="n"/>
      <c r="H44" s="3" t="n">
        <v>0.005</v>
      </c>
      <c r="I44" s="3">
        <f>IF(G44="","PENDENTE",IF(AND(ISNUMBER(F44),ISNUMBER(G44)),IF(ABS(G44-F44)&lt;=H44,"IGUAL","DIVERGENTE"),IF(TRIM(G44&amp;"")=TRIM(F44&amp;""),"IGUAL","DIVERGENTE")))</f>
        <v/>
      </c>
      <c r="J44" s="3" t="n"/>
    </row>
    <row r="45">
      <c r="A45" s="4" t="n">
        <v>10</v>
      </c>
      <c r="B45" s="4" t="inlineStr">
        <is>
          <t>EMPREENDIMENTOS VERTICAIS LANÇADOS POR PADRÃO</t>
        </is>
      </c>
      <c r="C45" s="4" t="inlineStr">
        <is>
          <t>Gráfico 1 / plot 1</t>
        </is>
      </c>
      <c r="D45" s="4" t="inlineStr">
        <is>
          <t>Compactos</t>
        </is>
      </c>
      <c r="E45" s="4" t="inlineStr">
        <is>
          <t>2020</t>
        </is>
      </c>
      <c r="F45" s="4" t="n">
        <v>0.01923076923076923</v>
      </c>
      <c r="G45" s="4" t="n"/>
      <c r="H45" s="4" t="n">
        <v>0.005</v>
      </c>
      <c r="I45" s="4">
        <f>IF(G45="","PENDENTE",IF(AND(ISNUMBER(F45),ISNUMBER(G45)),IF(ABS(G45-F45)&lt;=H45,"IGUAL","DIVERGENTE"),IF(TRIM(G45&amp;"")=TRIM(F45&amp;""),"IGUAL","DIVERGENTE")))</f>
        <v/>
      </c>
      <c r="J45" s="4" t="n"/>
    </row>
    <row r="46">
      <c r="A46" s="3" t="n">
        <v>10</v>
      </c>
      <c r="B46" s="3" t="inlineStr">
        <is>
          <t>EMPREENDIMENTOS VERTICAIS LANÇADOS POR PADRÃO</t>
        </is>
      </c>
      <c r="C46" s="3" t="inlineStr">
        <is>
          <t>Gráfico 1 / plot 1</t>
        </is>
      </c>
      <c r="D46" s="3" t="inlineStr">
        <is>
          <t>Compactos</t>
        </is>
      </c>
      <c r="E46" s="3" t="inlineStr">
        <is>
          <t>2021</t>
        </is>
      </c>
      <c r="F46" s="3" t="n">
        <v>0.03571428571428571</v>
      </c>
      <c r="G46" s="3" t="n"/>
      <c r="H46" s="3" t="n">
        <v>0.005</v>
      </c>
      <c r="I46" s="3">
        <f>IF(G46="","PENDENTE",IF(AND(ISNUMBER(F46),ISNUMBER(G46)),IF(ABS(G46-F46)&lt;=H46,"IGUAL","DIVERGENTE"),IF(TRIM(G46&amp;"")=TRIM(F46&amp;""),"IGUAL","DIVERGENTE")))</f>
        <v/>
      </c>
      <c r="J46" s="3" t="n"/>
    </row>
    <row r="47">
      <c r="A47" s="4" t="n">
        <v>10</v>
      </c>
      <c r="B47" s="4" t="inlineStr">
        <is>
          <t>EMPREENDIMENTOS VERTICAIS LANÇADOS POR PADRÃO</t>
        </is>
      </c>
      <c r="C47" s="4" t="inlineStr">
        <is>
          <t>Gráfico 1 / plot 1</t>
        </is>
      </c>
      <c r="D47" s="4" t="inlineStr">
        <is>
          <t>Compactos</t>
        </is>
      </c>
      <c r="E47" s="4" t="inlineStr">
        <is>
          <t>2022</t>
        </is>
      </c>
      <c r="F47" s="4" t="n">
        <v>0.1052631578947368</v>
      </c>
      <c r="G47" s="4" t="n"/>
      <c r="H47" s="4" t="n">
        <v>0.005</v>
      </c>
      <c r="I47" s="4">
        <f>IF(G47="","PENDENTE",IF(AND(ISNUMBER(F47),ISNUMBER(G47)),IF(ABS(G47-F47)&lt;=H47,"IGUAL","DIVERGENTE"),IF(TRIM(G47&amp;"")=TRIM(F47&amp;""),"IGUAL","DIVERGENTE")))</f>
        <v/>
      </c>
      <c r="J47" s="4" t="n"/>
    </row>
    <row r="48">
      <c r="A48" s="3" t="n">
        <v>10</v>
      </c>
      <c r="B48" s="3" t="inlineStr">
        <is>
          <t>EMPREENDIMENTOS VERTICAIS LANÇADOS POR PADRÃO</t>
        </is>
      </c>
      <c r="C48" s="3" t="inlineStr">
        <is>
          <t>Gráfico 1 / plot 1</t>
        </is>
      </c>
      <c r="D48" s="3" t="inlineStr">
        <is>
          <t>Compactos</t>
        </is>
      </c>
      <c r="E48" s="3" t="inlineStr">
        <is>
          <t>2023</t>
        </is>
      </c>
      <c r="F48" s="3" t="n">
        <v>0.05555555555555555</v>
      </c>
      <c r="G48" s="3" t="n"/>
      <c r="H48" s="3" t="n">
        <v>0.005</v>
      </c>
      <c r="I48" s="3">
        <f>IF(G48="","PENDENTE",IF(AND(ISNUMBER(F48),ISNUMBER(G48)),IF(ABS(G48-F48)&lt;=H48,"IGUAL","DIVERGENTE"),IF(TRIM(G48&amp;"")=TRIM(F48&amp;""),"IGUAL","DIVERGENTE")))</f>
        <v/>
      </c>
      <c r="J48" s="3" t="n"/>
    </row>
    <row r="49">
      <c r="A49" s="4" t="n">
        <v>10</v>
      </c>
      <c r="B49" s="4" t="inlineStr">
        <is>
          <t>EMPREENDIMENTOS VERTICAIS LANÇADOS POR PADRÃO</t>
        </is>
      </c>
      <c r="C49" s="4" t="inlineStr">
        <is>
          <t>Gráfico 1 / plot 1</t>
        </is>
      </c>
      <c r="D49" s="4" t="inlineStr">
        <is>
          <t>Compactos</t>
        </is>
      </c>
      <c r="E49" s="4" t="inlineStr">
        <is>
          <t>2024</t>
        </is>
      </c>
      <c r="F49" s="4" t="n">
        <v>0.0975609756097561</v>
      </c>
      <c r="G49" s="4" t="n"/>
      <c r="H49" s="4" t="n">
        <v>0.005</v>
      </c>
      <c r="I49" s="4">
        <f>IF(G49="","PENDENTE",IF(AND(ISNUMBER(F49),ISNUMBER(G49)),IF(ABS(G49-F49)&lt;=H49,"IGUAL","DIVERGENTE"),IF(TRIM(G49&amp;"")=TRIM(F49&amp;""),"IGUAL","DIVERGENTE")))</f>
        <v/>
      </c>
      <c r="J49" s="4" t="n"/>
    </row>
    <row r="50">
      <c r="A50" s="3" t="n">
        <v>10</v>
      </c>
      <c r="B50" s="3" t="inlineStr">
        <is>
          <t>EMPREENDIMENTOS VERTICAIS LANÇADOS POR PADRÃO</t>
        </is>
      </c>
      <c r="C50" s="3" t="inlineStr">
        <is>
          <t>Gráfico 1 / plot 1</t>
        </is>
      </c>
      <c r="D50" s="3" t="inlineStr">
        <is>
          <t>Compactos</t>
        </is>
      </c>
      <c r="E50" s="3" t="inlineStr">
        <is>
          <t>2025</t>
        </is>
      </c>
      <c r="F50" s="3" t="n">
        <v>0</v>
      </c>
      <c r="G50" s="3" t="n"/>
      <c r="H50" s="3" t="n">
        <v>0</v>
      </c>
      <c r="I50" s="3">
        <f>IF(G50="","PENDENTE",IF(AND(ISNUMBER(F50),ISNUMBER(G50)),IF(ABS(G50-F50)&lt;=H50,"IGUAL","DIVERGENTE"),IF(TRIM(G50&amp;"")=TRIM(F50&amp;""),"IGUAL","DIVERGENTE")))</f>
        <v/>
      </c>
      <c r="J50" s="3" t="n"/>
    </row>
    <row r="51">
      <c r="A51" s="4" t="n">
        <v>11</v>
      </c>
      <c r="B51" s="4" t="inlineStr">
        <is>
          <t>EMPREENDIMENTOS VERTICAIS LANÇADOS ACUMULADO 12 MESES</t>
        </is>
      </c>
      <c r="C51" s="4" t="inlineStr">
        <is>
          <t>Gráfico 1 / plot 1</t>
        </is>
      </c>
      <c r="D51" s="4" t="inlineStr">
        <is>
          <t>RM de Porto Alegre</t>
        </is>
      </c>
      <c r="E51" s="4" t="inlineStr">
        <is>
          <t>4T/2021</t>
        </is>
      </c>
      <c r="F51" s="4" t="n">
        <v>56</v>
      </c>
      <c r="G51" s="4" t="n"/>
      <c r="H51" s="4" t="n">
        <v>0</v>
      </c>
      <c r="I51" s="4">
        <f>IF(G51="","PENDENTE",IF(AND(ISNUMBER(F51),ISNUMBER(G51)),IF(ABS(G51-F51)&lt;=H51,"IGUAL","DIVERGENTE"),IF(TRIM(G51&amp;"")=TRIM(F51&amp;""),"IGUAL","DIVERGENTE")))</f>
        <v/>
      </c>
      <c r="J51" s="4" t="n"/>
    </row>
    <row r="52">
      <c r="A52" s="3" t="n">
        <v>11</v>
      </c>
      <c r="B52" s="3" t="inlineStr">
        <is>
          <t>EMPREENDIMENTOS VERTICAIS LANÇADOS ACUMULADO 12 MESES</t>
        </is>
      </c>
      <c r="C52" s="3" t="inlineStr">
        <is>
          <t>Gráfico 1 / plot 1</t>
        </is>
      </c>
      <c r="D52" s="3" t="inlineStr">
        <is>
          <t>RM de Porto Alegre</t>
        </is>
      </c>
      <c r="E52" s="3" t="inlineStr">
        <is>
          <t>1T/2022</t>
        </is>
      </c>
      <c r="F52" s="3" t="n">
        <v>69</v>
      </c>
      <c r="G52" s="3" t="n"/>
      <c r="H52" s="3" t="n">
        <v>0</v>
      </c>
      <c r="I52" s="3">
        <f>IF(G52="","PENDENTE",IF(AND(ISNUMBER(F52),ISNUMBER(G52)),IF(ABS(G52-F52)&lt;=H52,"IGUAL","DIVERGENTE"),IF(TRIM(G52&amp;"")=TRIM(F52&amp;""),"IGUAL","DIVERGENTE")))</f>
        <v/>
      </c>
      <c r="J52" s="3" t="n"/>
    </row>
    <row r="53">
      <c r="A53" s="4" t="n">
        <v>11</v>
      </c>
      <c r="B53" s="4" t="inlineStr">
        <is>
          <t>EMPREENDIMENTOS VERTICAIS LANÇADOS ACUMULADO 12 MESES</t>
        </is>
      </c>
      <c r="C53" s="4" t="inlineStr">
        <is>
          <t>Gráfico 1 / plot 1</t>
        </is>
      </c>
      <c r="D53" s="4" t="inlineStr">
        <is>
          <t>RM de Porto Alegre</t>
        </is>
      </c>
      <c r="E53" s="4" t="inlineStr">
        <is>
          <t>2T/2022</t>
        </is>
      </c>
      <c r="F53" s="4" t="n">
        <v>68</v>
      </c>
      <c r="G53" s="4" t="n"/>
      <c r="H53" s="4" t="n">
        <v>0</v>
      </c>
      <c r="I53" s="4">
        <f>IF(G53="","PENDENTE",IF(AND(ISNUMBER(F53),ISNUMBER(G53)),IF(ABS(G53-F53)&lt;=H53,"IGUAL","DIVERGENTE"),IF(TRIM(G53&amp;"")=TRIM(F53&amp;""),"IGUAL","DIVERGENTE")))</f>
        <v/>
      </c>
      <c r="J53" s="4" t="n"/>
    </row>
    <row r="54">
      <c r="A54" s="3" t="n">
        <v>11</v>
      </c>
      <c r="B54" s="3" t="inlineStr">
        <is>
          <t>EMPREENDIMENTOS VERTICAIS LANÇADOS ACUMULADO 12 MESES</t>
        </is>
      </c>
      <c r="C54" s="3" t="inlineStr">
        <is>
          <t>Gráfico 1 / plot 1</t>
        </is>
      </c>
      <c r="D54" s="3" t="inlineStr">
        <is>
          <t>RM de Porto Alegre</t>
        </is>
      </c>
      <c r="E54" s="3" t="inlineStr">
        <is>
          <t>3T/2022</t>
        </is>
      </c>
      <c r="F54" s="3" t="n">
        <v>70</v>
      </c>
      <c r="G54" s="3" t="n"/>
      <c r="H54" s="3" t="n">
        <v>0</v>
      </c>
      <c r="I54" s="3">
        <f>IF(G54="","PENDENTE",IF(AND(ISNUMBER(F54),ISNUMBER(G54)),IF(ABS(G54-F54)&lt;=H54,"IGUAL","DIVERGENTE"),IF(TRIM(G54&amp;"")=TRIM(F54&amp;""),"IGUAL","DIVERGENTE")))</f>
        <v/>
      </c>
      <c r="J54" s="3" t="n"/>
    </row>
    <row r="55">
      <c r="A55" s="4" t="n">
        <v>11</v>
      </c>
      <c r="B55" s="4" t="inlineStr">
        <is>
          <t>EMPREENDIMENTOS VERTICAIS LANÇADOS ACUMULADO 12 MESES</t>
        </is>
      </c>
      <c r="C55" s="4" t="inlineStr">
        <is>
          <t>Gráfico 1 / plot 1</t>
        </is>
      </c>
      <c r="D55" s="4" t="inlineStr">
        <is>
          <t>RM de Porto Alegre</t>
        </is>
      </c>
      <c r="E55" s="4" t="inlineStr">
        <is>
          <t>4T/2022</t>
        </is>
      </c>
      <c r="F55" s="4" t="n">
        <v>57</v>
      </c>
      <c r="G55" s="4" t="n"/>
      <c r="H55" s="4" t="n">
        <v>0</v>
      </c>
      <c r="I55" s="4">
        <f>IF(G55="","PENDENTE",IF(AND(ISNUMBER(F55),ISNUMBER(G55)),IF(ABS(G55-F55)&lt;=H55,"IGUAL","DIVERGENTE"),IF(TRIM(G55&amp;"")=TRIM(F55&amp;""),"IGUAL","DIVERGENTE")))</f>
        <v/>
      </c>
      <c r="J55" s="4" t="n"/>
    </row>
    <row r="56">
      <c r="A56" s="3" t="n">
        <v>11</v>
      </c>
      <c r="B56" s="3" t="inlineStr">
        <is>
          <t>EMPREENDIMENTOS VERTICAIS LANÇADOS ACUMULADO 12 MESES</t>
        </is>
      </c>
      <c r="C56" s="3" t="inlineStr">
        <is>
          <t>Gráfico 1 / plot 1</t>
        </is>
      </c>
      <c r="D56" s="3" t="inlineStr">
        <is>
          <t>RM de Porto Alegre</t>
        </is>
      </c>
      <c r="E56" s="3" t="inlineStr">
        <is>
          <t>1T/2023</t>
        </is>
      </c>
      <c r="F56" s="3" t="n">
        <v>54</v>
      </c>
      <c r="G56" s="3" t="n"/>
      <c r="H56" s="3" t="n">
        <v>0</v>
      </c>
      <c r="I56" s="3">
        <f>IF(G56="","PENDENTE",IF(AND(ISNUMBER(F56),ISNUMBER(G56)),IF(ABS(G56-F56)&lt;=H56,"IGUAL","DIVERGENTE"),IF(TRIM(G56&amp;"")=TRIM(F56&amp;""),"IGUAL","DIVERGENTE")))</f>
        <v/>
      </c>
      <c r="J56" s="3" t="n"/>
    </row>
    <row r="57">
      <c r="A57" s="4" t="n">
        <v>11</v>
      </c>
      <c r="B57" s="4" t="inlineStr">
        <is>
          <t>EMPREENDIMENTOS VERTICAIS LANÇADOS ACUMULADO 12 MESES</t>
        </is>
      </c>
      <c r="C57" s="4" t="inlineStr">
        <is>
          <t>Gráfico 1 / plot 1</t>
        </is>
      </c>
      <c r="D57" s="4" t="inlineStr">
        <is>
          <t>RM de Porto Alegre</t>
        </is>
      </c>
      <c r="E57" s="4" t="inlineStr">
        <is>
          <t>2T/2023</t>
        </is>
      </c>
      <c r="F57" s="4" t="n">
        <v>51</v>
      </c>
      <c r="G57" s="4" t="n"/>
      <c r="H57" s="4" t="n">
        <v>0</v>
      </c>
      <c r="I57" s="4">
        <f>IF(G57="","PENDENTE",IF(AND(ISNUMBER(F57),ISNUMBER(G57)),IF(ABS(G57-F57)&lt;=H57,"IGUAL","DIVERGENTE"),IF(TRIM(G57&amp;"")=TRIM(F57&amp;""),"IGUAL","DIVERGENTE")))</f>
        <v/>
      </c>
      <c r="J57" s="4" t="n"/>
    </row>
    <row r="58">
      <c r="A58" s="3" t="n">
        <v>11</v>
      </c>
      <c r="B58" s="3" t="inlineStr">
        <is>
          <t>EMPREENDIMENTOS VERTICAIS LANÇADOS ACUMULADO 12 MESES</t>
        </is>
      </c>
      <c r="C58" s="3" t="inlineStr">
        <is>
          <t>Gráfico 1 / plot 1</t>
        </is>
      </c>
      <c r="D58" s="3" t="inlineStr">
        <is>
          <t>RM de Porto Alegre</t>
        </is>
      </c>
      <c r="E58" s="3" t="inlineStr">
        <is>
          <t>3T/2023</t>
        </is>
      </c>
      <c r="F58" s="3" t="n">
        <v>44</v>
      </c>
      <c r="G58" s="3" t="n"/>
      <c r="H58" s="3" t="n">
        <v>0</v>
      </c>
      <c r="I58" s="3">
        <f>IF(G58="","PENDENTE",IF(AND(ISNUMBER(F58),ISNUMBER(G58)),IF(ABS(G58-F58)&lt;=H58,"IGUAL","DIVERGENTE"),IF(TRIM(G58&amp;"")=TRIM(F58&amp;""),"IGUAL","DIVERGENTE")))</f>
        <v/>
      </c>
      <c r="J58" s="3" t="n"/>
    </row>
    <row r="59">
      <c r="A59" s="4" t="n">
        <v>11</v>
      </c>
      <c r="B59" s="4" t="inlineStr">
        <is>
          <t>EMPREENDIMENTOS VERTICAIS LANÇADOS ACUMULADO 12 MESES</t>
        </is>
      </c>
      <c r="C59" s="4" t="inlineStr">
        <is>
          <t>Gráfico 1 / plot 1</t>
        </is>
      </c>
      <c r="D59" s="4" t="inlineStr">
        <is>
          <t>RM de Porto Alegre</t>
        </is>
      </c>
      <c r="E59" s="4" t="inlineStr">
        <is>
          <t>4T/2023</t>
        </is>
      </c>
      <c r="F59" s="4" t="n">
        <v>36</v>
      </c>
      <c r="G59" s="4" t="n"/>
      <c r="H59" s="4" t="n">
        <v>0</v>
      </c>
      <c r="I59" s="4">
        <f>IF(G59="","PENDENTE",IF(AND(ISNUMBER(F59),ISNUMBER(G59)),IF(ABS(G59-F59)&lt;=H59,"IGUAL","DIVERGENTE"),IF(TRIM(G59&amp;"")=TRIM(F59&amp;""),"IGUAL","DIVERGENTE")))</f>
        <v/>
      </c>
      <c r="J59" s="4" t="n"/>
    </row>
    <row r="60">
      <c r="A60" s="3" t="n">
        <v>11</v>
      </c>
      <c r="B60" s="3" t="inlineStr">
        <is>
          <t>EMPREENDIMENTOS VERTICAIS LANÇADOS ACUMULADO 12 MESES</t>
        </is>
      </c>
      <c r="C60" s="3" t="inlineStr">
        <is>
          <t>Gráfico 1 / plot 1</t>
        </is>
      </c>
      <c r="D60" s="3" t="inlineStr">
        <is>
          <t>RM de Porto Alegre</t>
        </is>
      </c>
      <c r="E60" s="3" t="inlineStr">
        <is>
          <t>1T/2024</t>
        </is>
      </c>
      <c r="F60" s="3" t="n">
        <v>32</v>
      </c>
      <c r="G60" s="3" t="n"/>
      <c r="H60" s="3" t="n">
        <v>0</v>
      </c>
      <c r="I60" s="3">
        <f>IF(G60="","PENDENTE",IF(AND(ISNUMBER(F60),ISNUMBER(G60)),IF(ABS(G60-F60)&lt;=H60,"IGUAL","DIVERGENTE"),IF(TRIM(G60&amp;"")=TRIM(F60&amp;""),"IGUAL","DIVERGENTE")))</f>
        <v/>
      </c>
      <c r="J60" s="3" t="n"/>
    </row>
    <row r="61">
      <c r="A61" s="4" t="n">
        <v>11</v>
      </c>
      <c r="B61" s="4" t="inlineStr">
        <is>
          <t>EMPREENDIMENTOS VERTICAIS LANÇADOS ACUMULADO 12 MESES</t>
        </is>
      </c>
      <c r="C61" s="4" t="inlineStr">
        <is>
          <t>Gráfico 1 / plot 1</t>
        </is>
      </c>
      <c r="D61" s="4" t="inlineStr">
        <is>
          <t>RM de Porto Alegre</t>
        </is>
      </c>
      <c r="E61" s="4" t="inlineStr">
        <is>
          <t>2T/2024</t>
        </is>
      </c>
      <c r="F61" s="4" t="n">
        <v>35</v>
      </c>
      <c r="G61" s="4" t="n"/>
      <c r="H61" s="4" t="n">
        <v>0</v>
      </c>
      <c r="I61" s="4">
        <f>IF(G61="","PENDENTE",IF(AND(ISNUMBER(F61),ISNUMBER(G61)),IF(ABS(G61-F61)&lt;=H61,"IGUAL","DIVERGENTE"),IF(TRIM(G61&amp;"")=TRIM(F61&amp;""),"IGUAL","DIVERGENTE")))</f>
        <v/>
      </c>
      <c r="J61" s="4" t="n"/>
    </row>
    <row r="62">
      <c r="A62" s="3" t="n">
        <v>11</v>
      </c>
      <c r="B62" s="3" t="inlineStr">
        <is>
          <t>EMPREENDIMENTOS VERTICAIS LANÇADOS ACUMULADO 12 MESES</t>
        </is>
      </c>
      <c r="C62" s="3" t="inlineStr">
        <is>
          <t>Gráfico 1 / plot 1</t>
        </is>
      </c>
      <c r="D62" s="3" t="inlineStr">
        <is>
          <t>RM de Porto Alegre</t>
        </is>
      </c>
      <c r="E62" s="3" t="inlineStr">
        <is>
          <t>3T/2024</t>
        </is>
      </c>
      <c r="F62" s="3" t="n">
        <v>34</v>
      </c>
      <c r="G62" s="3" t="n"/>
      <c r="H62" s="3" t="n">
        <v>0</v>
      </c>
      <c r="I62" s="3">
        <f>IF(G62="","PENDENTE",IF(AND(ISNUMBER(F62),ISNUMBER(G62)),IF(ABS(G62-F62)&lt;=H62,"IGUAL","DIVERGENTE"),IF(TRIM(G62&amp;"")=TRIM(F62&amp;""),"IGUAL","DIVERGENTE")))</f>
        <v/>
      </c>
      <c r="J62" s="3" t="n"/>
    </row>
    <row r="63">
      <c r="A63" s="4" t="n">
        <v>11</v>
      </c>
      <c r="B63" s="4" t="inlineStr">
        <is>
          <t>EMPREENDIMENTOS VERTICAIS LANÇADOS ACUMULADO 12 MESES</t>
        </is>
      </c>
      <c r="C63" s="4" t="inlineStr">
        <is>
          <t>Gráfico 1 / plot 1</t>
        </is>
      </c>
      <c r="D63" s="4" t="inlineStr">
        <is>
          <t>RM de Porto Alegre</t>
        </is>
      </c>
      <c r="E63" s="4" t="inlineStr">
        <is>
          <t>4T/2024</t>
        </is>
      </c>
      <c r="F63" s="4" t="n">
        <v>41</v>
      </c>
      <c r="G63" s="4" t="n"/>
      <c r="H63" s="4" t="n">
        <v>0</v>
      </c>
      <c r="I63" s="4">
        <f>IF(G63="","PENDENTE",IF(AND(ISNUMBER(F63),ISNUMBER(G63)),IF(ABS(G63-F63)&lt;=H63,"IGUAL","DIVERGENTE"),IF(TRIM(G63&amp;"")=TRIM(F63&amp;""),"IGUAL","DIVERGENTE")))</f>
        <v/>
      </c>
      <c r="J63" s="4" t="n"/>
    </row>
    <row r="64">
      <c r="A64" s="3" t="n">
        <v>11</v>
      </c>
      <c r="B64" s="3" t="inlineStr">
        <is>
          <t>EMPREENDIMENTOS VERTICAIS LANÇADOS ACUMULADO 12 MESES</t>
        </is>
      </c>
      <c r="C64" s="3" t="inlineStr">
        <is>
          <t>Gráfico 1 / plot 1</t>
        </is>
      </c>
      <c r="D64" s="3" t="inlineStr">
        <is>
          <t>RM de Porto Alegre</t>
        </is>
      </c>
      <c r="E64" s="3" t="inlineStr">
        <is>
          <t>1T/2025</t>
        </is>
      </c>
      <c r="F64" s="3" t="n">
        <v>40</v>
      </c>
      <c r="G64" s="3" t="n"/>
      <c r="H64" s="3" t="n">
        <v>0</v>
      </c>
      <c r="I64" s="3">
        <f>IF(G64="","PENDENTE",IF(AND(ISNUMBER(F64),ISNUMBER(G64)),IF(ABS(G64-F64)&lt;=H64,"IGUAL","DIVERGENTE"),IF(TRIM(G64&amp;"")=TRIM(F64&amp;""),"IGUAL","DIVERGENTE")))</f>
        <v/>
      </c>
      <c r="J64" s="3" t="n"/>
    </row>
    <row r="65">
      <c r="A65" s="4" t="n">
        <v>11</v>
      </c>
      <c r="B65" s="4" t="inlineStr">
        <is>
          <t>EMPREENDIMENTOS VERTICAIS LANÇADOS ACUMULADO 12 MESES</t>
        </is>
      </c>
      <c r="C65" s="4" t="inlineStr">
        <is>
          <t>Gráfico 1 / plot 1</t>
        </is>
      </c>
      <c r="D65" s="4" t="inlineStr">
        <is>
          <t>RM de Porto Alegre</t>
        </is>
      </c>
      <c r="E65" s="4" t="inlineStr">
        <is>
          <t>2T/2025</t>
        </is>
      </c>
      <c r="F65" s="4" t="n">
        <v>36</v>
      </c>
      <c r="G65" s="4" t="n"/>
      <c r="H65" s="4" t="n">
        <v>0</v>
      </c>
      <c r="I65" s="4">
        <f>IF(G65="","PENDENTE",IF(AND(ISNUMBER(F65),ISNUMBER(G65)),IF(ABS(G65-F65)&lt;=H65,"IGUAL","DIVERGENTE"),IF(TRIM(G65&amp;"")=TRIM(F65&amp;""),"IGUAL","DIVERGENTE")))</f>
        <v/>
      </c>
      <c r="J65" s="4" t="n"/>
    </row>
    <row r="66">
      <c r="A66" s="3" t="n">
        <v>11</v>
      </c>
      <c r="B66" s="3" t="inlineStr">
        <is>
          <t>EMPREENDIMENTOS VERTICAIS LANÇADOS ACUMULADO 12 MESES</t>
        </is>
      </c>
      <c r="C66" s="3" t="inlineStr">
        <is>
          <t>Gráfico 1 / plot 1</t>
        </is>
      </c>
      <c r="D66" s="3" t="inlineStr">
        <is>
          <t>RM de Porto Alegre</t>
        </is>
      </c>
      <c r="E66" s="3" t="inlineStr">
        <is>
          <t>3T/2025</t>
        </is>
      </c>
      <c r="F66" s="3" t="n">
        <v>34</v>
      </c>
      <c r="G66" s="3" t="n"/>
      <c r="H66" s="3" t="n">
        <v>0</v>
      </c>
      <c r="I66" s="3">
        <f>IF(G66="","PENDENTE",IF(AND(ISNUMBER(F66),ISNUMBER(G66)),IF(ABS(G66-F66)&lt;=H66,"IGUAL","DIVERGENTE"),IF(TRIM(G66&amp;"")=TRIM(F66&amp;""),"IGUAL","DIVERGENTE")))</f>
        <v/>
      </c>
      <c r="J66" s="3" t="n"/>
    </row>
    <row r="67">
      <c r="A67" s="4" t="n">
        <v>11</v>
      </c>
      <c r="B67" s="4" t="inlineStr">
        <is>
          <t>EMPREENDIMENTOS VERTICAIS LANÇADOS ACUMULADO 12 MESES</t>
        </is>
      </c>
      <c r="C67" s="4" t="inlineStr">
        <is>
          <t>Gráfico 1 / plot 1</t>
        </is>
      </c>
      <c r="D67" s="4" t="inlineStr">
        <is>
          <t>RM de Porto Alegre</t>
        </is>
      </c>
      <c r="E67" s="4" t="inlineStr">
        <is>
          <t>4T/2025</t>
        </is>
      </c>
      <c r="F67" s="4" t="n">
        <v>35</v>
      </c>
      <c r="G67" s="4" t="n"/>
      <c r="H67" s="4" t="n">
        <v>0</v>
      </c>
      <c r="I67" s="4">
        <f>IF(G67="","PENDENTE",IF(AND(ISNUMBER(F67),ISNUMBER(G67)),IF(ABS(G67-F67)&lt;=H67,"IGUAL","DIVERGENTE"),IF(TRIM(G67&amp;"")=TRIM(F67&amp;""),"IGUAL","DIVERGENTE")))</f>
        <v/>
      </c>
      <c r="J67" s="4" t="n"/>
    </row>
    <row r="68">
      <c r="A68" s="3" t="n">
        <v>11</v>
      </c>
      <c r="B68" s="3" t="inlineStr">
        <is>
          <t>EMPREENDIMENTOS VERTICAIS LANÇADOS ACUMULADO 12 MESES</t>
        </is>
      </c>
      <c r="C68" s="3" t="inlineStr">
        <is>
          <t>Tabela 1</t>
        </is>
      </c>
      <c r="D68" s="3" t="inlineStr">
        <is>
          <t>4T21 x 4T22</t>
        </is>
      </c>
      <c r="E68" s="3" t="inlineStr">
        <is>
          <t>Coluna 2</t>
        </is>
      </c>
      <c r="F68" s="3" t="inlineStr">
        <is>
          <t>4T22 x 4T23</t>
        </is>
      </c>
      <c r="G68" s="3" t="n"/>
      <c r="H68" s="3" t="n"/>
      <c r="I68" s="3">
        <f>IF(G68="","PENDENTE",IF(AND(ISNUMBER(F68),ISNUMBER(G68)),IF(ABS(G68-F68)&lt;=H68,"IGUAL","DIVERGENTE"),IF(TRIM(G68&amp;"")=TRIM(F68&amp;""),"IGUAL","DIVERGENTE")))</f>
        <v/>
      </c>
      <c r="J68" s="3" t="n"/>
    </row>
    <row r="69">
      <c r="A69" s="4" t="n">
        <v>11</v>
      </c>
      <c r="B69" s="4" t="inlineStr">
        <is>
          <t>EMPREENDIMENTOS VERTICAIS LANÇADOS ACUMULADO 12 MESES</t>
        </is>
      </c>
      <c r="C69" s="4" t="inlineStr">
        <is>
          <t>Tabela 1</t>
        </is>
      </c>
      <c r="D69" s="4" t="inlineStr">
        <is>
          <t>4T21 x 4T22</t>
        </is>
      </c>
      <c r="E69" s="4" t="inlineStr">
        <is>
          <t>Coluna 3</t>
        </is>
      </c>
      <c r="F69" s="4" t="inlineStr">
        <is>
          <t>4T23 X 4T24</t>
        </is>
      </c>
      <c r="G69" s="4" t="n"/>
      <c r="H69" s="4" t="n"/>
      <c r="I69" s="4">
        <f>IF(G69="","PENDENTE",IF(AND(ISNUMBER(F69),ISNUMBER(G69)),IF(ABS(G69-F69)&lt;=H69,"IGUAL","DIVERGENTE"),IF(TRIM(G69&amp;"")=TRIM(F69&amp;""),"IGUAL","DIVERGENTE")))</f>
        <v/>
      </c>
      <c r="J69" s="4" t="n"/>
    </row>
    <row r="70">
      <c r="A70" s="3" t="n">
        <v>11</v>
      </c>
      <c r="B70" s="3" t="inlineStr">
        <is>
          <t>EMPREENDIMENTOS VERTICAIS LANÇADOS ACUMULADO 12 MESES</t>
        </is>
      </c>
      <c r="C70" s="3" t="inlineStr">
        <is>
          <t>Tabela 1</t>
        </is>
      </c>
      <c r="D70" s="3" t="inlineStr">
        <is>
          <t>4T21 x 4T22</t>
        </is>
      </c>
      <c r="E70" s="3" t="inlineStr">
        <is>
          <t>Coluna 4</t>
        </is>
      </c>
      <c r="F70" s="3" t="inlineStr">
        <is>
          <t>4T24 x 4T25</t>
        </is>
      </c>
      <c r="G70" s="3" t="n"/>
      <c r="H70" s="3" t="n"/>
      <c r="I70" s="3">
        <f>IF(G70="","PENDENTE",IF(AND(ISNUMBER(F70),ISNUMBER(G70)),IF(ABS(G70-F70)&lt;=H70,"IGUAL","DIVERGENTE"),IF(TRIM(G70&amp;"")=TRIM(F70&amp;""),"IGUAL","DIVERGENTE")))</f>
        <v/>
      </c>
      <c r="J70" s="3" t="n"/>
    </row>
    <row r="71">
      <c r="A71" s="4" t="n">
        <v>11</v>
      </c>
      <c r="B71" s="4" t="inlineStr">
        <is>
          <t>EMPREENDIMENTOS VERTICAIS LANÇADOS ACUMULADO 12 MESES</t>
        </is>
      </c>
      <c r="C71" s="4" t="inlineStr">
        <is>
          <t>Tabela 1</t>
        </is>
      </c>
      <c r="D71" s="4" t="inlineStr">
        <is>
          <t>+2%</t>
        </is>
      </c>
      <c r="E71" s="4" t="inlineStr">
        <is>
          <t>Coluna 2</t>
        </is>
      </c>
      <c r="F71" s="4" t="inlineStr">
        <is>
          <t>-37%</t>
        </is>
      </c>
      <c r="G71" s="4" t="n"/>
      <c r="H71" s="4" t="n"/>
      <c r="I71" s="4">
        <f>IF(G71="","PENDENTE",IF(AND(ISNUMBER(F71),ISNUMBER(G71)),IF(ABS(G71-F71)&lt;=H71,"IGUAL","DIVERGENTE"),IF(TRIM(G71&amp;"")=TRIM(F71&amp;""),"IGUAL","DIVERGENTE")))</f>
        <v/>
      </c>
      <c r="J71" s="4" t="n"/>
    </row>
    <row r="72">
      <c r="A72" s="3" t="n">
        <v>11</v>
      </c>
      <c r="B72" s="3" t="inlineStr">
        <is>
          <t>EMPREENDIMENTOS VERTICAIS LANÇADOS ACUMULADO 12 MESES</t>
        </is>
      </c>
      <c r="C72" s="3" t="inlineStr">
        <is>
          <t>Tabela 1</t>
        </is>
      </c>
      <c r="D72" s="3" t="inlineStr">
        <is>
          <t>+2%</t>
        </is>
      </c>
      <c r="E72" s="3" t="inlineStr">
        <is>
          <t>Coluna 3</t>
        </is>
      </c>
      <c r="F72" s="3" t="inlineStr">
        <is>
          <t>+14%</t>
        </is>
      </c>
      <c r="G72" s="3" t="n"/>
      <c r="H72" s="3" t="n"/>
      <c r="I72" s="3">
        <f>IF(G72="","PENDENTE",IF(AND(ISNUMBER(F72),ISNUMBER(G72)),IF(ABS(G72-F72)&lt;=H72,"IGUAL","DIVERGENTE"),IF(TRIM(G72&amp;"")=TRIM(F72&amp;""),"IGUAL","DIVERGENTE")))</f>
        <v/>
      </c>
      <c r="J72" s="3" t="n"/>
    </row>
    <row r="73">
      <c r="A73" s="4" t="n">
        <v>11</v>
      </c>
      <c r="B73" s="4" t="inlineStr">
        <is>
          <t>EMPREENDIMENTOS VERTICAIS LANÇADOS ACUMULADO 12 MESES</t>
        </is>
      </c>
      <c r="C73" s="4" t="inlineStr">
        <is>
          <t>Tabela 1</t>
        </is>
      </c>
      <c r="D73" s="4" t="inlineStr">
        <is>
          <t>+2%</t>
        </is>
      </c>
      <c r="E73" s="4" t="inlineStr">
        <is>
          <t>Coluna 4</t>
        </is>
      </c>
      <c r="F73" s="4" t="inlineStr">
        <is>
          <t>-15%</t>
        </is>
      </c>
      <c r="G73" s="4" t="n"/>
      <c r="H73" s="4" t="n"/>
      <c r="I73" s="4">
        <f>IF(G73="","PENDENTE",IF(AND(ISNUMBER(F73),ISNUMBER(G73)),IF(ABS(G73-F73)&lt;=H73,"IGUAL","DIVERGENTE"),IF(TRIM(G73&amp;"")=TRIM(F73&amp;""),"IGUAL","DIVERGENTE")))</f>
        <v/>
      </c>
      <c r="J73" s="4" t="n"/>
    </row>
    <row r="74">
      <c r="A74" s="3" t="n">
        <v>12</v>
      </c>
      <c r="B74" s="3" t="inlineStr">
        <is>
          <t>UNIDADES VERTICAIS LANÇADAS POR TRIMESTRE</t>
        </is>
      </c>
      <c r="C74" s="3" t="inlineStr">
        <is>
          <t>Gráfico 1 / plot 1</t>
        </is>
      </c>
      <c r="D74" s="3" t="inlineStr">
        <is>
          <t>RM de Porto Alegre</t>
        </is>
      </c>
      <c r="E74" s="3" t="inlineStr">
        <is>
          <t>4T/21</t>
        </is>
      </c>
      <c r="F74" s="3" t="n">
        <v>3030</v>
      </c>
      <c r="G74" s="3" t="n"/>
      <c r="H74" s="3" t="n">
        <v>0</v>
      </c>
      <c r="I74" s="3">
        <f>IF(G74="","PENDENTE",IF(AND(ISNUMBER(F74),ISNUMBER(G74)),IF(ABS(G74-F74)&lt;=H74,"IGUAL","DIVERGENTE"),IF(TRIM(G74&amp;"")=TRIM(F74&amp;""),"IGUAL","DIVERGENTE")))</f>
        <v/>
      </c>
      <c r="J74" s="3" t="n"/>
    </row>
    <row r="75">
      <c r="A75" s="4" t="n">
        <v>12</v>
      </c>
      <c r="B75" s="4" t="inlineStr">
        <is>
          <t>UNIDADES VERTICAIS LANÇADAS POR TRIMESTRE</t>
        </is>
      </c>
      <c r="C75" s="4" t="inlineStr">
        <is>
          <t>Gráfico 1 / plot 1</t>
        </is>
      </c>
      <c r="D75" s="4" t="inlineStr">
        <is>
          <t>RM de Porto Alegre</t>
        </is>
      </c>
      <c r="E75" s="4" t="inlineStr">
        <is>
          <t>1T/22</t>
        </is>
      </c>
      <c r="F75" s="4" t="n">
        <v>1100</v>
      </c>
      <c r="G75" s="4" t="n"/>
      <c r="H75" s="4" t="n">
        <v>0</v>
      </c>
      <c r="I75" s="4">
        <f>IF(G75="","PENDENTE",IF(AND(ISNUMBER(F75),ISNUMBER(G75)),IF(ABS(G75-F75)&lt;=H75,"IGUAL","DIVERGENTE"),IF(TRIM(G75&amp;"")=TRIM(F75&amp;""),"IGUAL","DIVERGENTE")))</f>
        <v/>
      </c>
      <c r="J75" s="4" t="n"/>
    </row>
    <row r="76">
      <c r="A76" s="3" t="n">
        <v>12</v>
      </c>
      <c r="B76" s="3" t="inlineStr">
        <is>
          <t>UNIDADES VERTICAIS LANÇADAS POR TRIMESTRE</t>
        </is>
      </c>
      <c r="C76" s="3" t="inlineStr">
        <is>
          <t>Gráfico 1 / plot 1</t>
        </is>
      </c>
      <c r="D76" s="3" t="inlineStr">
        <is>
          <t>RM de Porto Alegre</t>
        </is>
      </c>
      <c r="E76" s="3" t="inlineStr">
        <is>
          <t>2T/22</t>
        </is>
      </c>
      <c r="F76" s="3" t="n">
        <v>1323</v>
      </c>
      <c r="G76" s="3" t="n"/>
      <c r="H76" s="3" t="n">
        <v>0</v>
      </c>
      <c r="I76" s="3">
        <f>IF(G76="","PENDENTE",IF(AND(ISNUMBER(F76),ISNUMBER(G76)),IF(ABS(G76-F76)&lt;=H76,"IGUAL","DIVERGENTE"),IF(TRIM(G76&amp;"")=TRIM(F76&amp;""),"IGUAL","DIVERGENTE")))</f>
        <v/>
      </c>
      <c r="J76" s="3" t="n"/>
    </row>
    <row r="77">
      <c r="A77" s="4" t="n">
        <v>12</v>
      </c>
      <c r="B77" s="4" t="inlineStr">
        <is>
          <t>UNIDADES VERTICAIS LANÇADAS POR TRIMESTRE</t>
        </is>
      </c>
      <c r="C77" s="4" t="inlineStr">
        <is>
          <t>Gráfico 1 / plot 1</t>
        </is>
      </c>
      <c r="D77" s="4" t="inlineStr">
        <is>
          <t>RM de Porto Alegre</t>
        </is>
      </c>
      <c r="E77" s="4" t="inlineStr">
        <is>
          <t>3T/22</t>
        </is>
      </c>
      <c r="F77" s="4" t="n">
        <v>1128</v>
      </c>
      <c r="G77" s="4" t="n"/>
      <c r="H77" s="4" t="n">
        <v>0</v>
      </c>
      <c r="I77" s="4">
        <f>IF(G77="","PENDENTE",IF(AND(ISNUMBER(F77),ISNUMBER(G77)),IF(ABS(G77-F77)&lt;=H77,"IGUAL","DIVERGENTE"),IF(TRIM(G77&amp;"")=TRIM(F77&amp;""),"IGUAL","DIVERGENTE")))</f>
        <v/>
      </c>
      <c r="J77" s="4" t="n"/>
    </row>
    <row r="78">
      <c r="A78" s="3" t="n">
        <v>12</v>
      </c>
      <c r="B78" s="3" t="inlineStr">
        <is>
          <t>UNIDADES VERTICAIS LANÇADAS POR TRIMESTRE</t>
        </is>
      </c>
      <c r="C78" s="3" t="inlineStr">
        <is>
          <t>Gráfico 1 / plot 1</t>
        </is>
      </c>
      <c r="D78" s="3" t="inlineStr">
        <is>
          <t>RM de Porto Alegre</t>
        </is>
      </c>
      <c r="E78" s="3" t="inlineStr">
        <is>
          <t>4T/22</t>
        </is>
      </c>
      <c r="F78" s="3" t="n">
        <v>1742</v>
      </c>
      <c r="G78" s="3" t="n"/>
      <c r="H78" s="3" t="n">
        <v>0</v>
      </c>
      <c r="I78" s="3">
        <f>IF(G78="","PENDENTE",IF(AND(ISNUMBER(F78),ISNUMBER(G78)),IF(ABS(G78-F78)&lt;=H78,"IGUAL","DIVERGENTE"),IF(TRIM(G78&amp;"")=TRIM(F78&amp;""),"IGUAL","DIVERGENTE")))</f>
        <v/>
      </c>
      <c r="J78" s="3" t="n"/>
    </row>
    <row r="79">
      <c r="A79" s="4" t="n">
        <v>12</v>
      </c>
      <c r="B79" s="4" t="inlineStr">
        <is>
          <t>UNIDADES VERTICAIS LANÇADAS POR TRIMESTRE</t>
        </is>
      </c>
      <c r="C79" s="4" t="inlineStr">
        <is>
          <t>Gráfico 1 / plot 1</t>
        </is>
      </c>
      <c r="D79" s="4" t="inlineStr">
        <is>
          <t>RM de Porto Alegre</t>
        </is>
      </c>
      <c r="E79" s="4" t="inlineStr">
        <is>
          <t>1T/23</t>
        </is>
      </c>
      <c r="F79" s="4" t="n">
        <v>1397</v>
      </c>
      <c r="G79" s="4" t="n"/>
      <c r="H79" s="4" t="n">
        <v>0</v>
      </c>
      <c r="I79" s="4">
        <f>IF(G79="","PENDENTE",IF(AND(ISNUMBER(F79),ISNUMBER(G79)),IF(ABS(G79-F79)&lt;=H79,"IGUAL","DIVERGENTE"),IF(TRIM(G79&amp;"")=TRIM(F79&amp;""),"IGUAL","DIVERGENTE")))</f>
        <v/>
      </c>
      <c r="J79" s="4" t="n"/>
    </row>
    <row r="80">
      <c r="A80" s="3" t="n">
        <v>12</v>
      </c>
      <c r="B80" s="3" t="inlineStr">
        <is>
          <t>UNIDADES VERTICAIS LANÇADAS POR TRIMESTRE</t>
        </is>
      </c>
      <c r="C80" s="3" t="inlineStr">
        <is>
          <t>Gráfico 1 / plot 1</t>
        </is>
      </c>
      <c r="D80" s="3" t="inlineStr">
        <is>
          <t>RM de Porto Alegre</t>
        </is>
      </c>
      <c r="E80" s="3" t="inlineStr">
        <is>
          <t>2T/23</t>
        </is>
      </c>
      <c r="F80" s="3" t="n">
        <v>1106</v>
      </c>
      <c r="G80" s="3" t="n"/>
      <c r="H80" s="3" t="n">
        <v>0</v>
      </c>
      <c r="I80" s="3">
        <f>IF(G80="","PENDENTE",IF(AND(ISNUMBER(F80),ISNUMBER(G80)),IF(ABS(G80-F80)&lt;=H80,"IGUAL","DIVERGENTE"),IF(TRIM(G80&amp;"")=TRIM(F80&amp;""),"IGUAL","DIVERGENTE")))</f>
        <v/>
      </c>
      <c r="J80" s="3" t="n"/>
    </row>
    <row r="81">
      <c r="A81" s="4" t="n">
        <v>12</v>
      </c>
      <c r="B81" s="4" t="inlineStr">
        <is>
          <t>UNIDADES VERTICAIS LANÇADAS POR TRIMESTRE</t>
        </is>
      </c>
      <c r="C81" s="4" t="inlineStr">
        <is>
          <t>Gráfico 1 / plot 1</t>
        </is>
      </c>
      <c r="D81" s="4" t="inlineStr">
        <is>
          <t>RM de Porto Alegre</t>
        </is>
      </c>
      <c r="E81" s="4" t="inlineStr">
        <is>
          <t>3T/23</t>
        </is>
      </c>
      <c r="F81" s="4" t="n">
        <v>421</v>
      </c>
      <c r="G81" s="4" t="n"/>
      <c r="H81" s="4" t="n">
        <v>0</v>
      </c>
      <c r="I81" s="4">
        <f>IF(G81="","PENDENTE",IF(AND(ISNUMBER(F81),ISNUMBER(G81)),IF(ABS(G81-F81)&lt;=H81,"IGUAL","DIVERGENTE"),IF(TRIM(G81&amp;"")=TRIM(F81&amp;""),"IGUAL","DIVERGENTE")))</f>
        <v/>
      </c>
      <c r="J81" s="4" t="n"/>
    </row>
    <row r="82">
      <c r="A82" s="3" t="n">
        <v>12</v>
      </c>
      <c r="B82" s="3" t="inlineStr">
        <is>
          <t>UNIDADES VERTICAIS LANÇADAS POR TRIMESTRE</t>
        </is>
      </c>
      <c r="C82" s="3" t="inlineStr">
        <is>
          <t>Gráfico 1 / plot 1</t>
        </is>
      </c>
      <c r="D82" s="3" t="inlineStr">
        <is>
          <t>RM de Porto Alegre</t>
        </is>
      </c>
      <c r="E82" s="3" t="inlineStr">
        <is>
          <t>4T/23</t>
        </is>
      </c>
      <c r="F82" s="3" t="n">
        <v>479</v>
      </c>
      <c r="G82" s="3" t="n"/>
      <c r="H82" s="3" t="n">
        <v>0</v>
      </c>
      <c r="I82" s="3">
        <f>IF(G82="","PENDENTE",IF(AND(ISNUMBER(F82),ISNUMBER(G82)),IF(ABS(G82-F82)&lt;=H82,"IGUAL","DIVERGENTE"),IF(TRIM(G82&amp;"")=TRIM(F82&amp;""),"IGUAL","DIVERGENTE")))</f>
        <v/>
      </c>
      <c r="J82" s="3" t="n"/>
    </row>
    <row r="83">
      <c r="A83" s="4" t="n">
        <v>12</v>
      </c>
      <c r="B83" s="4" t="inlineStr">
        <is>
          <t>UNIDADES VERTICAIS LANÇADAS POR TRIMESTRE</t>
        </is>
      </c>
      <c r="C83" s="4" t="inlineStr">
        <is>
          <t>Gráfico 1 / plot 1</t>
        </is>
      </c>
      <c r="D83" s="4" t="inlineStr">
        <is>
          <t>RM de Porto Alegre</t>
        </is>
      </c>
      <c r="E83" s="4" t="inlineStr">
        <is>
          <t>1T/24</t>
        </is>
      </c>
      <c r="F83" s="4" t="n">
        <v>950</v>
      </c>
      <c r="G83" s="4" t="n"/>
      <c r="H83" s="4" t="n">
        <v>0</v>
      </c>
      <c r="I83" s="4">
        <f>IF(G83="","PENDENTE",IF(AND(ISNUMBER(F83),ISNUMBER(G83)),IF(ABS(G83-F83)&lt;=H83,"IGUAL","DIVERGENTE"),IF(TRIM(G83&amp;"")=TRIM(F83&amp;""),"IGUAL","DIVERGENTE")))</f>
        <v/>
      </c>
      <c r="J83" s="4" t="n"/>
    </row>
    <row r="84">
      <c r="A84" s="3" t="n">
        <v>12</v>
      </c>
      <c r="B84" s="3" t="inlineStr">
        <is>
          <t>UNIDADES VERTICAIS LANÇADAS POR TRIMESTRE</t>
        </is>
      </c>
      <c r="C84" s="3" t="inlineStr">
        <is>
          <t>Gráfico 1 / plot 1</t>
        </is>
      </c>
      <c r="D84" s="3" t="inlineStr">
        <is>
          <t>RM de Porto Alegre</t>
        </is>
      </c>
      <c r="E84" s="3" t="inlineStr">
        <is>
          <t>2T/24</t>
        </is>
      </c>
      <c r="F84" s="3" t="n">
        <v>998</v>
      </c>
      <c r="G84" s="3" t="n"/>
      <c r="H84" s="3" t="n">
        <v>0</v>
      </c>
      <c r="I84" s="3">
        <f>IF(G84="","PENDENTE",IF(AND(ISNUMBER(F84),ISNUMBER(G84)),IF(ABS(G84-F84)&lt;=H84,"IGUAL","DIVERGENTE"),IF(TRIM(G84&amp;"")=TRIM(F84&amp;""),"IGUAL","DIVERGENTE")))</f>
        <v/>
      </c>
      <c r="J84" s="3" t="n"/>
    </row>
    <row r="85">
      <c r="A85" s="4" t="n">
        <v>12</v>
      </c>
      <c r="B85" s="4" t="inlineStr">
        <is>
          <t>UNIDADES VERTICAIS LANÇADAS POR TRIMESTRE</t>
        </is>
      </c>
      <c r="C85" s="4" t="inlineStr">
        <is>
          <t>Gráfico 1 / plot 1</t>
        </is>
      </c>
      <c r="D85" s="4" t="inlineStr">
        <is>
          <t>RM de Porto Alegre</t>
        </is>
      </c>
      <c r="E85" s="4" t="inlineStr">
        <is>
          <t>3T/24</t>
        </is>
      </c>
      <c r="F85" s="4" t="n">
        <v>579</v>
      </c>
      <c r="G85" s="4" t="n"/>
      <c r="H85" s="4" t="n">
        <v>0</v>
      </c>
      <c r="I85" s="4">
        <f>IF(G85="","PENDENTE",IF(AND(ISNUMBER(F85),ISNUMBER(G85)),IF(ABS(G85-F85)&lt;=H85,"IGUAL","DIVERGENTE"),IF(TRIM(G85&amp;"")=TRIM(F85&amp;""),"IGUAL","DIVERGENTE")))</f>
        <v/>
      </c>
      <c r="J85" s="4" t="n"/>
    </row>
    <row r="86">
      <c r="A86" s="3" t="n">
        <v>12</v>
      </c>
      <c r="B86" s="3" t="inlineStr">
        <is>
          <t>UNIDADES VERTICAIS LANÇADAS POR TRIMESTRE</t>
        </is>
      </c>
      <c r="C86" s="3" t="inlineStr">
        <is>
          <t>Gráfico 1 / plot 1</t>
        </is>
      </c>
      <c r="D86" s="3" t="inlineStr">
        <is>
          <t>RM de Porto Alegre</t>
        </is>
      </c>
      <c r="E86" s="3" t="inlineStr">
        <is>
          <t>4T/24</t>
        </is>
      </c>
      <c r="F86" s="3" t="n">
        <v>1851</v>
      </c>
      <c r="G86" s="3" t="n"/>
      <c r="H86" s="3" t="n">
        <v>0</v>
      </c>
      <c r="I86" s="3">
        <f>IF(G86="","PENDENTE",IF(AND(ISNUMBER(F86),ISNUMBER(G86)),IF(ABS(G86-F86)&lt;=H86,"IGUAL","DIVERGENTE"),IF(TRIM(G86&amp;"")=TRIM(F86&amp;""),"IGUAL","DIVERGENTE")))</f>
        <v/>
      </c>
      <c r="J86" s="3" t="n"/>
    </row>
    <row r="87">
      <c r="A87" s="4" t="n">
        <v>12</v>
      </c>
      <c r="B87" s="4" t="inlineStr">
        <is>
          <t>UNIDADES VERTICAIS LANÇADAS POR TRIMESTRE</t>
        </is>
      </c>
      <c r="C87" s="4" t="inlineStr">
        <is>
          <t>Gráfico 1 / plot 1</t>
        </is>
      </c>
      <c r="D87" s="4" t="inlineStr">
        <is>
          <t>RM de Porto Alegre</t>
        </is>
      </c>
      <c r="E87" s="4" t="inlineStr">
        <is>
          <t>1T/25</t>
        </is>
      </c>
      <c r="F87" s="4" t="n">
        <v>1666</v>
      </c>
      <c r="G87" s="4" t="n"/>
      <c r="H87" s="4" t="n">
        <v>0</v>
      </c>
      <c r="I87" s="4">
        <f>IF(G87="","PENDENTE",IF(AND(ISNUMBER(F87),ISNUMBER(G87)),IF(ABS(G87-F87)&lt;=H87,"IGUAL","DIVERGENTE"),IF(TRIM(G87&amp;"")=TRIM(F87&amp;""),"IGUAL","DIVERGENTE")))</f>
        <v/>
      </c>
      <c r="J87" s="4" t="n"/>
    </row>
    <row r="88">
      <c r="A88" s="3" t="n">
        <v>12</v>
      </c>
      <c r="B88" s="3" t="inlineStr">
        <is>
          <t>UNIDADES VERTICAIS LANÇADAS POR TRIMESTRE</t>
        </is>
      </c>
      <c r="C88" s="3" t="inlineStr">
        <is>
          <t>Gráfico 1 / plot 1</t>
        </is>
      </c>
      <c r="D88" s="3" t="inlineStr">
        <is>
          <t>RM de Porto Alegre</t>
        </is>
      </c>
      <c r="E88" s="3" t="inlineStr">
        <is>
          <t>2T/25</t>
        </is>
      </c>
      <c r="F88" s="3" t="n">
        <v>1219</v>
      </c>
      <c r="G88" s="3" t="n"/>
      <c r="H88" s="3" t="n">
        <v>0</v>
      </c>
      <c r="I88" s="3">
        <f>IF(G88="","PENDENTE",IF(AND(ISNUMBER(F88),ISNUMBER(G88)),IF(ABS(G88-F88)&lt;=H88,"IGUAL","DIVERGENTE"),IF(TRIM(G88&amp;"")=TRIM(F88&amp;""),"IGUAL","DIVERGENTE")))</f>
        <v/>
      </c>
      <c r="J88" s="3" t="n"/>
    </row>
    <row r="89">
      <c r="A89" s="4" t="n">
        <v>12</v>
      </c>
      <c r="B89" s="4" t="inlineStr">
        <is>
          <t>UNIDADES VERTICAIS LANÇADAS POR TRIMESTRE</t>
        </is>
      </c>
      <c r="C89" s="4" t="inlineStr">
        <is>
          <t>Gráfico 1 / plot 1</t>
        </is>
      </c>
      <c r="D89" s="4" t="inlineStr">
        <is>
          <t>RM de Porto Alegre</t>
        </is>
      </c>
      <c r="E89" s="4" t="inlineStr">
        <is>
          <t>3T/25</t>
        </is>
      </c>
      <c r="F89" s="4" t="n">
        <v>138</v>
      </c>
      <c r="G89" s="4" t="n"/>
      <c r="H89" s="4" t="n">
        <v>0</v>
      </c>
      <c r="I89" s="4">
        <f>IF(G89="","PENDENTE",IF(AND(ISNUMBER(F89),ISNUMBER(G89)),IF(ABS(G89-F89)&lt;=H89,"IGUAL","DIVERGENTE"),IF(TRIM(G89&amp;"")=TRIM(F89&amp;""),"IGUAL","DIVERGENTE")))</f>
        <v/>
      </c>
      <c r="J89" s="4" t="n"/>
    </row>
    <row r="90">
      <c r="A90" s="3" t="n">
        <v>12</v>
      </c>
      <c r="B90" s="3" t="inlineStr">
        <is>
          <t>UNIDADES VERTICAIS LANÇADAS POR TRIMESTRE</t>
        </is>
      </c>
      <c r="C90" s="3" t="inlineStr">
        <is>
          <t>Gráfico 1 / plot 1</t>
        </is>
      </c>
      <c r="D90" s="3" t="inlineStr">
        <is>
          <t>RM de Porto Alegre</t>
        </is>
      </c>
      <c r="E90" s="3" t="inlineStr">
        <is>
          <t>4T/25</t>
        </is>
      </c>
      <c r="F90" s="3" t="n">
        <v>2554</v>
      </c>
      <c r="G90" s="3" t="n"/>
      <c r="H90" s="3" t="n">
        <v>0</v>
      </c>
      <c r="I90" s="3">
        <f>IF(G90="","PENDENTE",IF(AND(ISNUMBER(F90),ISNUMBER(G90)),IF(ABS(G90-F90)&lt;=H90,"IGUAL","DIVERGENTE"),IF(TRIM(G90&amp;"")=TRIM(F90&amp;""),"IGUAL","DIVERGENTE")))</f>
        <v/>
      </c>
      <c r="J90" s="3" t="n"/>
    </row>
    <row r="91">
      <c r="A91" s="4" t="n">
        <v>12</v>
      </c>
      <c r="B91" s="4" t="inlineStr">
        <is>
          <t>UNIDADES VERTICAIS LANÇADAS POR TRIMESTRE</t>
        </is>
      </c>
      <c r="C91" s="4" t="inlineStr">
        <is>
          <t>Gráfico 2 / plot 1</t>
        </is>
      </c>
      <c r="D91" s="4" t="inlineStr">
        <is>
          <t>RM de Porto Alegre</t>
        </is>
      </c>
      <c r="E91" s="4" t="inlineStr">
        <is>
          <t>1S 2025</t>
        </is>
      </c>
      <c r="F91" s="4" t="n">
        <v>2885</v>
      </c>
      <c r="G91" s="4" t="n"/>
      <c r="H91" s="4" t="n">
        <v>0</v>
      </c>
      <c r="I91" s="4">
        <f>IF(G91="","PENDENTE",IF(AND(ISNUMBER(F91),ISNUMBER(G91)),IF(ABS(G91-F91)&lt;=H91,"IGUAL","DIVERGENTE"),IF(TRIM(G91&amp;"")=TRIM(F91&amp;""),"IGUAL","DIVERGENTE")))</f>
        <v/>
      </c>
      <c r="J91" s="4" t="n"/>
    </row>
    <row r="92">
      <c r="A92" s="3" t="n">
        <v>12</v>
      </c>
      <c r="B92" s="3" t="inlineStr">
        <is>
          <t>UNIDADES VERTICAIS LANÇADAS POR TRIMESTRE</t>
        </is>
      </c>
      <c r="C92" s="3" t="inlineStr">
        <is>
          <t>Gráfico 2 / plot 1</t>
        </is>
      </c>
      <c r="D92" s="3" t="inlineStr">
        <is>
          <t>RM de Porto Alegre</t>
        </is>
      </c>
      <c r="E92" s="3" t="inlineStr">
        <is>
          <t>2S 2025</t>
        </is>
      </c>
      <c r="F92" s="3" t="n">
        <v>2692</v>
      </c>
      <c r="G92" s="3" t="n"/>
      <c r="H92" s="3" t="n">
        <v>0</v>
      </c>
      <c r="I92" s="3">
        <f>IF(G92="","PENDENTE",IF(AND(ISNUMBER(F92),ISNUMBER(G92)),IF(ABS(G92-F92)&lt;=H92,"IGUAL","DIVERGENTE"),IF(TRIM(G92&amp;"")=TRIM(F92&amp;""),"IGUAL","DIVERGENTE")))</f>
        <v/>
      </c>
      <c r="J92" s="3" t="n"/>
    </row>
    <row r="93">
      <c r="A93" s="4" t="n">
        <v>12</v>
      </c>
      <c r="B93" s="4" t="inlineStr">
        <is>
          <t>UNIDADES VERTICAIS LANÇADAS POR TRIMESTRE</t>
        </is>
      </c>
      <c r="C93" s="4" t="inlineStr">
        <is>
          <t>Tabela 1</t>
        </is>
      </c>
      <c r="D93" s="4" t="inlineStr">
        <is>
          <t>2021 x 2022</t>
        </is>
      </c>
      <c r="E93" s="4" t="inlineStr">
        <is>
          <t>Coluna 2</t>
        </is>
      </c>
      <c r="F93" s="4" t="inlineStr">
        <is>
          <t>2022 x 2023</t>
        </is>
      </c>
      <c r="G93" s="4" t="n"/>
      <c r="H93" s="4" t="n"/>
      <c r="I93" s="4">
        <f>IF(G93="","PENDENTE",IF(AND(ISNUMBER(F93),ISNUMBER(G93)),IF(ABS(G93-F93)&lt;=H93,"IGUAL","DIVERGENTE"),IF(TRIM(G93&amp;"")=TRIM(F93&amp;""),"IGUAL","DIVERGENTE")))</f>
        <v/>
      </c>
      <c r="J93" s="4" t="n"/>
    </row>
    <row r="94">
      <c r="A94" s="3" t="n">
        <v>12</v>
      </c>
      <c r="B94" s="3" t="inlineStr">
        <is>
          <t>UNIDADES VERTICAIS LANÇADAS POR TRIMESTRE</t>
        </is>
      </c>
      <c r="C94" s="3" t="inlineStr">
        <is>
          <t>Tabela 1</t>
        </is>
      </c>
      <c r="D94" s="3" t="inlineStr">
        <is>
          <t>2021 x 2022</t>
        </is>
      </c>
      <c r="E94" s="3" t="inlineStr">
        <is>
          <t>Coluna 3</t>
        </is>
      </c>
      <c r="F94" s="3" t="inlineStr">
        <is>
          <t>2023 X 2024</t>
        </is>
      </c>
      <c r="G94" s="3" t="n"/>
      <c r="H94" s="3" t="n"/>
      <c r="I94" s="3">
        <f>IF(G94="","PENDENTE",IF(AND(ISNUMBER(F94),ISNUMBER(G94)),IF(ABS(G94-F94)&lt;=H94,"IGUAL","DIVERGENTE"),IF(TRIM(G94&amp;"")=TRIM(F94&amp;""),"IGUAL","DIVERGENTE")))</f>
        <v/>
      </c>
      <c r="J94" s="3" t="n"/>
    </row>
    <row r="95">
      <c r="A95" s="4" t="n">
        <v>12</v>
      </c>
      <c r="B95" s="4" t="inlineStr">
        <is>
          <t>UNIDADES VERTICAIS LANÇADAS POR TRIMESTRE</t>
        </is>
      </c>
      <c r="C95" s="4" t="inlineStr">
        <is>
          <t>Tabela 1</t>
        </is>
      </c>
      <c r="D95" s="4" t="inlineStr">
        <is>
          <t>2021 x 2022</t>
        </is>
      </c>
      <c r="E95" s="4" t="inlineStr">
        <is>
          <t>Coluna 4</t>
        </is>
      </c>
      <c r="F95" s="4" t="inlineStr">
        <is>
          <t>2024 x 2025</t>
        </is>
      </c>
      <c r="G95" s="4" t="n"/>
      <c r="H95" s="4" t="n"/>
      <c r="I95" s="4">
        <f>IF(G95="","PENDENTE",IF(AND(ISNUMBER(F95),ISNUMBER(G95)),IF(ABS(G95-F95)&lt;=H95,"IGUAL","DIVERGENTE"),IF(TRIM(G95&amp;"")=TRIM(F95&amp;""),"IGUAL","DIVERGENTE")))</f>
        <v/>
      </c>
      <c r="J95" s="4" t="n"/>
    </row>
    <row r="96">
      <c r="A96" s="3" t="n">
        <v>12</v>
      </c>
      <c r="B96" s="3" t="inlineStr">
        <is>
          <t>UNIDADES VERTICAIS LANÇADAS POR TRIMESTRE</t>
        </is>
      </c>
      <c r="C96" s="3" t="inlineStr">
        <is>
          <t>Tabela 1</t>
        </is>
      </c>
      <c r="D96" s="3" t="inlineStr">
        <is>
          <t>-23%</t>
        </is>
      </c>
      <c r="E96" s="3" t="inlineStr">
        <is>
          <t>Coluna 2</t>
        </is>
      </c>
      <c r="F96" s="3" t="inlineStr">
        <is>
          <t>-36%</t>
        </is>
      </c>
      <c r="G96" s="3" t="n"/>
      <c r="H96" s="3" t="n"/>
      <c r="I96" s="3">
        <f>IF(G96="","PENDENTE",IF(AND(ISNUMBER(F96),ISNUMBER(G96)),IF(ABS(G96-F96)&lt;=H96,"IGUAL","DIVERGENTE"),IF(TRIM(G96&amp;"")=TRIM(F96&amp;""),"IGUAL","DIVERGENTE")))</f>
        <v/>
      </c>
      <c r="J96" s="3" t="n"/>
    </row>
    <row r="97">
      <c r="A97" s="4" t="n">
        <v>12</v>
      </c>
      <c r="B97" s="4" t="inlineStr">
        <is>
          <t>UNIDADES VERTICAIS LANÇADAS POR TRIMESTRE</t>
        </is>
      </c>
      <c r="C97" s="4" t="inlineStr">
        <is>
          <t>Tabela 1</t>
        </is>
      </c>
      <c r="D97" s="4" t="inlineStr">
        <is>
          <t>-23%</t>
        </is>
      </c>
      <c r="E97" s="4" t="inlineStr">
        <is>
          <t>Coluna 3</t>
        </is>
      </c>
      <c r="F97" s="4" t="inlineStr">
        <is>
          <t>+29%</t>
        </is>
      </c>
      <c r="G97" s="4" t="n"/>
      <c r="H97" s="4" t="n"/>
      <c r="I97" s="4">
        <f>IF(G97="","PENDENTE",IF(AND(ISNUMBER(F97),ISNUMBER(G97)),IF(ABS(G97-F97)&lt;=H97,"IGUAL","DIVERGENTE"),IF(TRIM(G97&amp;"")=TRIM(F97&amp;""),"IGUAL","DIVERGENTE")))</f>
        <v/>
      </c>
      <c r="J97" s="4" t="n"/>
    </row>
    <row r="98">
      <c r="A98" s="3" t="n">
        <v>12</v>
      </c>
      <c r="B98" s="3" t="inlineStr">
        <is>
          <t>UNIDADES VERTICAIS LANÇADAS POR TRIMESTRE</t>
        </is>
      </c>
      <c r="C98" s="3" t="inlineStr">
        <is>
          <t>Tabela 1</t>
        </is>
      </c>
      <c r="D98" s="3" t="inlineStr">
        <is>
          <t>-23%</t>
        </is>
      </c>
      <c r="E98" s="3" t="inlineStr">
        <is>
          <t>Coluna 4</t>
        </is>
      </c>
      <c r="F98" s="3" t="inlineStr">
        <is>
          <t>+27%</t>
        </is>
      </c>
      <c r="G98" s="3" t="n"/>
      <c r="H98" s="3" t="n"/>
      <c r="I98" s="3">
        <f>IF(G98="","PENDENTE",IF(AND(ISNUMBER(F98),ISNUMBER(G98)),IF(ABS(G98-F98)&lt;=H98,"IGUAL","DIVERGENTE"),IF(TRIM(G98&amp;"")=TRIM(F98&amp;""),"IGUAL","DIVERGENTE")))</f>
        <v/>
      </c>
      <c r="J98" s="3" t="n"/>
    </row>
    <row r="99">
      <c r="A99" s="4" t="n">
        <v>13</v>
      </c>
      <c r="B99" s="4" t="inlineStr">
        <is>
          <t>UNIDADES VERTICAIS LANÇADAS POR PADRÃO</t>
        </is>
      </c>
      <c r="C99" s="4" t="inlineStr">
        <is>
          <t>Gráfico 1 / plot 1</t>
        </is>
      </c>
      <c r="D99" s="4" t="inlineStr">
        <is>
          <t>Luxo</t>
        </is>
      </c>
      <c r="E99" s="4" t="inlineStr">
        <is>
          <t>2020</t>
        </is>
      </c>
      <c r="F99" s="4" t="n">
        <v>0</v>
      </c>
      <c r="G99" s="4" t="n"/>
      <c r="H99" s="4" t="n">
        <v>0</v>
      </c>
      <c r="I99" s="4">
        <f>IF(G99="","PENDENTE",IF(AND(ISNUMBER(F99),ISNUMBER(G99)),IF(ABS(G99-F99)&lt;=H99,"IGUAL","DIVERGENTE"),IF(TRIM(G99&amp;"")=TRIM(F99&amp;""),"IGUAL","DIVERGENTE")))</f>
        <v/>
      </c>
      <c r="J99" s="4" t="n"/>
    </row>
    <row r="100">
      <c r="A100" s="3" t="n">
        <v>13</v>
      </c>
      <c r="B100" s="3" t="inlineStr">
        <is>
          <t>UNIDADES VERTICAIS LANÇADAS POR PADRÃO</t>
        </is>
      </c>
      <c r="C100" s="3" t="inlineStr">
        <is>
          <t>Gráfico 1 / plot 1</t>
        </is>
      </c>
      <c r="D100" s="3" t="inlineStr">
        <is>
          <t>Luxo</t>
        </is>
      </c>
      <c r="E100" s="3" t="inlineStr">
        <is>
          <t>2021</t>
        </is>
      </c>
      <c r="F100" s="3" t="n">
        <v>0</v>
      </c>
      <c r="G100" s="3" t="n"/>
      <c r="H100" s="3" t="n">
        <v>0</v>
      </c>
      <c r="I100" s="3">
        <f>IF(G100="","PENDENTE",IF(AND(ISNUMBER(F100),ISNUMBER(G100)),IF(ABS(G100-F100)&lt;=H100,"IGUAL","DIVERGENTE"),IF(TRIM(G100&amp;"")=TRIM(F100&amp;""),"IGUAL","DIVERGENTE")))</f>
        <v/>
      </c>
      <c r="J100" s="3" t="n"/>
    </row>
    <row r="101">
      <c r="A101" s="4" t="n">
        <v>13</v>
      </c>
      <c r="B101" s="4" t="inlineStr">
        <is>
          <t>UNIDADES VERTICAIS LANÇADAS POR PADRÃO</t>
        </is>
      </c>
      <c r="C101" s="4" t="inlineStr">
        <is>
          <t>Gráfico 1 / plot 1</t>
        </is>
      </c>
      <c r="D101" s="4" t="inlineStr">
        <is>
          <t>Luxo</t>
        </is>
      </c>
      <c r="E101" s="4" t="inlineStr">
        <is>
          <t>2022</t>
        </is>
      </c>
      <c r="F101" s="4" t="n">
        <v>0</v>
      </c>
      <c r="G101" s="4" t="n"/>
      <c r="H101" s="4" t="n">
        <v>0</v>
      </c>
      <c r="I101" s="4">
        <f>IF(G101="","PENDENTE",IF(AND(ISNUMBER(F101),ISNUMBER(G101)),IF(ABS(G101-F101)&lt;=H101,"IGUAL","DIVERGENTE"),IF(TRIM(G101&amp;"")=TRIM(F101&amp;""),"IGUAL","DIVERGENTE")))</f>
        <v/>
      </c>
      <c r="J101" s="4" t="n"/>
    </row>
    <row r="102">
      <c r="A102" s="3" t="n">
        <v>13</v>
      </c>
      <c r="B102" s="3" t="inlineStr">
        <is>
          <t>UNIDADES VERTICAIS LANÇADAS POR PADRÃO</t>
        </is>
      </c>
      <c r="C102" s="3" t="inlineStr">
        <is>
          <t>Gráfico 1 / plot 1</t>
        </is>
      </c>
      <c r="D102" s="3" t="inlineStr">
        <is>
          <t>Luxo</t>
        </is>
      </c>
      <c r="E102" s="3" t="inlineStr">
        <is>
          <t>2023</t>
        </is>
      </c>
      <c r="F102" s="3" t="n">
        <v>0</v>
      </c>
      <c r="G102" s="3" t="n"/>
      <c r="H102" s="3" t="n">
        <v>0</v>
      </c>
      <c r="I102" s="3">
        <f>IF(G102="","PENDENTE",IF(AND(ISNUMBER(F102),ISNUMBER(G102)),IF(ABS(G102-F102)&lt;=H102,"IGUAL","DIVERGENTE"),IF(TRIM(G102&amp;"")=TRIM(F102&amp;""),"IGUAL","DIVERGENTE")))</f>
        <v/>
      </c>
      <c r="J102" s="3" t="n"/>
    </row>
    <row r="103">
      <c r="A103" s="4" t="n">
        <v>13</v>
      </c>
      <c r="B103" s="4" t="inlineStr">
        <is>
          <t>UNIDADES VERTICAIS LANÇADAS POR PADRÃO</t>
        </is>
      </c>
      <c r="C103" s="4" t="inlineStr">
        <is>
          <t>Gráfico 1 / plot 1</t>
        </is>
      </c>
      <c r="D103" s="4" t="inlineStr">
        <is>
          <t>Luxo</t>
        </is>
      </c>
      <c r="E103" s="4" t="inlineStr">
        <is>
          <t>2024</t>
        </is>
      </c>
      <c r="F103" s="4" t="n">
        <v>0.01187756966651439</v>
      </c>
      <c r="G103" s="4" t="n"/>
      <c r="H103" s="4" t="n">
        <v>0.005</v>
      </c>
      <c r="I103" s="4">
        <f>IF(G103="","PENDENTE",IF(AND(ISNUMBER(F103),ISNUMBER(G103)),IF(ABS(G103-F103)&lt;=H103,"IGUAL","DIVERGENTE"),IF(TRIM(G103&amp;"")=TRIM(F103&amp;""),"IGUAL","DIVERGENTE")))</f>
        <v/>
      </c>
      <c r="J103" s="4" t="n"/>
    </row>
    <row r="104">
      <c r="A104" s="3" t="n">
        <v>13</v>
      </c>
      <c r="B104" s="3" t="inlineStr">
        <is>
          <t>UNIDADES VERTICAIS LANÇADAS POR PADRÃO</t>
        </is>
      </c>
      <c r="C104" s="3" t="inlineStr">
        <is>
          <t>Gráfico 1 / plot 1</t>
        </is>
      </c>
      <c r="D104" s="3" t="inlineStr">
        <is>
          <t>Luxo</t>
        </is>
      </c>
      <c r="E104" s="3" t="inlineStr">
        <is>
          <t>2025</t>
        </is>
      </c>
      <c r="F104" s="3" t="n">
        <v>0</v>
      </c>
      <c r="G104" s="3" t="n"/>
      <c r="H104" s="3" t="n">
        <v>0</v>
      </c>
      <c r="I104" s="3">
        <f>IF(G104="","PENDENTE",IF(AND(ISNUMBER(F104),ISNUMBER(G104)),IF(ABS(G104-F104)&lt;=H104,"IGUAL","DIVERGENTE"),IF(TRIM(G104&amp;"")=TRIM(F104&amp;""),"IGUAL","DIVERGENTE")))</f>
        <v/>
      </c>
      <c r="J104" s="3" t="n"/>
    </row>
    <row r="105">
      <c r="A105" s="4" t="n">
        <v>13</v>
      </c>
      <c r="B105" s="4" t="inlineStr">
        <is>
          <t>UNIDADES VERTICAIS LANÇADAS POR PADRÃO</t>
        </is>
      </c>
      <c r="C105" s="4" t="inlineStr">
        <is>
          <t>Gráfico 1 / plot 1</t>
        </is>
      </c>
      <c r="D105" s="4" t="inlineStr">
        <is>
          <t>Médio Padrão</t>
        </is>
      </c>
      <c r="E105" s="4" t="inlineStr">
        <is>
          <t>2020</t>
        </is>
      </c>
      <c r="F105" s="4" t="n">
        <v>0.2444603288062902</v>
      </c>
      <c r="G105" s="4" t="n"/>
      <c r="H105" s="4" t="n">
        <v>0.005</v>
      </c>
      <c r="I105" s="4">
        <f>IF(G105="","PENDENTE",IF(AND(ISNUMBER(F105),ISNUMBER(G105)),IF(ABS(G105-F105)&lt;=H105,"IGUAL","DIVERGENTE"),IF(TRIM(G105&amp;"")=TRIM(F105&amp;""),"IGUAL","DIVERGENTE")))</f>
        <v/>
      </c>
      <c r="J105" s="4" t="n"/>
    </row>
    <row r="106">
      <c r="A106" s="3" t="n">
        <v>13</v>
      </c>
      <c r="B106" s="3" t="inlineStr">
        <is>
          <t>UNIDADES VERTICAIS LANÇADAS POR PADRÃO</t>
        </is>
      </c>
      <c r="C106" s="3" t="inlineStr">
        <is>
          <t>Gráfico 1 / plot 1</t>
        </is>
      </c>
      <c r="D106" s="3" t="inlineStr">
        <is>
          <t>Médio Padrão</t>
        </is>
      </c>
      <c r="E106" s="3" t="inlineStr">
        <is>
          <t>2021</t>
        </is>
      </c>
      <c r="F106" s="3" t="n">
        <v>0.216094948617745</v>
      </c>
      <c r="G106" s="3" t="n"/>
      <c r="H106" s="3" t="n">
        <v>0.005</v>
      </c>
      <c r="I106" s="3">
        <f>IF(G106="","PENDENTE",IF(AND(ISNUMBER(F106),ISNUMBER(G106)),IF(ABS(G106-F106)&lt;=H106,"IGUAL","DIVERGENTE"),IF(TRIM(G106&amp;"")=TRIM(F106&amp;""),"IGUAL","DIVERGENTE")))</f>
        <v/>
      </c>
      <c r="J106" s="3" t="n"/>
    </row>
    <row r="107">
      <c r="A107" s="4" t="n">
        <v>13</v>
      </c>
      <c r="B107" s="4" t="inlineStr">
        <is>
          <t>UNIDADES VERTICAIS LANÇADAS POR PADRÃO</t>
        </is>
      </c>
      <c r="C107" s="4" t="inlineStr">
        <is>
          <t>Gráfico 1 / plot 1</t>
        </is>
      </c>
      <c r="D107" s="4" t="inlineStr">
        <is>
          <t>Médio Padrão</t>
        </is>
      </c>
      <c r="E107" s="4" t="inlineStr">
        <is>
          <t>2022</t>
        </is>
      </c>
      <c r="F107" s="4" t="n">
        <v>0.2786699414320801</v>
      </c>
      <c r="G107" s="4" t="n"/>
      <c r="H107" s="4" t="n">
        <v>0.005</v>
      </c>
      <c r="I107" s="4">
        <f>IF(G107="","PENDENTE",IF(AND(ISNUMBER(F107),ISNUMBER(G107)),IF(ABS(G107-F107)&lt;=H107,"IGUAL","DIVERGENTE"),IF(TRIM(G107&amp;"")=TRIM(F107&amp;""),"IGUAL","DIVERGENTE")))</f>
        <v/>
      </c>
      <c r="J107" s="4" t="n"/>
    </row>
    <row r="108">
      <c r="A108" s="3" t="n">
        <v>13</v>
      </c>
      <c r="B108" s="3" t="inlineStr">
        <is>
          <t>UNIDADES VERTICAIS LANÇADAS POR PADRÃO</t>
        </is>
      </c>
      <c r="C108" s="3" t="inlineStr">
        <is>
          <t>Gráfico 1 / plot 1</t>
        </is>
      </c>
      <c r="D108" s="3" t="inlineStr">
        <is>
          <t>Médio Padrão</t>
        </is>
      </c>
      <c r="E108" s="3" t="inlineStr">
        <is>
          <t>2023</t>
        </is>
      </c>
      <c r="F108" s="3" t="n">
        <v>0.2632970908022333</v>
      </c>
      <c r="G108" s="3" t="n"/>
      <c r="H108" s="3" t="n">
        <v>0.005</v>
      </c>
      <c r="I108" s="3">
        <f>IF(G108="","PENDENTE",IF(AND(ISNUMBER(F108),ISNUMBER(G108)),IF(ABS(G108-F108)&lt;=H108,"IGUAL","DIVERGENTE"),IF(TRIM(G108&amp;"")=TRIM(F108&amp;""),"IGUAL","DIVERGENTE")))</f>
        <v/>
      </c>
      <c r="J108" s="3" t="n"/>
    </row>
    <row r="109">
      <c r="A109" s="4" t="n">
        <v>13</v>
      </c>
      <c r="B109" s="4" t="inlineStr">
        <is>
          <t>UNIDADES VERTICAIS LANÇADAS POR PADRÃO</t>
        </is>
      </c>
      <c r="C109" s="4" t="inlineStr">
        <is>
          <t>Gráfico 1 / plot 1</t>
        </is>
      </c>
      <c r="D109" s="4" t="inlineStr">
        <is>
          <t>Médio Padrão</t>
        </is>
      </c>
      <c r="E109" s="4" t="inlineStr">
        <is>
          <t>2024</t>
        </is>
      </c>
      <c r="F109" s="4" t="n">
        <v>0.1386477843764276</v>
      </c>
      <c r="G109" s="4" t="n"/>
      <c r="H109" s="4" t="n">
        <v>0.005</v>
      </c>
      <c r="I109" s="4">
        <f>IF(G109="","PENDENTE",IF(AND(ISNUMBER(F109),ISNUMBER(G109)),IF(ABS(G109-F109)&lt;=H109,"IGUAL","DIVERGENTE"),IF(TRIM(G109&amp;"")=TRIM(F109&amp;""),"IGUAL","DIVERGENTE")))</f>
        <v/>
      </c>
      <c r="J109" s="4" t="n"/>
    </row>
    <row r="110">
      <c r="A110" s="3" t="n">
        <v>13</v>
      </c>
      <c r="B110" s="3" t="inlineStr">
        <is>
          <t>UNIDADES VERTICAIS LANÇADAS POR PADRÃO</t>
        </is>
      </c>
      <c r="C110" s="3" t="inlineStr">
        <is>
          <t>Gráfico 1 / plot 1</t>
        </is>
      </c>
      <c r="D110" s="3" t="inlineStr">
        <is>
          <t>Médio Padrão</t>
        </is>
      </c>
      <c r="E110" s="3" t="inlineStr">
        <is>
          <t>2025</t>
        </is>
      </c>
      <c r="F110" s="3" t="n">
        <v>0.1129639591178053</v>
      </c>
      <c r="G110" s="3" t="n"/>
      <c r="H110" s="3" t="n">
        <v>0.005</v>
      </c>
      <c r="I110" s="3">
        <f>IF(G110="","PENDENTE",IF(AND(ISNUMBER(F110),ISNUMBER(G110)),IF(ABS(G110-F110)&lt;=H110,"IGUAL","DIVERGENTE"),IF(TRIM(G110&amp;"")=TRIM(F110&amp;""),"IGUAL","DIVERGENTE")))</f>
        <v/>
      </c>
      <c r="J110" s="3" t="n"/>
    </row>
    <row r="111">
      <c r="A111" s="4" t="n">
        <v>13</v>
      </c>
      <c r="B111" s="4" t="inlineStr">
        <is>
          <t>UNIDADES VERTICAIS LANÇADAS POR PADRÃO</t>
        </is>
      </c>
      <c r="C111" s="4" t="inlineStr">
        <is>
          <t>Gráfico 1 / plot 1</t>
        </is>
      </c>
      <c r="D111" s="4" t="inlineStr">
        <is>
          <t>MCMV</t>
        </is>
      </c>
      <c r="E111" s="4" t="inlineStr">
        <is>
          <t>2020</t>
        </is>
      </c>
      <c r="F111" s="4" t="n">
        <v>0.7538718131999047</v>
      </c>
      <c r="G111" s="4" t="n"/>
      <c r="H111" s="4" t="n">
        <v>0.005</v>
      </c>
      <c r="I111" s="4">
        <f>IF(G111="","PENDENTE",IF(AND(ISNUMBER(F111),ISNUMBER(G111)),IF(ABS(G111-F111)&lt;=H111,"IGUAL","DIVERGENTE"),IF(TRIM(G111&amp;"")=TRIM(F111&amp;""),"IGUAL","DIVERGENTE")))</f>
        <v/>
      </c>
      <c r="J111" s="4" t="n"/>
    </row>
    <row r="112">
      <c r="A112" s="3" t="n">
        <v>13</v>
      </c>
      <c r="B112" s="3" t="inlineStr">
        <is>
          <t>UNIDADES VERTICAIS LANÇADAS POR PADRÃO</t>
        </is>
      </c>
      <c r="C112" s="3" t="inlineStr">
        <is>
          <t>Gráfico 1 / plot 1</t>
        </is>
      </c>
      <c r="D112" s="3" t="inlineStr">
        <is>
          <t>MCMV</t>
        </is>
      </c>
      <c r="E112" s="3" t="inlineStr">
        <is>
          <t>2021</t>
        </is>
      </c>
      <c r="F112" s="3" t="n">
        <v>0.7750759878419453</v>
      </c>
      <c r="G112" s="3" t="n"/>
      <c r="H112" s="3" t="n">
        <v>0.005</v>
      </c>
      <c r="I112" s="3">
        <f>IF(G112="","PENDENTE",IF(AND(ISNUMBER(F112),ISNUMBER(G112)),IF(ABS(G112-F112)&lt;=H112,"IGUAL","DIVERGENTE"),IF(TRIM(G112&amp;"")=TRIM(F112&amp;""),"IGUAL","DIVERGENTE")))</f>
        <v/>
      </c>
      <c r="J112" s="3" t="n"/>
    </row>
    <row r="113">
      <c r="A113" s="4" t="n">
        <v>13</v>
      </c>
      <c r="B113" s="4" t="inlineStr">
        <is>
          <t>UNIDADES VERTICAIS LANÇADAS POR PADRÃO</t>
        </is>
      </c>
      <c r="C113" s="4" t="inlineStr">
        <is>
          <t>Gráfico 1 / plot 1</t>
        </is>
      </c>
      <c r="D113" s="4" t="inlineStr">
        <is>
          <t>MCMV</t>
        </is>
      </c>
      <c r="E113" s="4" t="inlineStr">
        <is>
          <t>2022</t>
        </is>
      </c>
      <c r="F113" s="4" t="n">
        <v>0.6081617230304175</v>
      </c>
      <c r="G113" s="4" t="n"/>
      <c r="H113" s="4" t="n">
        <v>0.005</v>
      </c>
      <c r="I113" s="4">
        <f>IF(G113="","PENDENTE",IF(AND(ISNUMBER(F113),ISNUMBER(G113)),IF(ABS(G113-F113)&lt;=H113,"IGUAL","DIVERGENTE"),IF(TRIM(G113&amp;"")=TRIM(F113&amp;""),"IGUAL","DIVERGENTE")))</f>
        <v/>
      </c>
      <c r="J113" s="4" t="n"/>
    </row>
    <row r="114">
      <c r="A114" s="3" t="n">
        <v>13</v>
      </c>
      <c r="B114" s="3" t="inlineStr">
        <is>
          <t>UNIDADES VERTICAIS LANÇADAS POR PADRÃO</t>
        </is>
      </c>
      <c r="C114" s="3" t="inlineStr">
        <is>
          <t>Gráfico 1 / plot 1</t>
        </is>
      </c>
      <c r="D114" s="3" t="inlineStr">
        <is>
          <t>MCMV</t>
        </is>
      </c>
      <c r="E114" s="3" t="inlineStr">
        <is>
          <t>2023</t>
        </is>
      </c>
      <c r="F114" s="3" t="n">
        <v>0.6338524831031442</v>
      </c>
      <c r="G114" s="3" t="n"/>
      <c r="H114" s="3" t="n">
        <v>0.005</v>
      </c>
      <c r="I114" s="3">
        <f>IF(G114="","PENDENTE",IF(AND(ISNUMBER(F114),ISNUMBER(G114)),IF(ABS(G114-F114)&lt;=H114,"IGUAL","DIVERGENTE"),IF(TRIM(G114&amp;"")=TRIM(F114&amp;""),"IGUAL","DIVERGENTE")))</f>
        <v/>
      </c>
      <c r="J114" s="3" t="n"/>
    </row>
    <row r="115">
      <c r="A115" s="4" t="n">
        <v>13</v>
      </c>
      <c r="B115" s="4" t="inlineStr">
        <is>
          <t>UNIDADES VERTICAIS LANÇADAS POR PADRÃO</t>
        </is>
      </c>
      <c r="C115" s="4" t="inlineStr">
        <is>
          <t>Gráfico 1 / plot 1</t>
        </is>
      </c>
      <c r="D115" s="4" t="inlineStr">
        <is>
          <t>MCMV</t>
        </is>
      </c>
      <c r="E115" s="4" t="inlineStr">
        <is>
          <t>2024</t>
        </is>
      </c>
      <c r="F115" s="4" t="n">
        <v>0.8259479214253084</v>
      </c>
      <c r="G115" s="4" t="n"/>
      <c r="H115" s="4" t="n">
        <v>0.005</v>
      </c>
      <c r="I115" s="4">
        <f>IF(G115="","PENDENTE",IF(AND(ISNUMBER(F115),ISNUMBER(G115)),IF(ABS(G115-F115)&lt;=H115,"IGUAL","DIVERGENTE"),IF(TRIM(G115&amp;"")=TRIM(F115&amp;""),"IGUAL","DIVERGENTE")))</f>
        <v/>
      </c>
      <c r="J115" s="4" t="n"/>
    </row>
    <row r="116">
      <c r="A116" s="3" t="n">
        <v>13</v>
      </c>
      <c r="B116" s="3" t="inlineStr">
        <is>
          <t>UNIDADES VERTICAIS LANÇADAS POR PADRÃO</t>
        </is>
      </c>
      <c r="C116" s="3" t="inlineStr">
        <is>
          <t>Gráfico 1 / plot 1</t>
        </is>
      </c>
      <c r="D116" s="3" t="inlineStr">
        <is>
          <t>MCMV</t>
        </is>
      </c>
      <c r="E116" s="3" t="inlineStr">
        <is>
          <t>2025</t>
        </is>
      </c>
      <c r="F116" s="3" t="n">
        <v>0.8870360408821947</v>
      </c>
      <c r="G116" s="3" t="n"/>
      <c r="H116" s="3" t="n">
        <v>0.005</v>
      </c>
      <c r="I116" s="3">
        <f>IF(G116="","PENDENTE",IF(AND(ISNUMBER(F116),ISNUMBER(G116)),IF(ABS(G116-F116)&lt;=H116,"IGUAL","DIVERGENTE"),IF(TRIM(G116&amp;"")=TRIM(F116&amp;""),"IGUAL","DIVERGENTE")))</f>
        <v/>
      </c>
      <c r="J116" s="3" t="n"/>
    </row>
    <row r="117">
      <c r="A117" s="4" t="n">
        <v>13</v>
      </c>
      <c r="B117" s="4" t="inlineStr">
        <is>
          <t>UNIDADES VERTICAIS LANÇADAS POR PADRÃO</t>
        </is>
      </c>
      <c r="C117" s="4" t="inlineStr">
        <is>
          <t>Gráfico 1 / plot 1</t>
        </is>
      </c>
      <c r="D117" s="4" t="inlineStr">
        <is>
          <t>Compactos</t>
        </is>
      </c>
      <c r="E117" s="4" t="inlineStr">
        <is>
          <t>2020</t>
        </is>
      </c>
      <c r="F117" s="4" t="n">
        <v>0.001667857993805099</v>
      </c>
      <c r="G117" s="4" t="n"/>
      <c r="H117" s="4" t="n">
        <v>0.005</v>
      </c>
      <c r="I117" s="4">
        <f>IF(G117="","PENDENTE",IF(AND(ISNUMBER(F117),ISNUMBER(G117)),IF(ABS(G117-F117)&lt;=H117,"IGUAL","DIVERGENTE"),IF(TRIM(G117&amp;"")=TRIM(F117&amp;""),"IGUAL","DIVERGENTE")))</f>
        <v/>
      </c>
      <c r="J117" s="4" t="n"/>
    </row>
    <row r="118">
      <c r="A118" s="3" t="n">
        <v>13</v>
      </c>
      <c r="B118" s="3" t="inlineStr">
        <is>
          <t>UNIDADES VERTICAIS LANÇADAS POR PADRÃO</t>
        </is>
      </c>
      <c r="C118" s="3" t="inlineStr">
        <is>
          <t>Gráfico 1 / plot 1</t>
        </is>
      </c>
      <c r="D118" s="3" t="inlineStr">
        <is>
          <t>Compactos</t>
        </is>
      </c>
      <c r="E118" s="3" t="inlineStr">
        <is>
          <t>2021</t>
        </is>
      </c>
      <c r="F118" s="3" t="n">
        <v>0.008829063540309741</v>
      </c>
      <c r="G118" s="3" t="n"/>
      <c r="H118" s="3" t="n">
        <v>0.005</v>
      </c>
      <c r="I118" s="3">
        <f>IF(G118="","PENDENTE",IF(AND(ISNUMBER(F118),ISNUMBER(G118)),IF(ABS(G118-F118)&lt;=H118,"IGUAL","DIVERGENTE"),IF(TRIM(G118&amp;"")=TRIM(F118&amp;""),"IGUAL","DIVERGENTE")))</f>
        <v/>
      </c>
      <c r="J118" s="3" t="n"/>
    </row>
    <row r="119">
      <c r="A119" s="4" t="n">
        <v>13</v>
      </c>
      <c r="B119" s="4" t="inlineStr">
        <is>
          <t>UNIDADES VERTICAIS LANÇADAS POR PADRÃO</t>
        </is>
      </c>
      <c r="C119" s="4" t="inlineStr">
        <is>
          <t>Gráfico 1 / plot 1</t>
        </is>
      </c>
      <c r="D119" s="4" t="inlineStr">
        <is>
          <t>Compactos</t>
        </is>
      </c>
      <c r="E119" s="4" t="inlineStr">
        <is>
          <t>2022</t>
        </is>
      </c>
      <c r="F119" s="4" t="n">
        <v>0.1131683355375024</v>
      </c>
      <c r="G119" s="4" t="n"/>
      <c r="H119" s="4" t="n">
        <v>0.005</v>
      </c>
      <c r="I119" s="4">
        <f>IF(G119="","PENDENTE",IF(AND(ISNUMBER(F119),ISNUMBER(G119)),IF(ABS(G119-F119)&lt;=H119,"IGUAL","DIVERGENTE"),IF(TRIM(G119&amp;"")=TRIM(F119&amp;""),"IGUAL","DIVERGENTE")))</f>
        <v/>
      </c>
      <c r="J119" s="4" t="n"/>
    </row>
    <row r="120">
      <c r="A120" s="3" t="n">
        <v>13</v>
      </c>
      <c r="B120" s="3" t="inlineStr">
        <is>
          <t>UNIDADES VERTICAIS LANÇADAS POR PADRÃO</t>
        </is>
      </c>
      <c r="C120" s="3" t="inlineStr">
        <is>
          <t>Gráfico 1 / plot 1</t>
        </is>
      </c>
      <c r="D120" s="3" t="inlineStr">
        <is>
          <t>Compactos</t>
        </is>
      </c>
      <c r="E120" s="3" t="inlineStr">
        <is>
          <t>2023</t>
        </is>
      </c>
      <c r="F120" s="3" t="n">
        <v>0.1028504260946224</v>
      </c>
      <c r="G120" s="3" t="n"/>
      <c r="H120" s="3" t="n">
        <v>0.005</v>
      </c>
      <c r="I120" s="3">
        <f>IF(G120="","PENDENTE",IF(AND(ISNUMBER(F120),ISNUMBER(G120)),IF(ABS(G120-F120)&lt;=H120,"IGUAL","DIVERGENTE"),IF(TRIM(G120&amp;"")=TRIM(F120&amp;""),"IGUAL","DIVERGENTE")))</f>
        <v/>
      </c>
      <c r="J120" s="3" t="n"/>
    </row>
    <row r="121">
      <c r="A121" s="4" t="n">
        <v>13</v>
      </c>
      <c r="B121" s="4" t="inlineStr">
        <is>
          <t>UNIDADES VERTICAIS LANÇADAS POR PADRÃO</t>
        </is>
      </c>
      <c r="C121" s="4" t="inlineStr">
        <is>
          <t>Gráfico 1 / plot 1</t>
        </is>
      </c>
      <c r="D121" s="4" t="inlineStr">
        <is>
          <t>Compactos</t>
        </is>
      </c>
      <c r="E121" s="4" t="inlineStr">
        <is>
          <t>2024</t>
        </is>
      </c>
      <c r="F121" s="4" t="n">
        <v>0.02352672453174966</v>
      </c>
      <c r="G121" s="4" t="n"/>
      <c r="H121" s="4" t="n">
        <v>0.005</v>
      </c>
      <c r="I121" s="4">
        <f>IF(G121="","PENDENTE",IF(AND(ISNUMBER(F121),ISNUMBER(G121)),IF(ABS(G121-F121)&lt;=H121,"IGUAL","DIVERGENTE"),IF(TRIM(G121&amp;"")=TRIM(F121&amp;""),"IGUAL","DIVERGENTE")))</f>
        <v/>
      </c>
      <c r="J121" s="4" t="n"/>
    </row>
    <row r="122">
      <c r="A122" s="3" t="n">
        <v>13</v>
      </c>
      <c r="B122" s="3" t="inlineStr">
        <is>
          <t>UNIDADES VERTICAIS LANÇADAS POR PADRÃO</t>
        </is>
      </c>
      <c r="C122" s="3" t="inlineStr">
        <is>
          <t>Gráfico 1 / plot 1</t>
        </is>
      </c>
      <c r="D122" s="3" t="inlineStr">
        <is>
          <t>Compactos</t>
        </is>
      </c>
      <c r="E122" s="3" t="inlineStr">
        <is>
          <t>2025</t>
        </is>
      </c>
      <c r="F122" s="3" t="n">
        <v>0</v>
      </c>
      <c r="G122" s="3" t="n"/>
      <c r="H122" s="3" t="n">
        <v>0</v>
      </c>
      <c r="I122" s="3">
        <f>IF(G122="","PENDENTE",IF(AND(ISNUMBER(F122),ISNUMBER(G122)),IF(ABS(G122-F122)&lt;=H122,"IGUAL","DIVERGENTE"),IF(TRIM(G122&amp;"")=TRIM(F122&amp;""),"IGUAL","DIVERGENTE")))</f>
        <v/>
      </c>
      <c r="J122" s="3" t="n"/>
    </row>
    <row r="123">
      <c r="A123" s="4" t="n">
        <v>14</v>
      </c>
      <c r="B123" s="4" t="inlineStr">
        <is>
          <t>UNIDADES VERTICAIS LANÇADAS ACUMULADO 12 MESES</t>
        </is>
      </c>
      <c r="C123" s="4" t="inlineStr">
        <is>
          <t>Gráfico 1 / plot 1</t>
        </is>
      </c>
      <c r="D123" s="4" t="inlineStr">
        <is>
          <t>RM de Porto Alegre</t>
        </is>
      </c>
      <c r="E123" s="4" t="inlineStr">
        <is>
          <t>4T/2021</t>
        </is>
      </c>
      <c r="F123" s="4" t="n">
        <v>6909</v>
      </c>
      <c r="G123" s="4" t="n"/>
      <c r="H123" s="4" t="n">
        <v>0</v>
      </c>
      <c r="I123" s="4">
        <f>IF(G123="","PENDENTE",IF(AND(ISNUMBER(F123),ISNUMBER(G123)),IF(ABS(G123-F123)&lt;=H123,"IGUAL","DIVERGENTE"),IF(TRIM(G123&amp;"")=TRIM(F123&amp;""),"IGUAL","DIVERGENTE")))</f>
        <v/>
      </c>
      <c r="J123" s="4" t="n"/>
    </row>
    <row r="124">
      <c r="A124" s="3" t="n">
        <v>14</v>
      </c>
      <c r="B124" s="3" t="inlineStr">
        <is>
          <t>UNIDADES VERTICAIS LANÇADAS ACUMULADO 12 MESES</t>
        </is>
      </c>
      <c r="C124" s="3" t="inlineStr">
        <is>
          <t>Gráfico 1 / plot 1</t>
        </is>
      </c>
      <c r="D124" s="3" t="inlineStr">
        <is>
          <t>RM de Porto Alegre</t>
        </is>
      </c>
      <c r="E124" s="3" t="inlineStr">
        <is>
          <t>1T/2022</t>
        </is>
      </c>
      <c r="F124" s="3" t="n">
        <v>7655</v>
      </c>
      <c r="G124" s="3" t="n"/>
      <c r="H124" s="3" t="n">
        <v>0</v>
      </c>
      <c r="I124" s="3">
        <f>IF(G124="","PENDENTE",IF(AND(ISNUMBER(F124),ISNUMBER(G124)),IF(ABS(G124-F124)&lt;=H124,"IGUAL","DIVERGENTE"),IF(TRIM(G124&amp;"")=TRIM(F124&amp;""),"IGUAL","DIVERGENTE")))</f>
        <v/>
      </c>
      <c r="J124" s="3" t="n"/>
    </row>
    <row r="125">
      <c r="A125" s="4" t="n">
        <v>14</v>
      </c>
      <c r="B125" s="4" t="inlineStr">
        <is>
          <t>UNIDADES VERTICAIS LANÇADAS ACUMULADO 12 MESES</t>
        </is>
      </c>
      <c r="C125" s="4" t="inlineStr">
        <is>
          <t>Gráfico 1 / plot 1</t>
        </is>
      </c>
      <c r="D125" s="4" t="inlineStr">
        <is>
          <t>RM de Porto Alegre</t>
        </is>
      </c>
      <c r="E125" s="4" t="inlineStr">
        <is>
          <t>2T/2022</t>
        </is>
      </c>
      <c r="F125" s="4" t="n">
        <v>7589</v>
      </c>
      <c r="G125" s="4" t="n"/>
      <c r="H125" s="4" t="n">
        <v>0</v>
      </c>
      <c r="I125" s="4">
        <f>IF(G125="","PENDENTE",IF(AND(ISNUMBER(F125),ISNUMBER(G125)),IF(ABS(G125-F125)&lt;=H125,"IGUAL","DIVERGENTE"),IF(TRIM(G125&amp;"")=TRIM(F125&amp;""),"IGUAL","DIVERGENTE")))</f>
        <v/>
      </c>
      <c r="J125" s="4" t="n"/>
    </row>
    <row r="126">
      <c r="A126" s="3" t="n">
        <v>14</v>
      </c>
      <c r="B126" s="3" t="inlineStr">
        <is>
          <t>UNIDADES VERTICAIS LANÇADAS ACUMULADO 12 MESES</t>
        </is>
      </c>
      <c r="C126" s="3" t="inlineStr">
        <is>
          <t>Gráfico 1 / plot 1</t>
        </is>
      </c>
      <c r="D126" s="3" t="inlineStr">
        <is>
          <t>RM de Porto Alegre</t>
        </is>
      </c>
      <c r="E126" s="3" t="inlineStr">
        <is>
          <t>3T/2022</t>
        </is>
      </c>
      <c r="F126" s="3" t="n">
        <v>6581</v>
      </c>
      <c r="G126" s="3" t="n"/>
      <c r="H126" s="3" t="n">
        <v>0</v>
      </c>
      <c r="I126" s="3">
        <f>IF(G126="","PENDENTE",IF(AND(ISNUMBER(F126),ISNUMBER(G126)),IF(ABS(G126-F126)&lt;=H126,"IGUAL","DIVERGENTE"),IF(TRIM(G126&amp;"")=TRIM(F126&amp;""),"IGUAL","DIVERGENTE")))</f>
        <v/>
      </c>
      <c r="J126" s="3" t="n"/>
    </row>
    <row r="127">
      <c r="A127" s="4" t="n">
        <v>14</v>
      </c>
      <c r="B127" s="4" t="inlineStr">
        <is>
          <t>UNIDADES VERTICAIS LANÇADAS ACUMULADO 12 MESES</t>
        </is>
      </c>
      <c r="C127" s="4" t="inlineStr">
        <is>
          <t>Gráfico 1 / plot 1</t>
        </is>
      </c>
      <c r="D127" s="4" t="inlineStr">
        <is>
          <t>RM de Porto Alegre</t>
        </is>
      </c>
      <c r="E127" s="4" t="inlineStr">
        <is>
          <t>4T/2022</t>
        </is>
      </c>
      <c r="F127" s="4" t="n">
        <v>5293</v>
      </c>
      <c r="G127" s="4" t="n"/>
      <c r="H127" s="4" t="n">
        <v>0</v>
      </c>
      <c r="I127" s="4">
        <f>IF(G127="","PENDENTE",IF(AND(ISNUMBER(F127),ISNUMBER(G127)),IF(ABS(G127-F127)&lt;=H127,"IGUAL","DIVERGENTE"),IF(TRIM(G127&amp;"")=TRIM(F127&amp;""),"IGUAL","DIVERGENTE")))</f>
        <v/>
      </c>
      <c r="J127" s="4" t="n"/>
    </row>
    <row r="128">
      <c r="A128" s="3" t="n">
        <v>14</v>
      </c>
      <c r="B128" s="3" t="inlineStr">
        <is>
          <t>UNIDADES VERTICAIS LANÇADAS ACUMULADO 12 MESES</t>
        </is>
      </c>
      <c r="C128" s="3" t="inlineStr">
        <is>
          <t>Gráfico 1 / plot 1</t>
        </is>
      </c>
      <c r="D128" s="3" t="inlineStr">
        <is>
          <t>RM de Porto Alegre</t>
        </is>
      </c>
      <c r="E128" s="3" t="inlineStr">
        <is>
          <t>1T/2023</t>
        </is>
      </c>
      <c r="F128" s="3" t="n">
        <v>5590</v>
      </c>
      <c r="G128" s="3" t="n"/>
      <c r="H128" s="3" t="n">
        <v>0</v>
      </c>
      <c r="I128" s="3">
        <f>IF(G128="","PENDENTE",IF(AND(ISNUMBER(F128),ISNUMBER(G128)),IF(ABS(G128-F128)&lt;=H128,"IGUAL","DIVERGENTE"),IF(TRIM(G128&amp;"")=TRIM(F128&amp;""),"IGUAL","DIVERGENTE")))</f>
        <v/>
      </c>
      <c r="J128" s="3" t="n"/>
    </row>
    <row r="129">
      <c r="A129" s="4" t="n">
        <v>14</v>
      </c>
      <c r="B129" s="4" t="inlineStr">
        <is>
          <t>UNIDADES VERTICAIS LANÇADAS ACUMULADO 12 MESES</t>
        </is>
      </c>
      <c r="C129" s="4" t="inlineStr">
        <is>
          <t>Gráfico 1 / plot 1</t>
        </is>
      </c>
      <c r="D129" s="4" t="inlineStr">
        <is>
          <t>RM de Porto Alegre</t>
        </is>
      </c>
      <c r="E129" s="4" t="inlineStr">
        <is>
          <t>2T/2023</t>
        </is>
      </c>
      <c r="F129" s="4" t="n">
        <v>5373</v>
      </c>
      <c r="G129" s="4" t="n"/>
      <c r="H129" s="4" t="n">
        <v>0</v>
      </c>
      <c r="I129" s="4">
        <f>IF(G129="","PENDENTE",IF(AND(ISNUMBER(F129),ISNUMBER(G129)),IF(ABS(G129-F129)&lt;=H129,"IGUAL","DIVERGENTE"),IF(TRIM(G129&amp;"")=TRIM(F129&amp;""),"IGUAL","DIVERGENTE")))</f>
        <v/>
      </c>
      <c r="J129" s="4" t="n"/>
    </row>
    <row r="130">
      <c r="A130" s="3" t="n">
        <v>14</v>
      </c>
      <c r="B130" s="3" t="inlineStr">
        <is>
          <t>UNIDADES VERTICAIS LANÇADAS ACUMULADO 12 MESES</t>
        </is>
      </c>
      <c r="C130" s="3" t="inlineStr">
        <is>
          <t>Gráfico 1 / plot 1</t>
        </is>
      </c>
      <c r="D130" s="3" t="inlineStr">
        <is>
          <t>RM de Porto Alegre</t>
        </is>
      </c>
      <c r="E130" s="3" t="inlineStr">
        <is>
          <t>3T/2023</t>
        </is>
      </c>
      <c r="F130" s="3" t="n">
        <v>4666</v>
      </c>
      <c r="G130" s="3" t="n"/>
      <c r="H130" s="3" t="n">
        <v>0</v>
      </c>
      <c r="I130" s="3">
        <f>IF(G130="","PENDENTE",IF(AND(ISNUMBER(F130),ISNUMBER(G130)),IF(ABS(G130-F130)&lt;=H130,"IGUAL","DIVERGENTE"),IF(TRIM(G130&amp;"")=TRIM(F130&amp;""),"IGUAL","DIVERGENTE")))</f>
        <v/>
      </c>
      <c r="J130" s="3" t="n"/>
    </row>
    <row r="131">
      <c r="A131" s="4" t="n">
        <v>14</v>
      </c>
      <c r="B131" s="4" t="inlineStr">
        <is>
          <t>UNIDADES VERTICAIS LANÇADAS ACUMULADO 12 MESES</t>
        </is>
      </c>
      <c r="C131" s="4" t="inlineStr">
        <is>
          <t>Gráfico 1 / plot 1</t>
        </is>
      </c>
      <c r="D131" s="4" t="inlineStr">
        <is>
          <t>RM de Porto Alegre</t>
        </is>
      </c>
      <c r="E131" s="4" t="inlineStr">
        <is>
          <t>4T/2023</t>
        </is>
      </c>
      <c r="F131" s="4" t="n">
        <v>3403</v>
      </c>
      <c r="G131" s="4" t="n"/>
      <c r="H131" s="4" t="n">
        <v>0</v>
      </c>
      <c r="I131" s="4">
        <f>IF(G131="","PENDENTE",IF(AND(ISNUMBER(F131),ISNUMBER(G131)),IF(ABS(G131-F131)&lt;=H131,"IGUAL","DIVERGENTE"),IF(TRIM(G131&amp;"")=TRIM(F131&amp;""),"IGUAL","DIVERGENTE")))</f>
        <v/>
      </c>
      <c r="J131" s="4" t="n"/>
    </row>
    <row r="132">
      <c r="A132" s="3" t="n">
        <v>14</v>
      </c>
      <c r="B132" s="3" t="inlineStr">
        <is>
          <t>UNIDADES VERTICAIS LANÇADAS ACUMULADO 12 MESES</t>
        </is>
      </c>
      <c r="C132" s="3" t="inlineStr">
        <is>
          <t>Gráfico 1 / plot 1</t>
        </is>
      </c>
      <c r="D132" s="3" t="inlineStr">
        <is>
          <t>RM de Porto Alegre</t>
        </is>
      </c>
      <c r="E132" s="3" t="inlineStr">
        <is>
          <t>1T/2024</t>
        </is>
      </c>
      <c r="F132" s="3" t="n">
        <v>2956</v>
      </c>
      <c r="G132" s="3" t="n"/>
      <c r="H132" s="3" t="n">
        <v>0</v>
      </c>
      <c r="I132" s="3">
        <f>IF(G132="","PENDENTE",IF(AND(ISNUMBER(F132),ISNUMBER(G132)),IF(ABS(G132-F132)&lt;=H132,"IGUAL","DIVERGENTE"),IF(TRIM(G132&amp;"")=TRIM(F132&amp;""),"IGUAL","DIVERGENTE")))</f>
        <v/>
      </c>
      <c r="J132" s="3" t="n"/>
    </row>
    <row r="133">
      <c r="A133" s="4" t="n">
        <v>14</v>
      </c>
      <c r="B133" s="4" t="inlineStr">
        <is>
          <t>UNIDADES VERTICAIS LANÇADAS ACUMULADO 12 MESES</t>
        </is>
      </c>
      <c r="C133" s="4" t="inlineStr">
        <is>
          <t>Gráfico 1 / plot 1</t>
        </is>
      </c>
      <c r="D133" s="4" t="inlineStr">
        <is>
          <t>RM de Porto Alegre</t>
        </is>
      </c>
      <c r="E133" s="4" t="inlineStr">
        <is>
          <t>2T/2024</t>
        </is>
      </c>
      <c r="F133" s="4" t="n">
        <v>2848</v>
      </c>
      <c r="G133" s="4" t="n"/>
      <c r="H133" s="4" t="n">
        <v>0</v>
      </c>
      <c r="I133" s="4">
        <f>IF(G133="","PENDENTE",IF(AND(ISNUMBER(F133),ISNUMBER(G133)),IF(ABS(G133-F133)&lt;=H133,"IGUAL","DIVERGENTE"),IF(TRIM(G133&amp;"")=TRIM(F133&amp;""),"IGUAL","DIVERGENTE")))</f>
        <v/>
      </c>
      <c r="J133" s="4" t="n"/>
    </row>
    <row r="134">
      <c r="A134" s="3" t="n">
        <v>14</v>
      </c>
      <c r="B134" s="3" t="inlineStr">
        <is>
          <t>UNIDADES VERTICAIS LANÇADAS ACUMULADO 12 MESES</t>
        </is>
      </c>
      <c r="C134" s="3" t="inlineStr">
        <is>
          <t>Gráfico 1 / plot 1</t>
        </is>
      </c>
      <c r="D134" s="3" t="inlineStr">
        <is>
          <t>RM de Porto Alegre</t>
        </is>
      </c>
      <c r="E134" s="3" t="inlineStr">
        <is>
          <t>3T/2024</t>
        </is>
      </c>
      <c r="F134" s="3" t="n">
        <v>3006</v>
      </c>
      <c r="G134" s="3" t="n"/>
      <c r="H134" s="3" t="n">
        <v>0</v>
      </c>
      <c r="I134" s="3">
        <f>IF(G134="","PENDENTE",IF(AND(ISNUMBER(F134),ISNUMBER(G134)),IF(ABS(G134-F134)&lt;=H134,"IGUAL","DIVERGENTE"),IF(TRIM(G134&amp;"")=TRIM(F134&amp;""),"IGUAL","DIVERGENTE")))</f>
        <v/>
      </c>
      <c r="J134" s="3" t="n"/>
    </row>
    <row r="135">
      <c r="A135" s="4" t="n">
        <v>14</v>
      </c>
      <c r="B135" s="4" t="inlineStr">
        <is>
          <t>UNIDADES VERTICAIS LANÇADAS ACUMULADO 12 MESES</t>
        </is>
      </c>
      <c r="C135" s="4" t="inlineStr">
        <is>
          <t>Gráfico 1 / plot 1</t>
        </is>
      </c>
      <c r="D135" s="4" t="inlineStr">
        <is>
          <t>RM de Porto Alegre</t>
        </is>
      </c>
      <c r="E135" s="4" t="inlineStr">
        <is>
          <t>4T/2024</t>
        </is>
      </c>
      <c r="F135" s="4" t="n">
        <v>4378</v>
      </c>
      <c r="G135" s="4" t="n"/>
      <c r="H135" s="4" t="n">
        <v>0</v>
      </c>
      <c r="I135" s="4">
        <f>IF(G135="","PENDENTE",IF(AND(ISNUMBER(F135),ISNUMBER(G135)),IF(ABS(G135-F135)&lt;=H135,"IGUAL","DIVERGENTE"),IF(TRIM(G135&amp;"")=TRIM(F135&amp;""),"IGUAL","DIVERGENTE")))</f>
        <v/>
      </c>
      <c r="J135" s="4" t="n"/>
    </row>
    <row r="136">
      <c r="A136" s="3" t="n">
        <v>14</v>
      </c>
      <c r="B136" s="3" t="inlineStr">
        <is>
          <t>UNIDADES VERTICAIS LANÇADAS ACUMULADO 12 MESES</t>
        </is>
      </c>
      <c r="C136" s="3" t="inlineStr">
        <is>
          <t>Gráfico 1 / plot 1</t>
        </is>
      </c>
      <c r="D136" s="3" t="inlineStr">
        <is>
          <t>RM de Porto Alegre</t>
        </is>
      </c>
      <c r="E136" s="3" t="inlineStr">
        <is>
          <t>1T/2025</t>
        </is>
      </c>
      <c r="F136" s="3" t="n">
        <v>5094</v>
      </c>
      <c r="G136" s="3" t="n"/>
      <c r="H136" s="3" t="n">
        <v>0</v>
      </c>
      <c r="I136" s="3">
        <f>IF(G136="","PENDENTE",IF(AND(ISNUMBER(F136),ISNUMBER(G136)),IF(ABS(G136-F136)&lt;=H136,"IGUAL","DIVERGENTE"),IF(TRIM(G136&amp;"")=TRIM(F136&amp;""),"IGUAL","DIVERGENTE")))</f>
        <v/>
      </c>
      <c r="J136" s="3" t="n"/>
    </row>
    <row r="137">
      <c r="A137" s="4" t="n">
        <v>14</v>
      </c>
      <c r="B137" s="4" t="inlineStr">
        <is>
          <t>UNIDADES VERTICAIS LANÇADAS ACUMULADO 12 MESES</t>
        </is>
      </c>
      <c r="C137" s="4" t="inlineStr">
        <is>
          <t>Gráfico 1 / plot 1</t>
        </is>
      </c>
      <c r="D137" s="4" t="inlineStr">
        <is>
          <t>RM de Porto Alegre</t>
        </is>
      </c>
      <c r="E137" s="4" t="inlineStr">
        <is>
          <t>2T/2025</t>
        </is>
      </c>
      <c r="F137" s="4" t="n">
        <v>5315</v>
      </c>
      <c r="G137" s="4" t="n"/>
      <c r="H137" s="4" t="n">
        <v>0</v>
      </c>
      <c r="I137" s="4">
        <f>IF(G137="","PENDENTE",IF(AND(ISNUMBER(F137),ISNUMBER(G137)),IF(ABS(G137-F137)&lt;=H137,"IGUAL","DIVERGENTE"),IF(TRIM(G137&amp;"")=TRIM(F137&amp;""),"IGUAL","DIVERGENTE")))</f>
        <v/>
      </c>
      <c r="J137" s="4" t="n"/>
    </row>
    <row r="138">
      <c r="A138" s="3" t="n">
        <v>14</v>
      </c>
      <c r="B138" s="3" t="inlineStr">
        <is>
          <t>UNIDADES VERTICAIS LANÇADAS ACUMULADO 12 MESES</t>
        </is>
      </c>
      <c r="C138" s="3" t="inlineStr">
        <is>
          <t>Gráfico 1 / plot 1</t>
        </is>
      </c>
      <c r="D138" s="3" t="inlineStr">
        <is>
          <t>RM de Porto Alegre</t>
        </is>
      </c>
      <c r="E138" s="3" t="inlineStr">
        <is>
          <t>3T/2025</t>
        </is>
      </c>
      <c r="F138" s="3" t="n">
        <v>4874</v>
      </c>
      <c r="G138" s="3" t="n"/>
      <c r="H138" s="3" t="n">
        <v>0</v>
      </c>
      <c r="I138" s="3">
        <f>IF(G138="","PENDENTE",IF(AND(ISNUMBER(F138),ISNUMBER(G138)),IF(ABS(G138-F138)&lt;=H138,"IGUAL","DIVERGENTE"),IF(TRIM(G138&amp;"")=TRIM(F138&amp;""),"IGUAL","DIVERGENTE")))</f>
        <v/>
      </c>
      <c r="J138" s="3" t="n"/>
    </row>
    <row r="139">
      <c r="A139" s="4" t="n">
        <v>14</v>
      </c>
      <c r="B139" s="4" t="inlineStr">
        <is>
          <t>UNIDADES VERTICAIS LANÇADAS ACUMULADO 12 MESES</t>
        </is>
      </c>
      <c r="C139" s="4" t="inlineStr">
        <is>
          <t>Gráfico 1 / plot 1</t>
        </is>
      </c>
      <c r="D139" s="4" t="inlineStr">
        <is>
          <t>RM de Porto Alegre</t>
        </is>
      </c>
      <c r="E139" s="4" t="inlineStr">
        <is>
          <t>4T/2025</t>
        </is>
      </c>
      <c r="F139" s="4" t="n">
        <v>5577</v>
      </c>
      <c r="G139" s="4" t="n"/>
      <c r="H139" s="4" t="n">
        <v>0</v>
      </c>
      <c r="I139" s="4">
        <f>IF(G139="","PENDENTE",IF(AND(ISNUMBER(F139),ISNUMBER(G139)),IF(ABS(G139-F139)&lt;=H139,"IGUAL","DIVERGENTE"),IF(TRIM(G139&amp;"")=TRIM(F139&amp;""),"IGUAL","DIVERGENTE")))</f>
        <v/>
      </c>
      <c r="J139" s="4" t="n"/>
    </row>
    <row r="140">
      <c r="A140" s="3" t="n">
        <v>14</v>
      </c>
      <c r="B140" s="3" t="inlineStr">
        <is>
          <t>UNIDADES VERTICAIS LANÇADAS ACUMULADO 12 MESES</t>
        </is>
      </c>
      <c r="C140" s="3" t="inlineStr">
        <is>
          <t>Tabela 1</t>
        </is>
      </c>
      <c r="D140" s="3" t="inlineStr">
        <is>
          <t>4T21 x 4T22</t>
        </is>
      </c>
      <c r="E140" s="3" t="inlineStr">
        <is>
          <t>Coluna 2</t>
        </is>
      </c>
      <c r="F140" s="3" t="inlineStr">
        <is>
          <t>4T22 x 4T23</t>
        </is>
      </c>
      <c r="G140" s="3" t="n"/>
      <c r="H140" s="3" t="n"/>
      <c r="I140" s="3">
        <f>IF(G140="","PENDENTE",IF(AND(ISNUMBER(F140),ISNUMBER(G140)),IF(ABS(G140-F140)&lt;=H140,"IGUAL","DIVERGENTE"),IF(TRIM(G140&amp;"")=TRIM(F140&amp;""),"IGUAL","DIVERGENTE")))</f>
        <v/>
      </c>
      <c r="J140" s="3" t="n"/>
    </row>
    <row r="141">
      <c r="A141" s="4" t="n">
        <v>14</v>
      </c>
      <c r="B141" s="4" t="inlineStr">
        <is>
          <t>UNIDADES VERTICAIS LANÇADAS ACUMULADO 12 MESES</t>
        </is>
      </c>
      <c r="C141" s="4" t="inlineStr">
        <is>
          <t>Tabela 1</t>
        </is>
      </c>
      <c r="D141" s="4" t="inlineStr">
        <is>
          <t>4T21 x 4T22</t>
        </is>
      </c>
      <c r="E141" s="4" t="inlineStr">
        <is>
          <t>Coluna 3</t>
        </is>
      </c>
      <c r="F141" s="4" t="inlineStr">
        <is>
          <t>4T23 X 4T24</t>
        </is>
      </c>
      <c r="G141" s="4" t="n"/>
      <c r="H141" s="4" t="n"/>
      <c r="I141" s="4">
        <f>IF(G141="","PENDENTE",IF(AND(ISNUMBER(F141),ISNUMBER(G141)),IF(ABS(G141-F141)&lt;=H141,"IGUAL","DIVERGENTE"),IF(TRIM(G141&amp;"")=TRIM(F141&amp;""),"IGUAL","DIVERGENTE")))</f>
        <v/>
      </c>
      <c r="J141" s="4" t="n"/>
    </row>
    <row r="142">
      <c r="A142" s="3" t="n">
        <v>14</v>
      </c>
      <c r="B142" s="3" t="inlineStr">
        <is>
          <t>UNIDADES VERTICAIS LANÇADAS ACUMULADO 12 MESES</t>
        </is>
      </c>
      <c r="C142" s="3" t="inlineStr">
        <is>
          <t>Tabela 1</t>
        </is>
      </c>
      <c r="D142" s="3" t="inlineStr">
        <is>
          <t>4T21 x 4T22</t>
        </is>
      </c>
      <c r="E142" s="3" t="inlineStr">
        <is>
          <t>Coluna 4</t>
        </is>
      </c>
      <c r="F142" s="3" t="inlineStr">
        <is>
          <t>4T24 x 4T25</t>
        </is>
      </c>
      <c r="G142" s="3" t="n"/>
      <c r="H142" s="3" t="n"/>
      <c r="I142" s="3">
        <f>IF(G142="","PENDENTE",IF(AND(ISNUMBER(F142),ISNUMBER(G142)),IF(ABS(G142-F142)&lt;=H142,"IGUAL","DIVERGENTE"),IF(TRIM(G142&amp;"")=TRIM(F142&amp;""),"IGUAL","DIVERGENTE")))</f>
        <v/>
      </c>
      <c r="J142" s="3" t="n"/>
    </row>
    <row r="143">
      <c r="A143" s="4" t="n">
        <v>14</v>
      </c>
      <c r="B143" s="4" t="inlineStr">
        <is>
          <t>UNIDADES VERTICAIS LANÇADAS ACUMULADO 12 MESES</t>
        </is>
      </c>
      <c r="C143" s="4" t="inlineStr">
        <is>
          <t>Tabela 1</t>
        </is>
      </c>
      <c r="D143" s="4" t="inlineStr">
        <is>
          <t>-23%</t>
        </is>
      </c>
      <c r="E143" s="4" t="inlineStr">
        <is>
          <t>Coluna 2</t>
        </is>
      </c>
      <c r="F143" s="4" t="inlineStr">
        <is>
          <t>-36%</t>
        </is>
      </c>
      <c r="G143" s="4" t="n"/>
      <c r="H143" s="4" t="n"/>
      <c r="I143" s="4">
        <f>IF(G143="","PENDENTE",IF(AND(ISNUMBER(F143),ISNUMBER(G143)),IF(ABS(G143-F143)&lt;=H143,"IGUAL","DIVERGENTE"),IF(TRIM(G143&amp;"")=TRIM(F143&amp;""),"IGUAL","DIVERGENTE")))</f>
        <v/>
      </c>
      <c r="J143" s="4" t="n"/>
    </row>
    <row r="144">
      <c r="A144" s="3" t="n">
        <v>14</v>
      </c>
      <c r="B144" s="3" t="inlineStr">
        <is>
          <t>UNIDADES VERTICAIS LANÇADAS ACUMULADO 12 MESES</t>
        </is>
      </c>
      <c r="C144" s="3" t="inlineStr">
        <is>
          <t>Tabela 1</t>
        </is>
      </c>
      <c r="D144" s="3" t="inlineStr">
        <is>
          <t>-23%</t>
        </is>
      </c>
      <c r="E144" s="3" t="inlineStr">
        <is>
          <t>Coluna 3</t>
        </is>
      </c>
      <c r="F144" s="3" t="inlineStr">
        <is>
          <t>+29%</t>
        </is>
      </c>
      <c r="G144" s="3" t="n"/>
      <c r="H144" s="3" t="n"/>
      <c r="I144" s="3">
        <f>IF(G144="","PENDENTE",IF(AND(ISNUMBER(F144),ISNUMBER(G144)),IF(ABS(G144-F144)&lt;=H144,"IGUAL","DIVERGENTE"),IF(TRIM(G144&amp;"")=TRIM(F144&amp;""),"IGUAL","DIVERGENTE")))</f>
        <v/>
      </c>
      <c r="J144" s="3" t="n"/>
    </row>
    <row r="145">
      <c r="A145" s="4" t="n">
        <v>14</v>
      </c>
      <c r="B145" s="4" t="inlineStr">
        <is>
          <t>UNIDADES VERTICAIS LANÇADAS ACUMULADO 12 MESES</t>
        </is>
      </c>
      <c r="C145" s="4" t="inlineStr">
        <is>
          <t>Tabela 1</t>
        </is>
      </c>
      <c r="D145" s="4" t="inlineStr">
        <is>
          <t>-23%</t>
        </is>
      </c>
      <c r="E145" s="4" t="inlineStr">
        <is>
          <t>Coluna 4</t>
        </is>
      </c>
      <c r="F145" s="4" t="inlineStr">
        <is>
          <t>+27%</t>
        </is>
      </c>
      <c r="G145" s="4" t="n"/>
      <c r="H145" s="4" t="n"/>
      <c r="I145" s="4">
        <f>IF(G145="","PENDENTE",IF(AND(ISNUMBER(F145),ISNUMBER(G145)),IF(ABS(G145-F145)&lt;=H145,"IGUAL","DIVERGENTE"),IF(TRIM(G145&amp;"")=TRIM(F145&amp;""),"IGUAL","DIVERGENTE")))</f>
        <v/>
      </c>
      <c r="J145" s="4" t="n"/>
    </row>
    <row r="146">
      <c r="A146" s="3" t="n">
        <v>15</v>
      </c>
      <c r="B146" s="3" t="inlineStr">
        <is>
          <t>UNIDADES VERTICAIS LANÇADAS POR TRIMESTRE</t>
        </is>
      </c>
      <c r="C146" s="3" t="inlineStr">
        <is>
          <t>Gráfico 1 / plot 1</t>
        </is>
      </c>
      <c r="D146" s="3" t="inlineStr">
        <is>
          <t>RM de Porto Alegre</t>
        </is>
      </c>
      <c r="E146" s="3" t="inlineStr">
        <is>
          <t>1S 2025</t>
        </is>
      </c>
      <c r="F146" s="3" t="n">
        <v>2527</v>
      </c>
      <c r="G146" s="3" t="n"/>
      <c r="H146" s="3" t="n">
        <v>0</v>
      </c>
      <c r="I146" s="3">
        <f>IF(G146="","PENDENTE",IF(AND(ISNUMBER(F146),ISNUMBER(G146)),IF(ABS(G146-F146)&lt;=H146,"IGUAL","DIVERGENTE"),IF(TRIM(G146&amp;"")=TRIM(F146&amp;""),"IGUAL","DIVERGENTE")))</f>
        <v/>
      </c>
      <c r="J146" s="3" t="n"/>
    </row>
    <row r="147">
      <c r="A147" s="4" t="n">
        <v>15</v>
      </c>
      <c r="B147" s="4" t="inlineStr">
        <is>
          <t>UNIDADES VERTICAIS LANÇADAS POR TRIMESTRE</t>
        </is>
      </c>
      <c r="C147" s="4" t="inlineStr">
        <is>
          <t>Gráfico 1 / plot 1</t>
        </is>
      </c>
      <c r="D147" s="4" t="inlineStr">
        <is>
          <t>RM de Porto Alegre</t>
        </is>
      </c>
      <c r="E147" s="4" t="inlineStr">
        <is>
          <t>2S 2025</t>
        </is>
      </c>
      <c r="F147" s="4" t="n">
        <v>2420</v>
      </c>
      <c r="G147" s="4" t="n"/>
      <c r="H147" s="4" t="n">
        <v>0</v>
      </c>
      <c r="I147" s="4">
        <f>IF(G147="","PENDENTE",IF(AND(ISNUMBER(F147),ISNUMBER(G147)),IF(ABS(G147-F147)&lt;=H147,"IGUAL","DIVERGENTE"),IF(TRIM(G147&amp;"")=TRIM(F147&amp;""),"IGUAL","DIVERGENTE")))</f>
        <v/>
      </c>
      <c r="J147" s="4" t="n"/>
    </row>
    <row r="148">
      <c r="A148" s="3" t="n">
        <v>15</v>
      </c>
      <c r="B148" s="3" t="inlineStr">
        <is>
          <t>UNIDADES VERTICAIS LANÇADAS POR TRIMESTRE</t>
        </is>
      </c>
      <c r="C148" s="3" t="inlineStr">
        <is>
          <t>Gráfico 2 / plot 1</t>
        </is>
      </c>
      <c r="D148" s="3" t="inlineStr">
        <is>
          <t>RM de Porto Alegre</t>
        </is>
      </c>
      <c r="E148" s="3" t="inlineStr">
        <is>
          <t>4T/21</t>
        </is>
      </c>
      <c r="F148" s="3" t="n">
        <v>1879</v>
      </c>
      <c r="G148" s="3" t="n"/>
      <c r="H148" s="3" t="n">
        <v>0</v>
      </c>
      <c r="I148" s="3">
        <f>IF(G148="","PENDENTE",IF(AND(ISNUMBER(F148),ISNUMBER(G148)),IF(ABS(G148-F148)&lt;=H148,"IGUAL","DIVERGENTE"),IF(TRIM(G148&amp;"")=TRIM(F148&amp;""),"IGUAL","DIVERGENTE")))</f>
        <v/>
      </c>
      <c r="J148" s="3" t="n"/>
    </row>
    <row r="149">
      <c r="A149" s="4" t="n">
        <v>15</v>
      </c>
      <c r="B149" s="4" t="inlineStr">
        <is>
          <t>UNIDADES VERTICAIS LANÇADAS POR TRIMESTRE</t>
        </is>
      </c>
      <c r="C149" s="4" t="inlineStr">
        <is>
          <t>Gráfico 2 / plot 1</t>
        </is>
      </c>
      <c r="D149" s="4" t="inlineStr">
        <is>
          <t>RM de Porto Alegre</t>
        </is>
      </c>
      <c r="E149" s="4" t="inlineStr">
        <is>
          <t>1T/22</t>
        </is>
      </c>
      <c r="F149" s="4" t="n">
        <v>598</v>
      </c>
      <c r="G149" s="4" t="n"/>
      <c r="H149" s="4" t="n">
        <v>0</v>
      </c>
      <c r="I149" s="4">
        <f>IF(G149="","PENDENTE",IF(AND(ISNUMBER(F149),ISNUMBER(G149)),IF(ABS(G149-F149)&lt;=H149,"IGUAL","DIVERGENTE"),IF(TRIM(G149&amp;"")=TRIM(F149&amp;""),"IGUAL","DIVERGENTE")))</f>
        <v/>
      </c>
      <c r="J149" s="4" t="n"/>
    </row>
    <row r="150">
      <c r="A150" s="3" t="n">
        <v>15</v>
      </c>
      <c r="B150" s="3" t="inlineStr">
        <is>
          <t>UNIDADES VERTICAIS LANÇADAS POR TRIMESTRE</t>
        </is>
      </c>
      <c r="C150" s="3" t="inlineStr">
        <is>
          <t>Gráfico 2 / plot 1</t>
        </is>
      </c>
      <c r="D150" s="3" t="inlineStr">
        <is>
          <t>RM de Porto Alegre</t>
        </is>
      </c>
      <c r="E150" s="3" t="inlineStr">
        <is>
          <t>2T/22</t>
        </is>
      </c>
      <c r="F150" s="3" t="n">
        <v>1123</v>
      </c>
      <c r="G150" s="3" t="n"/>
      <c r="H150" s="3" t="n">
        <v>0</v>
      </c>
      <c r="I150" s="3">
        <f>IF(G150="","PENDENTE",IF(AND(ISNUMBER(F150),ISNUMBER(G150)),IF(ABS(G150-F150)&lt;=H150,"IGUAL","DIVERGENTE"),IF(TRIM(G150&amp;"")=TRIM(F150&amp;""),"IGUAL","DIVERGENTE")))</f>
        <v/>
      </c>
      <c r="J150" s="3" t="n"/>
    </row>
    <row r="151">
      <c r="A151" s="4" t="n">
        <v>15</v>
      </c>
      <c r="B151" s="4" t="inlineStr">
        <is>
          <t>UNIDADES VERTICAIS LANÇADAS POR TRIMESTRE</t>
        </is>
      </c>
      <c r="C151" s="4" t="inlineStr">
        <is>
          <t>Gráfico 2 / plot 1</t>
        </is>
      </c>
      <c r="D151" s="4" t="inlineStr">
        <is>
          <t>RM de Porto Alegre</t>
        </is>
      </c>
      <c r="E151" s="4" t="inlineStr">
        <is>
          <t>3T/22</t>
        </is>
      </c>
      <c r="F151" s="4" t="n">
        <v>634</v>
      </c>
      <c r="G151" s="4" t="n"/>
      <c r="H151" s="4" t="n">
        <v>0</v>
      </c>
      <c r="I151" s="4">
        <f>IF(G151="","PENDENTE",IF(AND(ISNUMBER(F151),ISNUMBER(G151)),IF(ABS(G151-F151)&lt;=H151,"IGUAL","DIVERGENTE"),IF(TRIM(G151&amp;"")=TRIM(F151&amp;""),"IGUAL","DIVERGENTE")))</f>
        <v/>
      </c>
      <c r="J151" s="4" t="n"/>
    </row>
    <row r="152">
      <c r="A152" s="3" t="n">
        <v>15</v>
      </c>
      <c r="B152" s="3" t="inlineStr">
        <is>
          <t>UNIDADES VERTICAIS LANÇADAS POR TRIMESTRE</t>
        </is>
      </c>
      <c r="C152" s="3" t="inlineStr">
        <is>
          <t>Gráfico 2 / plot 1</t>
        </is>
      </c>
      <c r="D152" s="3" t="inlineStr">
        <is>
          <t>RM de Porto Alegre</t>
        </is>
      </c>
      <c r="E152" s="3" t="inlineStr">
        <is>
          <t>4T/22</t>
        </is>
      </c>
      <c r="F152" s="3" t="n">
        <v>864</v>
      </c>
      <c r="G152" s="3" t="n"/>
      <c r="H152" s="3" t="n">
        <v>0</v>
      </c>
      <c r="I152" s="3">
        <f>IF(G152="","PENDENTE",IF(AND(ISNUMBER(F152),ISNUMBER(G152)),IF(ABS(G152-F152)&lt;=H152,"IGUAL","DIVERGENTE"),IF(TRIM(G152&amp;"")=TRIM(F152&amp;""),"IGUAL","DIVERGENTE")))</f>
        <v/>
      </c>
      <c r="J152" s="3" t="n"/>
    </row>
    <row r="153">
      <c r="A153" s="4" t="n">
        <v>15</v>
      </c>
      <c r="B153" s="4" t="inlineStr">
        <is>
          <t>UNIDADES VERTICAIS LANÇADAS POR TRIMESTRE</t>
        </is>
      </c>
      <c r="C153" s="4" t="inlineStr">
        <is>
          <t>Gráfico 2 / plot 1</t>
        </is>
      </c>
      <c r="D153" s="4" t="inlineStr">
        <is>
          <t>RM de Porto Alegre</t>
        </is>
      </c>
      <c r="E153" s="4" t="inlineStr">
        <is>
          <t>1T/23</t>
        </is>
      </c>
      <c r="F153" s="4" t="n">
        <v>1067</v>
      </c>
      <c r="G153" s="4" t="n"/>
      <c r="H153" s="4" t="n">
        <v>0</v>
      </c>
      <c r="I153" s="4">
        <f>IF(G153="","PENDENTE",IF(AND(ISNUMBER(F153),ISNUMBER(G153)),IF(ABS(G153-F153)&lt;=H153,"IGUAL","DIVERGENTE"),IF(TRIM(G153&amp;"")=TRIM(F153&amp;""),"IGUAL","DIVERGENTE")))</f>
        <v/>
      </c>
      <c r="J153" s="4" t="n"/>
    </row>
    <row r="154">
      <c r="A154" s="3" t="n">
        <v>15</v>
      </c>
      <c r="B154" s="3" t="inlineStr">
        <is>
          <t>UNIDADES VERTICAIS LANÇADAS POR TRIMESTRE</t>
        </is>
      </c>
      <c r="C154" s="3" t="inlineStr">
        <is>
          <t>Gráfico 2 / plot 1</t>
        </is>
      </c>
      <c r="D154" s="3" t="inlineStr">
        <is>
          <t>RM de Porto Alegre</t>
        </is>
      </c>
      <c r="E154" s="3" t="inlineStr">
        <is>
          <t>2T/23</t>
        </is>
      </c>
      <c r="F154" s="3" t="n">
        <v>712</v>
      </c>
      <c r="G154" s="3" t="n"/>
      <c r="H154" s="3" t="n">
        <v>0</v>
      </c>
      <c r="I154" s="3">
        <f>IF(G154="","PENDENTE",IF(AND(ISNUMBER(F154),ISNUMBER(G154)),IF(ABS(G154-F154)&lt;=H154,"IGUAL","DIVERGENTE"),IF(TRIM(G154&amp;"")=TRIM(F154&amp;""),"IGUAL","DIVERGENTE")))</f>
        <v/>
      </c>
      <c r="J154" s="3" t="n"/>
    </row>
    <row r="155">
      <c r="A155" s="4" t="n">
        <v>15</v>
      </c>
      <c r="B155" s="4" t="inlineStr">
        <is>
          <t>UNIDADES VERTICAIS LANÇADAS POR TRIMESTRE</t>
        </is>
      </c>
      <c r="C155" s="4" t="inlineStr">
        <is>
          <t>Gráfico 2 / plot 1</t>
        </is>
      </c>
      <c r="D155" s="4" t="inlineStr">
        <is>
          <t>RM de Porto Alegre</t>
        </is>
      </c>
      <c r="E155" s="4" t="inlineStr">
        <is>
          <t>3T/23</t>
        </is>
      </c>
      <c r="F155" s="4" t="n">
        <v>168</v>
      </c>
      <c r="G155" s="4" t="n"/>
      <c r="H155" s="4" t="n">
        <v>0</v>
      </c>
      <c r="I155" s="4">
        <f>IF(G155="","PENDENTE",IF(AND(ISNUMBER(F155),ISNUMBER(G155)),IF(ABS(G155-F155)&lt;=H155,"IGUAL","DIVERGENTE"),IF(TRIM(G155&amp;"")=TRIM(F155&amp;""),"IGUAL","DIVERGENTE")))</f>
        <v/>
      </c>
      <c r="J155" s="4" t="n"/>
    </row>
    <row r="156">
      <c r="A156" s="3" t="n">
        <v>15</v>
      </c>
      <c r="B156" s="3" t="inlineStr">
        <is>
          <t>UNIDADES VERTICAIS LANÇADAS POR TRIMESTRE</t>
        </is>
      </c>
      <c r="C156" s="3" t="inlineStr">
        <is>
          <t>Gráfico 2 / plot 1</t>
        </is>
      </c>
      <c r="D156" s="3" t="inlineStr">
        <is>
          <t>RM de Porto Alegre</t>
        </is>
      </c>
      <c r="E156" s="3" t="inlineStr">
        <is>
          <t>4T/23</t>
        </is>
      </c>
      <c r="F156" s="3" t="n">
        <v>210</v>
      </c>
      <c r="G156" s="3" t="n"/>
      <c r="H156" s="3" t="n">
        <v>0</v>
      </c>
      <c r="I156" s="3">
        <f>IF(G156="","PENDENTE",IF(AND(ISNUMBER(F156),ISNUMBER(G156)),IF(ABS(G156-F156)&lt;=H156,"IGUAL","DIVERGENTE"),IF(TRIM(G156&amp;"")=TRIM(F156&amp;""),"IGUAL","DIVERGENTE")))</f>
        <v/>
      </c>
      <c r="J156" s="3" t="n"/>
    </row>
    <row r="157">
      <c r="A157" s="4" t="n">
        <v>15</v>
      </c>
      <c r="B157" s="4" t="inlineStr">
        <is>
          <t>UNIDADES VERTICAIS LANÇADAS POR TRIMESTRE</t>
        </is>
      </c>
      <c r="C157" s="4" t="inlineStr">
        <is>
          <t>Gráfico 2 / plot 1</t>
        </is>
      </c>
      <c r="D157" s="4" t="inlineStr">
        <is>
          <t>RM de Porto Alegre</t>
        </is>
      </c>
      <c r="E157" s="4" t="inlineStr">
        <is>
          <t>1T/24</t>
        </is>
      </c>
      <c r="F157" s="4" t="n">
        <v>917</v>
      </c>
      <c r="G157" s="4" t="n"/>
      <c r="H157" s="4" t="n">
        <v>0</v>
      </c>
      <c r="I157" s="4">
        <f>IF(G157="","PENDENTE",IF(AND(ISNUMBER(F157),ISNUMBER(G157)),IF(ABS(G157-F157)&lt;=H157,"IGUAL","DIVERGENTE"),IF(TRIM(G157&amp;"")=TRIM(F157&amp;""),"IGUAL","DIVERGENTE")))</f>
        <v/>
      </c>
      <c r="J157" s="4" t="n"/>
    </row>
    <row r="158">
      <c r="A158" s="3" t="n">
        <v>15</v>
      </c>
      <c r="B158" s="3" t="inlineStr">
        <is>
          <t>UNIDADES VERTICAIS LANÇADAS POR TRIMESTRE</t>
        </is>
      </c>
      <c r="C158" s="3" t="inlineStr">
        <is>
          <t>Gráfico 2 / plot 1</t>
        </is>
      </c>
      <c r="D158" s="3" t="inlineStr">
        <is>
          <t>RM de Porto Alegre</t>
        </is>
      </c>
      <c r="E158" s="3" t="inlineStr">
        <is>
          <t>2T/24</t>
        </is>
      </c>
      <c r="F158" s="3" t="n">
        <v>632</v>
      </c>
      <c r="G158" s="3" t="n"/>
      <c r="H158" s="3" t="n">
        <v>0</v>
      </c>
      <c r="I158" s="3">
        <f>IF(G158="","PENDENTE",IF(AND(ISNUMBER(F158),ISNUMBER(G158)),IF(ABS(G158-F158)&lt;=H158,"IGUAL","DIVERGENTE"),IF(TRIM(G158&amp;"")=TRIM(F158&amp;""),"IGUAL","DIVERGENTE")))</f>
        <v/>
      </c>
      <c r="J158" s="3" t="n"/>
    </row>
    <row r="159">
      <c r="A159" s="4" t="n">
        <v>15</v>
      </c>
      <c r="B159" s="4" t="inlineStr">
        <is>
          <t>UNIDADES VERTICAIS LANÇADAS POR TRIMESTRE</t>
        </is>
      </c>
      <c r="C159" s="4" t="inlineStr">
        <is>
          <t>Gráfico 2 / plot 1</t>
        </is>
      </c>
      <c r="D159" s="4" t="inlineStr">
        <is>
          <t>RM de Porto Alegre</t>
        </is>
      </c>
      <c r="E159" s="4" t="inlineStr">
        <is>
          <t>3T/24</t>
        </is>
      </c>
      <c r="F159" s="4" t="n">
        <v>579</v>
      </c>
      <c r="G159" s="4" t="n"/>
      <c r="H159" s="4" t="n">
        <v>0</v>
      </c>
      <c r="I159" s="4">
        <f>IF(G159="","PENDENTE",IF(AND(ISNUMBER(F159),ISNUMBER(G159)),IF(ABS(G159-F159)&lt;=H159,"IGUAL","DIVERGENTE"),IF(TRIM(G159&amp;"")=TRIM(F159&amp;""),"IGUAL","DIVERGENTE")))</f>
        <v/>
      </c>
      <c r="J159" s="4" t="n"/>
    </row>
    <row r="160">
      <c r="A160" s="3" t="n">
        <v>15</v>
      </c>
      <c r="B160" s="3" t="inlineStr">
        <is>
          <t>UNIDADES VERTICAIS LANÇADAS POR TRIMESTRE</t>
        </is>
      </c>
      <c r="C160" s="3" t="inlineStr">
        <is>
          <t>Gráfico 2 / plot 1</t>
        </is>
      </c>
      <c r="D160" s="3" t="inlineStr">
        <is>
          <t>RM de Porto Alegre</t>
        </is>
      </c>
      <c r="E160" s="3" t="inlineStr">
        <is>
          <t>4T/24</t>
        </is>
      </c>
      <c r="F160" s="3" t="n">
        <v>1488</v>
      </c>
      <c r="G160" s="3" t="n"/>
      <c r="H160" s="3" t="n">
        <v>0</v>
      </c>
      <c r="I160" s="3">
        <f>IF(G160="","PENDENTE",IF(AND(ISNUMBER(F160),ISNUMBER(G160)),IF(ABS(G160-F160)&lt;=H160,"IGUAL","DIVERGENTE"),IF(TRIM(G160&amp;"")=TRIM(F160&amp;""),"IGUAL","DIVERGENTE")))</f>
        <v/>
      </c>
      <c r="J160" s="3" t="n"/>
    </row>
    <row r="161">
      <c r="A161" s="4" t="n">
        <v>15</v>
      </c>
      <c r="B161" s="4" t="inlineStr">
        <is>
          <t>UNIDADES VERTICAIS LANÇADAS POR TRIMESTRE</t>
        </is>
      </c>
      <c r="C161" s="4" t="inlineStr">
        <is>
          <t>Gráfico 2 / plot 1</t>
        </is>
      </c>
      <c r="D161" s="4" t="inlineStr">
        <is>
          <t>RM de Porto Alegre</t>
        </is>
      </c>
      <c r="E161" s="4" t="inlineStr">
        <is>
          <t>1T/25</t>
        </is>
      </c>
      <c r="F161" s="4" t="n">
        <v>1450</v>
      </c>
      <c r="G161" s="4" t="n"/>
      <c r="H161" s="4" t="n">
        <v>0</v>
      </c>
      <c r="I161" s="4">
        <f>IF(G161="","PENDENTE",IF(AND(ISNUMBER(F161),ISNUMBER(G161)),IF(ABS(G161-F161)&lt;=H161,"IGUAL","DIVERGENTE"),IF(TRIM(G161&amp;"")=TRIM(F161&amp;""),"IGUAL","DIVERGENTE")))</f>
        <v/>
      </c>
      <c r="J161" s="4" t="n"/>
    </row>
    <row r="162">
      <c r="A162" s="3" t="n">
        <v>15</v>
      </c>
      <c r="B162" s="3" t="inlineStr">
        <is>
          <t>UNIDADES VERTICAIS LANÇADAS POR TRIMESTRE</t>
        </is>
      </c>
      <c r="C162" s="3" t="inlineStr">
        <is>
          <t>Gráfico 2 / plot 1</t>
        </is>
      </c>
      <c r="D162" s="3" t="inlineStr">
        <is>
          <t>RM de Porto Alegre</t>
        </is>
      </c>
      <c r="E162" s="3" t="inlineStr">
        <is>
          <t>2T/25</t>
        </is>
      </c>
      <c r="F162" s="3" t="n">
        <v>1077</v>
      </c>
      <c r="G162" s="3" t="n"/>
      <c r="H162" s="3" t="n">
        <v>0</v>
      </c>
      <c r="I162" s="3">
        <f>IF(G162="","PENDENTE",IF(AND(ISNUMBER(F162),ISNUMBER(G162)),IF(ABS(G162-F162)&lt;=H162,"IGUAL","DIVERGENTE"),IF(TRIM(G162&amp;"")=TRIM(F162&amp;""),"IGUAL","DIVERGENTE")))</f>
        <v/>
      </c>
      <c r="J162" s="3" t="n"/>
    </row>
    <row r="163">
      <c r="A163" s="4" t="n">
        <v>15</v>
      </c>
      <c r="B163" s="4" t="inlineStr">
        <is>
          <t>UNIDADES VERTICAIS LANÇADAS POR TRIMESTRE</t>
        </is>
      </c>
      <c r="C163" s="4" t="inlineStr">
        <is>
          <t>Gráfico 2 / plot 1</t>
        </is>
      </c>
      <c r="D163" s="4" t="inlineStr">
        <is>
          <t>RM de Porto Alegre</t>
        </is>
      </c>
      <c r="E163" s="4" t="inlineStr">
        <is>
          <t>3T/25</t>
        </is>
      </c>
      <c r="F163" s="4" t="n">
        <v>0</v>
      </c>
      <c r="G163" s="4" t="n"/>
      <c r="H163" s="4" t="n">
        <v>0</v>
      </c>
      <c r="I163" s="4">
        <f>IF(G163="","PENDENTE",IF(AND(ISNUMBER(F163),ISNUMBER(G163)),IF(ABS(G163-F163)&lt;=H163,"IGUAL","DIVERGENTE"),IF(TRIM(G163&amp;"")=TRIM(F163&amp;""),"IGUAL","DIVERGENTE")))</f>
        <v/>
      </c>
      <c r="J163" s="4" t="n"/>
    </row>
    <row r="164">
      <c r="A164" s="3" t="n">
        <v>15</v>
      </c>
      <c r="B164" s="3" t="inlineStr">
        <is>
          <t>UNIDADES VERTICAIS LANÇADAS POR TRIMESTRE</t>
        </is>
      </c>
      <c r="C164" s="3" t="inlineStr">
        <is>
          <t>Gráfico 2 / plot 1</t>
        </is>
      </c>
      <c r="D164" s="3" t="inlineStr">
        <is>
          <t>RM de Porto Alegre</t>
        </is>
      </c>
      <c r="E164" s="3" t="inlineStr">
        <is>
          <t>4T/25</t>
        </is>
      </c>
      <c r="F164" s="3" t="n">
        <v>2420</v>
      </c>
      <c r="G164" s="3" t="n"/>
      <c r="H164" s="3" t="n">
        <v>0</v>
      </c>
      <c r="I164" s="3">
        <f>IF(G164="","PENDENTE",IF(AND(ISNUMBER(F164),ISNUMBER(G164)),IF(ABS(G164-F164)&lt;=H164,"IGUAL","DIVERGENTE"),IF(TRIM(G164&amp;"")=TRIM(F164&amp;""),"IGUAL","DIVERGENTE")))</f>
        <v/>
      </c>
      <c r="J164" s="3" t="n"/>
    </row>
    <row r="165">
      <c r="A165" s="4" t="n">
        <v>15</v>
      </c>
      <c r="B165" s="4" t="inlineStr">
        <is>
          <t>UNIDADES VERTICAIS LANÇADAS POR TRIMESTRE</t>
        </is>
      </c>
      <c r="C165" s="4" t="inlineStr">
        <is>
          <t>Tabela 1</t>
        </is>
      </c>
      <c r="D165" s="4" t="inlineStr">
        <is>
          <t>2021 x 2022</t>
        </is>
      </c>
      <c r="E165" s="4" t="inlineStr">
        <is>
          <t>Coluna 2</t>
        </is>
      </c>
      <c r="F165" s="4" t="inlineStr">
        <is>
          <t>2022 x 2023</t>
        </is>
      </c>
      <c r="G165" s="4" t="n"/>
      <c r="H165" s="4" t="n"/>
      <c r="I165" s="4">
        <f>IF(G165="","PENDENTE",IF(AND(ISNUMBER(F165),ISNUMBER(G165)),IF(ABS(G165-F165)&lt;=H165,"IGUAL","DIVERGENTE"),IF(TRIM(G165&amp;"")=TRIM(F165&amp;""),"IGUAL","DIVERGENTE")))</f>
        <v/>
      </c>
      <c r="J165" s="4" t="n"/>
    </row>
    <row r="166">
      <c r="A166" s="3" t="n">
        <v>15</v>
      </c>
      <c r="B166" s="3" t="inlineStr">
        <is>
          <t>UNIDADES VERTICAIS LANÇADAS POR TRIMESTRE</t>
        </is>
      </c>
      <c r="C166" s="3" t="inlineStr">
        <is>
          <t>Tabela 1</t>
        </is>
      </c>
      <c r="D166" s="3" t="inlineStr">
        <is>
          <t>2021 x 2022</t>
        </is>
      </c>
      <c r="E166" s="3" t="inlineStr">
        <is>
          <t>Coluna 3</t>
        </is>
      </c>
      <c r="F166" s="3" t="inlineStr">
        <is>
          <t>2023 X 2024</t>
        </is>
      </c>
      <c r="G166" s="3" t="n"/>
      <c r="H166" s="3" t="n"/>
      <c r="I166" s="3">
        <f>IF(G166="","PENDENTE",IF(AND(ISNUMBER(F166),ISNUMBER(G166)),IF(ABS(G166-F166)&lt;=H166,"IGUAL","DIVERGENTE"),IF(TRIM(G166&amp;"")=TRIM(F166&amp;""),"IGUAL","DIVERGENTE")))</f>
        <v/>
      </c>
      <c r="J166" s="3" t="n"/>
    </row>
    <row r="167">
      <c r="A167" s="4" t="n">
        <v>15</v>
      </c>
      <c r="B167" s="4" t="inlineStr">
        <is>
          <t>UNIDADES VERTICAIS LANÇADAS POR TRIMESTRE</t>
        </is>
      </c>
      <c r="C167" s="4" t="inlineStr">
        <is>
          <t>Tabela 1</t>
        </is>
      </c>
      <c r="D167" s="4" t="inlineStr">
        <is>
          <t>2021 x 2022</t>
        </is>
      </c>
      <c r="E167" s="4" t="inlineStr">
        <is>
          <t>Coluna 4</t>
        </is>
      </c>
      <c r="F167" s="4" t="inlineStr">
        <is>
          <t>2024 x 2025</t>
        </is>
      </c>
      <c r="G167" s="4" t="n"/>
      <c r="H167" s="4" t="n"/>
      <c r="I167" s="4">
        <f>IF(G167="","PENDENTE",IF(AND(ISNUMBER(F167),ISNUMBER(G167)),IF(ABS(G167-F167)&lt;=H167,"IGUAL","DIVERGENTE"),IF(TRIM(G167&amp;"")=TRIM(F167&amp;""),"IGUAL","DIVERGENTE")))</f>
        <v/>
      </c>
      <c r="J167" s="4" t="n"/>
    </row>
    <row r="168">
      <c r="A168" s="3" t="n">
        <v>15</v>
      </c>
      <c r="B168" s="3" t="inlineStr">
        <is>
          <t>UNIDADES VERTICAIS LANÇADAS POR TRIMESTRE</t>
        </is>
      </c>
      <c r="C168" s="3" t="inlineStr">
        <is>
          <t>Tabela 1</t>
        </is>
      </c>
      <c r="D168" s="3" t="inlineStr">
        <is>
          <t>-40%</t>
        </is>
      </c>
      <c r="E168" s="3" t="inlineStr">
        <is>
          <t>Coluna 2</t>
        </is>
      </c>
      <c r="F168" s="3" t="inlineStr">
        <is>
          <t>-33%</t>
        </is>
      </c>
      <c r="G168" s="3" t="n"/>
      <c r="H168" s="3" t="n"/>
      <c r="I168" s="3">
        <f>IF(G168="","PENDENTE",IF(AND(ISNUMBER(F168),ISNUMBER(G168)),IF(ABS(G168-F168)&lt;=H168,"IGUAL","DIVERGENTE"),IF(TRIM(G168&amp;"")=TRIM(F168&amp;""),"IGUAL","DIVERGENTE")))</f>
        <v/>
      </c>
      <c r="J168" s="3" t="n"/>
    </row>
    <row r="169">
      <c r="A169" s="4" t="n">
        <v>15</v>
      </c>
      <c r="B169" s="4" t="inlineStr">
        <is>
          <t>UNIDADES VERTICAIS LANÇADAS POR TRIMESTRE</t>
        </is>
      </c>
      <c r="C169" s="4" t="inlineStr">
        <is>
          <t>Tabela 1</t>
        </is>
      </c>
      <c r="D169" s="4" t="inlineStr">
        <is>
          <t>-40%</t>
        </is>
      </c>
      <c r="E169" s="4" t="inlineStr">
        <is>
          <t>Coluna 3</t>
        </is>
      </c>
      <c r="F169" s="4" t="inlineStr">
        <is>
          <t>+68%</t>
        </is>
      </c>
      <c r="G169" s="4" t="n"/>
      <c r="H169" s="4" t="n"/>
      <c r="I169" s="4">
        <f>IF(G169="","PENDENTE",IF(AND(ISNUMBER(F169),ISNUMBER(G169)),IF(ABS(G169-F169)&lt;=H169,"IGUAL","DIVERGENTE"),IF(TRIM(G169&amp;"")=TRIM(F169&amp;""),"IGUAL","DIVERGENTE")))</f>
        <v/>
      </c>
      <c r="J169" s="4" t="n"/>
    </row>
    <row r="170">
      <c r="A170" s="3" t="n">
        <v>15</v>
      </c>
      <c r="B170" s="3" t="inlineStr">
        <is>
          <t>UNIDADES VERTICAIS LANÇADAS POR TRIMESTRE</t>
        </is>
      </c>
      <c r="C170" s="3" t="inlineStr">
        <is>
          <t>Tabela 1</t>
        </is>
      </c>
      <c r="D170" s="3" t="inlineStr">
        <is>
          <t>-40%</t>
        </is>
      </c>
      <c r="E170" s="3" t="inlineStr">
        <is>
          <t>Coluna 4</t>
        </is>
      </c>
      <c r="F170" s="3" t="inlineStr">
        <is>
          <t>+37%</t>
        </is>
      </c>
      <c r="G170" s="3" t="n"/>
      <c r="H170" s="3" t="n"/>
      <c r="I170" s="3">
        <f>IF(G170="","PENDENTE",IF(AND(ISNUMBER(F170),ISNUMBER(G170)),IF(ABS(G170-F170)&lt;=H170,"IGUAL","DIVERGENTE"),IF(TRIM(G170&amp;"")=TRIM(F170&amp;""),"IGUAL","DIVERGENTE")))</f>
        <v/>
      </c>
      <c r="J170" s="3" t="n"/>
    </row>
    <row r="171">
      <c r="A171" s="4" t="n">
        <v>16</v>
      </c>
      <c r="B171" s="4" t="inlineStr">
        <is>
          <t>UNIDADES VERTICAIS LANÇADAS ACUMULADO 12 MESES</t>
        </is>
      </c>
      <c r="C171" s="4" t="inlineStr">
        <is>
          <t>Gráfico 1 / plot 1</t>
        </is>
      </c>
      <c r="D171" s="4" t="inlineStr">
        <is>
          <t>RM de Porto Alegre</t>
        </is>
      </c>
      <c r="E171" s="4" t="inlineStr">
        <is>
          <t>4T/2021</t>
        </is>
      </c>
      <c r="F171" s="4" t="n">
        <v>5355</v>
      </c>
      <c r="G171" s="4" t="n"/>
      <c r="H171" s="4" t="n">
        <v>0</v>
      </c>
      <c r="I171" s="4">
        <f>IF(G171="","PENDENTE",IF(AND(ISNUMBER(F171),ISNUMBER(G171)),IF(ABS(G171-F171)&lt;=H171,"IGUAL","DIVERGENTE"),IF(TRIM(G171&amp;"")=TRIM(F171&amp;""),"IGUAL","DIVERGENTE")))</f>
        <v/>
      </c>
      <c r="J171" s="4" t="n"/>
    </row>
    <row r="172">
      <c r="A172" s="3" t="n">
        <v>16</v>
      </c>
      <c r="B172" s="3" t="inlineStr">
        <is>
          <t>UNIDADES VERTICAIS LANÇADAS ACUMULADO 12 MESES</t>
        </is>
      </c>
      <c r="C172" s="3" t="inlineStr">
        <is>
          <t>Gráfico 1 / plot 1</t>
        </is>
      </c>
      <c r="D172" s="3" t="inlineStr">
        <is>
          <t>RM de Porto Alegre</t>
        </is>
      </c>
      <c r="E172" s="3" t="inlineStr">
        <is>
          <t>1T/2022</t>
        </is>
      </c>
      <c r="F172" s="3" t="n">
        <v>5665</v>
      </c>
      <c r="G172" s="3" t="n"/>
      <c r="H172" s="3" t="n">
        <v>0</v>
      </c>
      <c r="I172" s="3">
        <f>IF(G172="","PENDENTE",IF(AND(ISNUMBER(F172),ISNUMBER(G172)),IF(ABS(G172-F172)&lt;=H172,"IGUAL","DIVERGENTE"),IF(TRIM(G172&amp;"")=TRIM(F172&amp;""),"IGUAL","DIVERGENTE")))</f>
        <v/>
      </c>
      <c r="J172" s="3" t="n"/>
    </row>
    <row r="173">
      <c r="A173" s="4" t="n">
        <v>16</v>
      </c>
      <c r="B173" s="4" t="inlineStr">
        <is>
          <t>UNIDADES VERTICAIS LANÇADAS ACUMULADO 12 MESES</t>
        </is>
      </c>
      <c r="C173" s="4" t="inlineStr">
        <is>
          <t>Gráfico 1 / plot 1</t>
        </is>
      </c>
      <c r="D173" s="4" t="inlineStr">
        <is>
          <t>RM de Porto Alegre</t>
        </is>
      </c>
      <c r="E173" s="4" t="inlineStr">
        <is>
          <t>2T/2022</t>
        </is>
      </c>
      <c r="F173" s="4" t="n">
        <v>5494</v>
      </c>
      <c r="G173" s="4" t="n"/>
      <c r="H173" s="4" t="n">
        <v>0</v>
      </c>
      <c r="I173" s="4">
        <f>IF(G173="","PENDENTE",IF(AND(ISNUMBER(F173),ISNUMBER(G173)),IF(ABS(G173-F173)&lt;=H173,"IGUAL","DIVERGENTE"),IF(TRIM(G173&amp;"")=TRIM(F173&amp;""),"IGUAL","DIVERGENTE")))</f>
        <v/>
      </c>
      <c r="J173" s="4" t="n"/>
    </row>
    <row r="174">
      <c r="A174" s="3" t="n">
        <v>16</v>
      </c>
      <c r="B174" s="3" t="inlineStr">
        <is>
          <t>UNIDADES VERTICAIS LANÇADAS ACUMULADO 12 MESES</t>
        </is>
      </c>
      <c r="C174" s="3" t="inlineStr">
        <is>
          <t>Gráfico 1 / plot 1</t>
        </is>
      </c>
      <c r="D174" s="3" t="inlineStr">
        <is>
          <t>RM de Porto Alegre</t>
        </is>
      </c>
      <c r="E174" s="3" t="inlineStr">
        <is>
          <t>3T/2022</t>
        </is>
      </c>
      <c r="F174" s="3" t="n">
        <v>4234</v>
      </c>
      <c r="G174" s="3" t="n"/>
      <c r="H174" s="3" t="n">
        <v>0</v>
      </c>
      <c r="I174" s="3">
        <f>IF(G174="","PENDENTE",IF(AND(ISNUMBER(F174),ISNUMBER(G174)),IF(ABS(G174-F174)&lt;=H174,"IGUAL","DIVERGENTE"),IF(TRIM(G174&amp;"")=TRIM(F174&amp;""),"IGUAL","DIVERGENTE")))</f>
        <v/>
      </c>
      <c r="J174" s="3" t="n"/>
    </row>
    <row r="175">
      <c r="A175" s="4" t="n">
        <v>16</v>
      </c>
      <c r="B175" s="4" t="inlineStr">
        <is>
          <t>UNIDADES VERTICAIS LANÇADAS ACUMULADO 12 MESES</t>
        </is>
      </c>
      <c r="C175" s="4" t="inlineStr">
        <is>
          <t>Gráfico 1 / plot 1</t>
        </is>
      </c>
      <c r="D175" s="4" t="inlineStr">
        <is>
          <t>RM de Porto Alegre</t>
        </is>
      </c>
      <c r="E175" s="4" t="inlineStr">
        <is>
          <t>4T/2022</t>
        </is>
      </c>
      <c r="F175" s="4" t="n">
        <v>3219</v>
      </c>
      <c r="G175" s="4" t="n"/>
      <c r="H175" s="4" t="n">
        <v>0</v>
      </c>
      <c r="I175" s="4">
        <f>IF(G175="","PENDENTE",IF(AND(ISNUMBER(F175),ISNUMBER(G175)),IF(ABS(G175-F175)&lt;=H175,"IGUAL","DIVERGENTE"),IF(TRIM(G175&amp;"")=TRIM(F175&amp;""),"IGUAL","DIVERGENTE")))</f>
        <v/>
      </c>
      <c r="J175" s="4" t="n"/>
    </row>
    <row r="176">
      <c r="A176" s="3" t="n">
        <v>16</v>
      </c>
      <c r="B176" s="3" t="inlineStr">
        <is>
          <t>UNIDADES VERTICAIS LANÇADAS ACUMULADO 12 MESES</t>
        </is>
      </c>
      <c r="C176" s="3" t="inlineStr">
        <is>
          <t>Gráfico 1 / plot 1</t>
        </is>
      </c>
      <c r="D176" s="3" t="inlineStr">
        <is>
          <t>RM de Porto Alegre</t>
        </is>
      </c>
      <c r="E176" s="3" t="inlineStr">
        <is>
          <t>1T/2023</t>
        </is>
      </c>
      <c r="F176" s="3" t="n">
        <v>3688</v>
      </c>
      <c r="G176" s="3" t="n"/>
      <c r="H176" s="3" t="n">
        <v>0</v>
      </c>
      <c r="I176" s="3">
        <f>IF(G176="","PENDENTE",IF(AND(ISNUMBER(F176),ISNUMBER(G176)),IF(ABS(G176-F176)&lt;=H176,"IGUAL","DIVERGENTE"),IF(TRIM(G176&amp;"")=TRIM(F176&amp;""),"IGUAL","DIVERGENTE")))</f>
        <v/>
      </c>
      <c r="J176" s="3" t="n"/>
    </row>
    <row r="177">
      <c r="A177" s="4" t="n">
        <v>16</v>
      </c>
      <c r="B177" s="4" t="inlineStr">
        <is>
          <t>UNIDADES VERTICAIS LANÇADAS ACUMULADO 12 MESES</t>
        </is>
      </c>
      <c r="C177" s="4" t="inlineStr">
        <is>
          <t>Gráfico 1 / plot 1</t>
        </is>
      </c>
      <c r="D177" s="4" t="inlineStr">
        <is>
          <t>RM de Porto Alegre</t>
        </is>
      </c>
      <c r="E177" s="4" t="inlineStr">
        <is>
          <t>2T/2023</t>
        </is>
      </c>
      <c r="F177" s="4" t="n">
        <v>3277</v>
      </c>
      <c r="G177" s="4" t="n"/>
      <c r="H177" s="4" t="n">
        <v>0</v>
      </c>
      <c r="I177" s="4">
        <f>IF(G177="","PENDENTE",IF(AND(ISNUMBER(F177),ISNUMBER(G177)),IF(ABS(G177-F177)&lt;=H177,"IGUAL","DIVERGENTE"),IF(TRIM(G177&amp;"")=TRIM(F177&amp;""),"IGUAL","DIVERGENTE")))</f>
        <v/>
      </c>
      <c r="J177" s="4" t="n"/>
    </row>
    <row r="178">
      <c r="A178" s="3" t="n">
        <v>16</v>
      </c>
      <c r="B178" s="3" t="inlineStr">
        <is>
          <t>UNIDADES VERTICAIS LANÇADAS ACUMULADO 12 MESES</t>
        </is>
      </c>
      <c r="C178" s="3" t="inlineStr">
        <is>
          <t>Gráfico 1 / plot 1</t>
        </is>
      </c>
      <c r="D178" s="3" t="inlineStr">
        <is>
          <t>RM de Porto Alegre</t>
        </is>
      </c>
      <c r="E178" s="3" t="inlineStr">
        <is>
          <t>3T/2023</t>
        </is>
      </c>
      <c r="F178" s="3" t="n">
        <v>2811</v>
      </c>
      <c r="G178" s="3" t="n"/>
      <c r="H178" s="3" t="n">
        <v>0</v>
      </c>
      <c r="I178" s="3">
        <f>IF(G178="","PENDENTE",IF(AND(ISNUMBER(F178),ISNUMBER(G178)),IF(ABS(G178-F178)&lt;=H178,"IGUAL","DIVERGENTE"),IF(TRIM(G178&amp;"")=TRIM(F178&amp;""),"IGUAL","DIVERGENTE")))</f>
        <v/>
      </c>
      <c r="J178" s="3" t="n"/>
    </row>
    <row r="179">
      <c r="A179" s="4" t="n">
        <v>16</v>
      </c>
      <c r="B179" s="4" t="inlineStr">
        <is>
          <t>UNIDADES VERTICAIS LANÇADAS ACUMULADO 12 MESES</t>
        </is>
      </c>
      <c r="C179" s="4" t="inlineStr">
        <is>
          <t>Gráfico 1 / plot 1</t>
        </is>
      </c>
      <c r="D179" s="4" t="inlineStr">
        <is>
          <t>RM de Porto Alegre</t>
        </is>
      </c>
      <c r="E179" s="4" t="inlineStr">
        <is>
          <t>4T/2023</t>
        </is>
      </c>
      <c r="F179" s="4" t="n">
        <v>2157</v>
      </c>
      <c r="G179" s="4" t="n"/>
      <c r="H179" s="4" t="n">
        <v>0</v>
      </c>
      <c r="I179" s="4">
        <f>IF(G179="","PENDENTE",IF(AND(ISNUMBER(F179),ISNUMBER(G179)),IF(ABS(G179-F179)&lt;=H179,"IGUAL","DIVERGENTE"),IF(TRIM(G179&amp;"")=TRIM(F179&amp;""),"IGUAL","DIVERGENTE")))</f>
        <v/>
      </c>
      <c r="J179" s="4" t="n"/>
    </row>
    <row r="180">
      <c r="A180" s="3" t="n">
        <v>16</v>
      </c>
      <c r="B180" s="3" t="inlineStr">
        <is>
          <t>UNIDADES VERTICAIS LANÇADAS ACUMULADO 12 MESES</t>
        </is>
      </c>
      <c r="C180" s="3" t="inlineStr">
        <is>
          <t>Gráfico 1 / plot 1</t>
        </is>
      </c>
      <c r="D180" s="3" t="inlineStr">
        <is>
          <t>RM de Porto Alegre</t>
        </is>
      </c>
      <c r="E180" s="3" t="inlineStr">
        <is>
          <t>1T/2024</t>
        </is>
      </c>
      <c r="F180" s="3" t="n">
        <v>2007</v>
      </c>
      <c r="G180" s="3" t="n"/>
      <c r="H180" s="3" t="n">
        <v>0</v>
      </c>
      <c r="I180" s="3">
        <f>IF(G180="","PENDENTE",IF(AND(ISNUMBER(F180),ISNUMBER(G180)),IF(ABS(G180-F180)&lt;=H180,"IGUAL","DIVERGENTE"),IF(TRIM(G180&amp;"")=TRIM(F180&amp;""),"IGUAL","DIVERGENTE")))</f>
        <v/>
      </c>
      <c r="J180" s="3" t="n"/>
    </row>
    <row r="181">
      <c r="A181" s="4" t="n">
        <v>16</v>
      </c>
      <c r="B181" s="4" t="inlineStr">
        <is>
          <t>UNIDADES VERTICAIS LANÇADAS ACUMULADO 12 MESES</t>
        </is>
      </c>
      <c r="C181" s="4" t="inlineStr">
        <is>
          <t>Gráfico 1 / plot 1</t>
        </is>
      </c>
      <c r="D181" s="4" t="inlineStr">
        <is>
          <t>RM de Porto Alegre</t>
        </is>
      </c>
      <c r="E181" s="4" t="inlineStr">
        <is>
          <t>2T/2024</t>
        </is>
      </c>
      <c r="F181" s="4" t="n">
        <v>1927</v>
      </c>
      <c r="G181" s="4" t="n"/>
      <c r="H181" s="4" t="n">
        <v>0</v>
      </c>
      <c r="I181" s="4">
        <f>IF(G181="","PENDENTE",IF(AND(ISNUMBER(F181),ISNUMBER(G181)),IF(ABS(G181-F181)&lt;=H181,"IGUAL","DIVERGENTE"),IF(TRIM(G181&amp;"")=TRIM(F181&amp;""),"IGUAL","DIVERGENTE")))</f>
        <v/>
      </c>
      <c r="J181" s="4" t="n"/>
    </row>
    <row r="182">
      <c r="A182" s="3" t="n">
        <v>16</v>
      </c>
      <c r="B182" s="3" t="inlineStr">
        <is>
          <t>UNIDADES VERTICAIS LANÇADAS ACUMULADO 12 MESES</t>
        </is>
      </c>
      <c r="C182" s="3" t="inlineStr">
        <is>
          <t>Gráfico 1 / plot 1</t>
        </is>
      </c>
      <c r="D182" s="3" t="inlineStr">
        <is>
          <t>RM de Porto Alegre</t>
        </is>
      </c>
      <c r="E182" s="3" t="inlineStr">
        <is>
          <t>3T/2024</t>
        </is>
      </c>
      <c r="F182" s="3" t="n">
        <v>2338</v>
      </c>
      <c r="G182" s="3" t="n"/>
      <c r="H182" s="3" t="n">
        <v>0</v>
      </c>
      <c r="I182" s="3">
        <f>IF(G182="","PENDENTE",IF(AND(ISNUMBER(F182),ISNUMBER(G182)),IF(ABS(G182-F182)&lt;=H182,"IGUAL","DIVERGENTE"),IF(TRIM(G182&amp;"")=TRIM(F182&amp;""),"IGUAL","DIVERGENTE")))</f>
        <v/>
      </c>
      <c r="J182" s="3" t="n"/>
    </row>
    <row r="183">
      <c r="A183" s="4" t="n">
        <v>16</v>
      </c>
      <c r="B183" s="4" t="inlineStr">
        <is>
          <t>UNIDADES VERTICAIS LANÇADAS ACUMULADO 12 MESES</t>
        </is>
      </c>
      <c r="C183" s="4" t="inlineStr">
        <is>
          <t>Gráfico 1 / plot 1</t>
        </is>
      </c>
      <c r="D183" s="4" t="inlineStr">
        <is>
          <t>RM de Porto Alegre</t>
        </is>
      </c>
      <c r="E183" s="4" t="inlineStr">
        <is>
          <t>4T/2024</t>
        </is>
      </c>
      <c r="F183" s="4" t="n">
        <v>3616</v>
      </c>
      <c r="G183" s="4" t="n"/>
      <c r="H183" s="4" t="n">
        <v>0</v>
      </c>
      <c r="I183" s="4">
        <f>IF(G183="","PENDENTE",IF(AND(ISNUMBER(F183),ISNUMBER(G183)),IF(ABS(G183-F183)&lt;=H183,"IGUAL","DIVERGENTE"),IF(TRIM(G183&amp;"")=TRIM(F183&amp;""),"IGUAL","DIVERGENTE")))</f>
        <v/>
      </c>
      <c r="J183" s="4" t="n"/>
    </row>
    <row r="184">
      <c r="A184" s="3" t="n">
        <v>16</v>
      </c>
      <c r="B184" s="3" t="inlineStr">
        <is>
          <t>UNIDADES VERTICAIS LANÇADAS ACUMULADO 12 MESES</t>
        </is>
      </c>
      <c r="C184" s="3" t="inlineStr">
        <is>
          <t>Gráfico 1 / plot 1</t>
        </is>
      </c>
      <c r="D184" s="3" t="inlineStr">
        <is>
          <t>RM de Porto Alegre</t>
        </is>
      </c>
      <c r="E184" s="3" t="inlineStr">
        <is>
          <t>1T/2025</t>
        </is>
      </c>
      <c r="F184" s="3" t="n">
        <v>4149</v>
      </c>
      <c r="G184" s="3" t="n"/>
      <c r="H184" s="3" t="n">
        <v>0</v>
      </c>
      <c r="I184" s="3">
        <f>IF(G184="","PENDENTE",IF(AND(ISNUMBER(F184),ISNUMBER(G184)),IF(ABS(G184-F184)&lt;=H184,"IGUAL","DIVERGENTE"),IF(TRIM(G184&amp;"")=TRIM(F184&amp;""),"IGUAL","DIVERGENTE")))</f>
        <v/>
      </c>
      <c r="J184" s="3" t="n"/>
    </row>
    <row r="185">
      <c r="A185" s="4" t="n">
        <v>16</v>
      </c>
      <c r="B185" s="4" t="inlineStr">
        <is>
          <t>UNIDADES VERTICAIS LANÇADAS ACUMULADO 12 MESES</t>
        </is>
      </c>
      <c r="C185" s="4" t="inlineStr">
        <is>
          <t>Gráfico 1 / plot 1</t>
        </is>
      </c>
      <c r="D185" s="4" t="inlineStr">
        <is>
          <t>RM de Porto Alegre</t>
        </is>
      </c>
      <c r="E185" s="4" t="inlineStr">
        <is>
          <t>2T/2025</t>
        </is>
      </c>
      <c r="F185" s="4" t="n">
        <v>4594</v>
      </c>
      <c r="G185" s="4" t="n"/>
      <c r="H185" s="4" t="n">
        <v>0</v>
      </c>
      <c r="I185" s="4">
        <f>IF(G185="","PENDENTE",IF(AND(ISNUMBER(F185),ISNUMBER(G185)),IF(ABS(G185-F185)&lt;=H185,"IGUAL","DIVERGENTE"),IF(TRIM(G185&amp;"")=TRIM(F185&amp;""),"IGUAL","DIVERGENTE")))</f>
        <v/>
      </c>
      <c r="J185" s="4" t="n"/>
    </row>
    <row r="186">
      <c r="A186" s="3" t="n">
        <v>16</v>
      </c>
      <c r="B186" s="3" t="inlineStr">
        <is>
          <t>UNIDADES VERTICAIS LANÇADAS ACUMULADO 12 MESES</t>
        </is>
      </c>
      <c r="C186" s="3" t="inlineStr">
        <is>
          <t>Gráfico 1 / plot 1</t>
        </is>
      </c>
      <c r="D186" s="3" t="inlineStr">
        <is>
          <t>RM de Porto Alegre</t>
        </is>
      </c>
      <c r="E186" s="3" t="inlineStr">
        <is>
          <t>3T/2025</t>
        </is>
      </c>
      <c r="F186" s="3" t="n">
        <v>4015</v>
      </c>
      <c r="G186" s="3" t="n"/>
      <c r="H186" s="3" t="n">
        <v>0</v>
      </c>
      <c r="I186" s="3">
        <f>IF(G186="","PENDENTE",IF(AND(ISNUMBER(F186),ISNUMBER(G186)),IF(ABS(G186-F186)&lt;=H186,"IGUAL","DIVERGENTE"),IF(TRIM(G186&amp;"")=TRIM(F186&amp;""),"IGUAL","DIVERGENTE")))</f>
        <v/>
      </c>
      <c r="J186" s="3" t="n"/>
    </row>
    <row r="187">
      <c r="A187" s="4" t="n">
        <v>16</v>
      </c>
      <c r="B187" s="4" t="inlineStr">
        <is>
          <t>UNIDADES VERTICAIS LANÇADAS ACUMULADO 12 MESES</t>
        </is>
      </c>
      <c r="C187" s="4" t="inlineStr">
        <is>
          <t>Gráfico 1 / plot 1</t>
        </is>
      </c>
      <c r="D187" s="4" t="inlineStr">
        <is>
          <t>RM de Porto Alegre</t>
        </is>
      </c>
      <c r="E187" s="4" t="inlineStr">
        <is>
          <t>4T/2025</t>
        </is>
      </c>
      <c r="F187" s="4" t="n">
        <v>4947</v>
      </c>
      <c r="G187" s="4" t="n"/>
      <c r="H187" s="4" t="n">
        <v>0</v>
      </c>
      <c r="I187" s="4">
        <f>IF(G187="","PENDENTE",IF(AND(ISNUMBER(F187),ISNUMBER(G187)),IF(ABS(G187-F187)&lt;=H187,"IGUAL","DIVERGENTE"),IF(TRIM(G187&amp;"")=TRIM(F187&amp;""),"IGUAL","DIVERGENTE")))</f>
        <v/>
      </c>
      <c r="J187" s="4" t="n"/>
    </row>
    <row r="188">
      <c r="A188" s="3" t="n">
        <v>16</v>
      </c>
      <c r="B188" s="3" t="inlineStr">
        <is>
          <t>UNIDADES VERTICAIS LANÇADAS ACUMULADO 12 MESES</t>
        </is>
      </c>
      <c r="C188" s="3" t="inlineStr">
        <is>
          <t>Tabela 1</t>
        </is>
      </c>
      <c r="D188" s="3" t="inlineStr">
        <is>
          <t>4T21 x 4T22</t>
        </is>
      </c>
      <c r="E188" s="3" t="inlineStr">
        <is>
          <t>Coluna 2</t>
        </is>
      </c>
      <c r="F188" s="3" t="inlineStr">
        <is>
          <t>4T22 x 4T23</t>
        </is>
      </c>
      <c r="G188" s="3" t="n"/>
      <c r="H188" s="3" t="n"/>
      <c r="I188" s="3">
        <f>IF(G188="","PENDENTE",IF(AND(ISNUMBER(F188),ISNUMBER(G188)),IF(ABS(G188-F188)&lt;=H188,"IGUAL","DIVERGENTE"),IF(TRIM(G188&amp;"")=TRIM(F188&amp;""),"IGUAL","DIVERGENTE")))</f>
        <v/>
      </c>
      <c r="J188" s="3" t="n"/>
    </row>
    <row r="189">
      <c r="A189" s="4" t="n">
        <v>16</v>
      </c>
      <c r="B189" s="4" t="inlineStr">
        <is>
          <t>UNIDADES VERTICAIS LANÇADAS ACUMULADO 12 MESES</t>
        </is>
      </c>
      <c r="C189" s="4" t="inlineStr">
        <is>
          <t>Tabela 1</t>
        </is>
      </c>
      <c r="D189" s="4" t="inlineStr">
        <is>
          <t>4T21 x 4T22</t>
        </is>
      </c>
      <c r="E189" s="4" t="inlineStr">
        <is>
          <t>Coluna 3</t>
        </is>
      </c>
      <c r="F189" s="4" t="inlineStr">
        <is>
          <t>4T23 X 4T24</t>
        </is>
      </c>
      <c r="G189" s="4" t="n"/>
      <c r="H189" s="4" t="n"/>
      <c r="I189" s="4">
        <f>IF(G189="","PENDENTE",IF(AND(ISNUMBER(F189),ISNUMBER(G189)),IF(ABS(G189-F189)&lt;=H189,"IGUAL","DIVERGENTE"),IF(TRIM(G189&amp;"")=TRIM(F189&amp;""),"IGUAL","DIVERGENTE")))</f>
        <v/>
      </c>
      <c r="J189" s="4" t="n"/>
    </row>
    <row r="190">
      <c r="A190" s="3" t="n">
        <v>16</v>
      </c>
      <c r="B190" s="3" t="inlineStr">
        <is>
          <t>UNIDADES VERTICAIS LANÇADAS ACUMULADO 12 MESES</t>
        </is>
      </c>
      <c r="C190" s="3" t="inlineStr">
        <is>
          <t>Tabela 1</t>
        </is>
      </c>
      <c r="D190" s="3" t="inlineStr">
        <is>
          <t>4T21 x 4T22</t>
        </is>
      </c>
      <c r="E190" s="3" t="inlineStr">
        <is>
          <t>Coluna 4</t>
        </is>
      </c>
      <c r="F190" s="3" t="inlineStr">
        <is>
          <t>4T24 x 4T25</t>
        </is>
      </c>
      <c r="G190" s="3" t="n"/>
      <c r="H190" s="3" t="n"/>
      <c r="I190" s="3">
        <f>IF(G190="","PENDENTE",IF(AND(ISNUMBER(F190),ISNUMBER(G190)),IF(ABS(G190-F190)&lt;=H190,"IGUAL","DIVERGENTE"),IF(TRIM(G190&amp;"")=TRIM(F190&amp;""),"IGUAL","DIVERGENTE")))</f>
        <v/>
      </c>
      <c r="J190" s="3" t="n"/>
    </row>
    <row r="191">
      <c r="A191" s="4" t="n">
        <v>16</v>
      </c>
      <c r="B191" s="4" t="inlineStr">
        <is>
          <t>UNIDADES VERTICAIS LANÇADAS ACUMULADO 12 MESES</t>
        </is>
      </c>
      <c r="C191" s="4" t="inlineStr">
        <is>
          <t>Tabela 1</t>
        </is>
      </c>
      <c r="D191" s="4" t="inlineStr">
        <is>
          <t>-40%</t>
        </is>
      </c>
      <c r="E191" s="4" t="inlineStr">
        <is>
          <t>Coluna 2</t>
        </is>
      </c>
      <c r="F191" s="4" t="inlineStr">
        <is>
          <t>-33%</t>
        </is>
      </c>
      <c r="G191" s="4" t="n"/>
      <c r="H191" s="4" t="n"/>
      <c r="I191" s="4">
        <f>IF(G191="","PENDENTE",IF(AND(ISNUMBER(F191),ISNUMBER(G191)),IF(ABS(G191-F191)&lt;=H191,"IGUAL","DIVERGENTE"),IF(TRIM(G191&amp;"")=TRIM(F191&amp;""),"IGUAL","DIVERGENTE")))</f>
        <v/>
      </c>
      <c r="J191" s="4" t="n"/>
    </row>
    <row r="192">
      <c r="A192" s="3" t="n">
        <v>16</v>
      </c>
      <c r="B192" s="3" t="inlineStr">
        <is>
          <t>UNIDADES VERTICAIS LANÇADAS ACUMULADO 12 MESES</t>
        </is>
      </c>
      <c r="C192" s="3" t="inlineStr">
        <is>
          <t>Tabela 1</t>
        </is>
      </c>
      <c r="D192" s="3" t="inlineStr">
        <is>
          <t>-40%</t>
        </is>
      </c>
      <c r="E192" s="3" t="inlineStr">
        <is>
          <t>Coluna 3</t>
        </is>
      </c>
      <c r="F192" s="3" t="inlineStr">
        <is>
          <t>+68%</t>
        </is>
      </c>
      <c r="G192" s="3" t="n"/>
      <c r="H192" s="3" t="n"/>
      <c r="I192" s="3">
        <f>IF(G192="","PENDENTE",IF(AND(ISNUMBER(F192),ISNUMBER(G192)),IF(ABS(G192-F192)&lt;=H192,"IGUAL","DIVERGENTE"),IF(TRIM(G192&amp;"")=TRIM(F192&amp;""),"IGUAL","DIVERGENTE")))</f>
        <v/>
      </c>
      <c r="J192" s="3" t="n"/>
    </row>
    <row r="193">
      <c r="A193" s="4" t="n">
        <v>16</v>
      </c>
      <c r="B193" s="4" t="inlineStr">
        <is>
          <t>UNIDADES VERTICAIS LANÇADAS ACUMULADO 12 MESES</t>
        </is>
      </c>
      <c r="C193" s="4" t="inlineStr">
        <is>
          <t>Tabela 1</t>
        </is>
      </c>
      <c r="D193" s="4" t="inlineStr">
        <is>
          <t>-40%</t>
        </is>
      </c>
      <c r="E193" s="4" t="inlineStr">
        <is>
          <t>Coluna 4</t>
        </is>
      </c>
      <c r="F193" s="4" t="inlineStr">
        <is>
          <t>+37%</t>
        </is>
      </c>
      <c r="G193" s="4" t="n"/>
      <c r="H193" s="4" t="n"/>
      <c r="I193" s="4">
        <f>IF(G193="","PENDENTE",IF(AND(ISNUMBER(F193),ISNUMBER(G193)),IF(ABS(G193-F193)&lt;=H193,"IGUAL","DIVERGENTE"),IF(TRIM(G193&amp;"")=TRIM(F193&amp;""),"IGUAL","DIVERGENTE")))</f>
        <v/>
      </c>
      <c r="J193" s="4" t="n"/>
    </row>
    <row r="194">
      <c r="A194" s="3" t="n">
        <v>17</v>
      </c>
      <c r="B194" s="3" t="inlineStr">
        <is>
          <t>UNIDADES VERTICAIS LANÇADAS POR TIPOLOGIA</t>
        </is>
      </c>
      <c r="C194" s="3" t="inlineStr">
        <is>
          <t>Gráfico 1 / plot 1</t>
        </is>
      </c>
      <c r="D194" s="3" t="inlineStr">
        <is>
          <t>1 dorm</t>
        </is>
      </c>
      <c r="E194" s="3" t="inlineStr">
        <is>
          <t>1S 2025</t>
        </is>
      </c>
      <c r="F194" s="3" t="n">
        <v>0.01490467937608319</v>
      </c>
      <c r="G194" s="3" t="n"/>
      <c r="H194" s="3" t="n">
        <v>0.005</v>
      </c>
      <c r="I194" s="3">
        <f>IF(G194="","PENDENTE",IF(AND(ISNUMBER(F194),ISNUMBER(G194)),IF(ABS(G194-F194)&lt;=H194,"IGUAL","DIVERGENTE"),IF(TRIM(G194&amp;"")=TRIM(F194&amp;""),"IGUAL","DIVERGENTE")))</f>
        <v/>
      </c>
      <c r="J194" s="3" t="n"/>
    </row>
    <row r="195">
      <c r="A195" s="4" t="n">
        <v>17</v>
      </c>
      <c r="B195" s="4" t="inlineStr">
        <is>
          <t>UNIDADES VERTICAIS LANÇADAS POR TIPOLOGIA</t>
        </is>
      </c>
      <c r="C195" s="4" t="inlineStr">
        <is>
          <t>Gráfico 1 / plot 1</t>
        </is>
      </c>
      <c r="D195" s="4" t="inlineStr">
        <is>
          <t>1 dorm</t>
        </is>
      </c>
      <c r="E195" s="4" t="inlineStr">
        <is>
          <t>2S 2025</t>
        </is>
      </c>
      <c r="F195" s="4" t="n">
        <v>0.008172362555720654</v>
      </c>
      <c r="G195" s="4" t="n"/>
      <c r="H195" s="4" t="n">
        <v>0.005</v>
      </c>
      <c r="I195" s="4">
        <f>IF(G195="","PENDENTE",IF(AND(ISNUMBER(F195),ISNUMBER(G195)),IF(ABS(G195-F195)&lt;=H195,"IGUAL","DIVERGENTE"),IF(TRIM(G195&amp;"")=TRIM(F195&amp;""),"IGUAL","DIVERGENTE")))</f>
        <v/>
      </c>
      <c r="J195" s="4" t="n"/>
    </row>
    <row r="196">
      <c r="A196" s="3" t="n">
        <v>17</v>
      </c>
      <c r="B196" s="3" t="inlineStr">
        <is>
          <t>UNIDADES VERTICAIS LANÇADAS POR TIPOLOGIA</t>
        </is>
      </c>
      <c r="C196" s="3" t="inlineStr">
        <is>
          <t>Gráfico 1 / plot 1</t>
        </is>
      </c>
      <c r="D196" s="3" t="inlineStr">
        <is>
          <t>2 dorm</t>
        </is>
      </c>
      <c r="E196" s="3" t="inlineStr">
        <is>
          <t>1S 2025</t>
        </is>
      </c>
      <c r="F196" s="3" t="n">
        <v>0.9195840554592721</v>
      </c>
      <c r="G196" s="3" t="n"/>
      <c r="H196" s="3" t="n">
        <v>0.005</v>
      </c>
      <c r="I196" s="3">
        <f>IF(G196="","PENDENTE",IF(AND(ISNUMBER(F196),ISNUMBER(G196)),IF(ABS(G196-F196)&lt;=H196,"IGUAL","DIVERGENTE"),IF(TRIM(G196&amp;"")=TRIM(F196&amp;""),"IGUAL","DIVERGENTE")))</f>
        <v/>
      </c>
      <c r="J196" s="3" t="n"/>
    </row>
    <row r="197">
      <c r="A197" s="4" t="n">
        <v>17</v>
      </c>
      <c r="B197" s="4" t="inlineStr">
        <is>
          <t>UNIDADES VERTICAIS LANÇADAS POR TIPOLOGIA</t>
        </is>
      </c>
      <c r="C197" s="4" t="inlineStr">
        <is>
          <t>Gráfico 1 / plot 1</t>
        </is>
      </c>
      <c r="D197" s="4" t="inlineStr">
        <is>
          <t>2 dorm</t>
        </is>
      </c>
      <c r="E197" s="4" t="inlineStr">
        <is>
          <t>2S 2025</t>
        </is>
      </c>
      <c r="F197" s="4" t="n">
        <v>0.9528231797919762</v>
      </c>
      <c r="G197" s="4" t="n"/>
      <c r="H197" s="4" t="n">
        <v>0.005</v>
      </c>
      <c r="I197" s="4">
        <f>IF(G197="","PENDENTE",IF(AND(ISNUMBER(F197),ISNUMBER(G197)),IF(ABS(G197-F197)&lt;=H197,"IGUAL","DIVERGENTE"),IF(TRIM(G197&amp;"")=TRIM(F197&amp;""),"IGUAL","DIVERGENTE")))</f>
        <v/>
      </c>
      <c r="J197" s="4" t="n"/>
    </row>
    <row r="198">
      <c r="A198" s="3" t="n">
        <v>17</v>
      </c>
      <c r="B198" s="3" t="inlineStr">
        <is>
          <t>UNIDADES VERTICAIS LANÇADAS POR TIPOLOGIA</t>
        </is>
      </c>
      <c r="C198" s="3" t="inlineStr">
        <is>
          <t>Gráfico 1 / plot 1</t>
        </is>
      </c>
      <c r="D198" s="3" t="inlineStr">
        <is>
          <t>3 dorm</t>
        </is>
      </c>
      <c r="E198" s="3" t="inlineStr">
        <is>
          <t>1S 2025</t>
        </is>
      </c>
      <c r="F198" s="3" t="n">
        <v>0.06551126516464471</v>
      </c>
      <c r="G198" s="3" t="n"/>
      <c r="H198" s="3" t="n">
        <v>0.005</v>
      </c>
      <c r="I198" s="3">
        <f>IF(G198="","PENDENTE",IF(AND(ISNUMBER(F198),ISNUMBER(G198)),IF(ABS(G198-F198)&lt;=H198,"IGUAL","DIVERGENTE"),IF(TRIM(G198&amp;"")=TRIM(F198&amp;""),"IGUAL","DIVERGENTE")))</f>
        <v/>
      </c>
      <c r="J198" s="3" t="n"/>
    </row>
    <row r="199">
      <c r="A199" s="4" t="n">
        <v>17</v>
      </c>
      <c r="B199" s="4" t="inlineStr">
        <is>
          <t>UNIDADES VERTICAIS LANÇADAS POR TIPOLOGIA</t>
        </is>
      </c>
      <c r="C199" s="4" t="inlineStr">
        <is>
          <t>Gráfico 1 / plot 1</t>
        </is>
      </c>
      <c r="D199" s="4" t="inlineStr">
        <is>
          <t>3 dorm</t>
        </is>
      </c>
      <c r="E199" s="4" t="inlineStr">
        <is>
          <t>2S 2025</t>
        </is>
      </c>
      <c r="F199" s="4" t="n">
        <v>0.03900445765230312</v>
      </c>
      <c r="G199" s="4" t="n"/>
      <c r="H199" s="4" t="n">
        <v>0.005</v>
      </c>
      <c r="I199" s="4">
        <f>IF(G199="","PENDENTE",IF(AND(ISNUMBER(F199),ISNUMBER(G199)),IF(ABS(G199-F199)&lt;=H199,"IGUAL","DIVERGENTE"),IF(TRIM(G199&amp;"")=TRIM(F199&amp;""),"IGUAL","DIVERGENTE")))</f>
        <v/>
      </c>
      <c r="J199" s="4" t="n"/>
    </row>
    <row r="200">
      <c r="A200" s="3" t="n">
        <v>17</v>
      </c>
      <c r="B200" s="3" t="inlineStr">
        <is>
          <t>UNIDADES VERTICAIS LANÇADAS POR TIPOLOGIA</t>
        </is>
      </c>
      <c r="C200" s="3" t="inlineStr">
        <is>
          <t>Gráfico 1 / plot 1</t>
        </is>
      </c>
      <c r="D200" s="3" t="inlineStr">
        <is>
          <t>4 dorm</t>
        </is>
      </c>
      <c r="E200" s="3" t="inlineStr">
        <is>
          <t>1S 2025</t>
        </is>
      </c>
      <c r="F200" s="3" t="n">
        <v>0</v>
      </c>
      <c r="G200" s="3" t="n"/>
      <c r="H200" s="3" t="n">
        <v>0</v>
      </c>
      <c r="I200" s="3">
        <f>IF(G200="","PENDENTE",IF(AND(ISNUMBER(F200),ISNUMBER(G200)),IF(ABS(G200-F200)&lt;=H200,"IGUAL","DIVERGENTE"),IF(TRIM(G200&amp;"")=TRIM(F200&amp;""),"IGUAL","DIVERGENTE")))</f>
        <v/>
      </c>
      <c r="J200" s="3" t="n"/>
    </row>
    <row r="201">
      <c r="A201" s="4" t="n">
        <v>17</v>
      </c>
      <c r="B201" s="4" t="inlineStr">
        <is>
          <t>UNIDADES VERTICAIS LANÇADAS POR TIPOLOGIA</t>
        </is>
      </c>
      <c r="C201" s="4" t="inlineStr">
        <is>
          <t>Gráfico 1 / plot 1</t>
        </is>
      </c>
      <c r="D201" s="4" t="inlineStr">
        <is>
          <t>4 dorm</t>
        </is>
      </c>
      <c r="E201" s="4" t="inlineStr">
        <is>
          <t>2S 2025</t>
        </is>
      </c>
      <c r="F201" s="4" t="n">
        <v>0</v>
      </c>
      <c r="G201" s="4" t="n"/>
      <c r="H201" s="4" t="n">
        <v>0</v>
      </c>
      <c r="I201" s="4">
        <f>IF(G201="","PENDENTE",IF(AND(ISNUMBER(F201),ISNUMBER(G201)),IF(ABS(G201-F201)&lt;=H201,"IGUAL","DIVERGENTE"),IF(TRIM(G201&amp;"")=TRIM(F201&amp;""),"IGUAL","DIVERGENTE")))</f>
        <v/>
      </c>
      <c r="J201" s="4" t="n"/>
    </row>
    <row r="202">
      <c r="A202" s="3" t="n">
        <v>18</v>
      </c>
      <c r="B202" s="3" t="inlineStr">
        <is>
          <t>UNIDADES VERTICAIS LANÇADAS POR PADRÃO</t>
        </is>
      </c>
      <c r="C202" s="3" t="inlineStr">
        <is>
          <t>Gráfico 1 / plot 1</t>
        </is>
      </c>
      <c r="D202" s="3" t="inlineStr">
        <is>
          <t>Compactos</t>
        </is>
      </c>
      <c r="E202" s="3" t="inlineStr">
        <is>
          <t>1S 2025</t>
        </is>
      </c>
      <c r="F202" s="3" t="n">
        <v>0</v>
      </c>
      <c r="G202" s="3" t="n"/>
      <c r="H202" s="3" t="n">
        <v>0</v>
      </c>
      <c r="I202" s="3">
        <f>IF(G202="","PENDENTE",IF(AND(ISNUMBER(F202),ISNUMBER(G202)),IF(ABS(G202-F202)&lt;=H202,"IGUAL","DIVERGENTE"),IF(TRIM(G202&amp;"")=TRIM(F202&amp;""),"IGUAL","DIVERGENTE")))</f>
        <v/>
      </c>
      <c r="J202" s="3" t="n"/>
    </row>
    <row r="203">
      <c r="A203" s="4" t="n">
        <v>18</v>
      </c>
      <c r="B203" s="4" t="inlineStr">
        <is>
          <t>UNIDADES VERTICAIS LANÇADAS POR PADRÃO</t>
        </is>
      </c>
      <c r="C203" s="4" t="inlineStr">
        <is>
          <t>Gráfico 1 / plot 1</t>
        </is>
      </c>
      <c r="D203" s="4" t="inlineStr">
        <is>
          <t>Compactos</t>
        </is>
      </c>
      <c r="E203" s="4" t="inlineStr">
        <is>
          <t>2S 2025</t>
        </is>
      </c>
      <c r="F203" s="4" t="n">
        <v>0</v>
      </c>
      <c r="G203" s="4" t="n"/>
      <c r="H203" s="4" t="n">
        <v>0</v>
      </c>
      <c r="I203" s="4">
        <f>IF(G203="","PENDENTE",IF(AND(ISNUMBER(F203),ISNUMBER(G203)),IF(ABS(G203-F203)&lt;=H203,"IGUAL","DIVERGENTE"),IF(TRIM(G203&amp;"")=TRIM(F203&amp;""),"IGUAL","DIVERGENTE")))</f>
        <v/>
      </c>
      <c r="J203" s="4" t="n"/>
    </row>
    <row r="204">
      <c r="A204" s="3" t="n">
        <v>18</v>
      </c>
      <c r="B204" s="3" t="inlineStr">
        <is>
          <t>UNIDADES VERTICAIS LANÇADAS POR PADRÃO</t>
        </is>
      </c>
      <c r="C204" s="3" t="inlineStr">
        <is>
          <t>Gráfico 1 / plot 1</t>
        </is>
      </c>
      <c r="D204" s="3" t="inlineStr">
        <is>
          <t>MCMV</t>
        </is>
      </c>
      <c r="E204" s="3" t="inlineStr">
        <is>
          <t>1S 2025</t>
        </is>
      </c>
      <c r="F204" s="3" t="n">
        <v>0.8759098786828423</v>
      </c>
      <c r="G204" s="3" t="n"/>
      <c r="H204" s="3" t="n">
        <v>0.005</v>
      </c>
      <c r="I204" s="3">
        <f>IF(G204="","PENDENTE",IF(AND(ISNUMBER(F204),ISNUMBER(G204)),IF(ABS(G204-F204)&lt;=H204,"IGUAL","DIVERGENTE"),IF(TRIM(G204&amp;"")=TRIM(F204&amp;""),"IGUAL","DIVERGENTE")))</f>
        <v/>
      </c>
      <c r="J204" s="3" t="n"/>
    </row>
    <row r="205">
      <c r="A205" s="4" t="n">
        <v>18</v>
      </c>
      <c r="B205" s="4" t="inlineStr">
        <is>
          <t>UNIDADES VERTICAIS LANÇADAS POR PADRÃO</t>
        </is>
      </c>
      <c r="C205" s="4" t="inlineStr">
        <is>
          <t>Gráfico 1 / plot 1</t>
        </is>
      </c>
      <c r="D205" s="4" t="inlineStr">
        <is>
          <t>MCMV</t>
        </is>
      </c>
      <c r="E205" s="4" t="inlineStr">
        <is>
          <t>2S 2025</t>
        </is>
      </c>
      <c r="F205" s="4" t="n">
        <v>0.8989598811292719</v>
      </c>
      <c r="G205" s="4" t="n"/>
      <c r="H205" s="4" t="n">
        <v>0.005</v>
      </c>
      <c r="I205" s="4">
        <f>IF(G205="","PENDENTE",IF(AND(ISNUMBER(F205),ISNUMBER(G205)),IF(ABS(G205-F205)&lt;=H205,"IGUAL","DIVERGENTE"),IF(TRIM(G205&amp;"")=TRIM(F205&amp;""),"IGUAL","DIVERGENTE")))</f>
        <v/>
      </c>
      <c r="J205" s="4" t="n"/>
    </row>
    <row r="206">
      <c r="A206" s="3" t="n">
        <v>18</v>
      </c>
      <c r="B206" s="3" t="inlineStr">
        <is>
          <t>UNIDADES VERTICAIS LANÇADAS POR PADRÃO</t>
        </is>
      </c>
      <c r="C206" s="3" t="inlineStr">
        <is>
          <t>Gráfico 1 / plot 1</t>
        </is>
      </c>
      <c r="D206" s="3" t="inlineStr">
        <is>
          <t>Médio Padrão</t>
        </is>
      </c>
      <c r="E206" s="3" t="inlineStr">
        <is>
          <t>1S 2025</t>
        </is>
      </c>
      <c r="F206" s="3" t="n">
        <v>0.1240901213171577</v>
      </c>
      <c r="G206" s="3" t="n"/>
      <c r="H206" s="3" t="n">
        <v>0.005</v>
      </c>
      <c r="I206" s="3">
        <f>IF(G206="","PENDENTE",IF(AND(ISNUMBER(F206),ISNUMBER(G206)),IF(ABS(G206-F206)&lt;=H206,"IGUAL","DIVERGENTE"),IF(TRIM(G206&amp;"")=TRIM(F206&amp;""),"IGUAL","DIVERGENTE")))</f>
        <v/>
      </c>
      <c r="J206" s="3" t="n"/>
    </row>
    <row r="207">
      <c r="A207" s="4" t="n">
        <v>18</v>
      </c>
      <c r="B207" s="4" t="inlineStr">
        <is>
          <t>UNIDADES VERTICAIS LANÇADAS POR PADRÃO</t>
        </is>
      </c>
      <c r="C207" s="4" t="inlineStr">
        <is>
          <t>Gráfico 1 / plot 1</t>
        </is>
      </c>
      <c r="D207" s="4" t="inlineStr">
        <is>
          <t>Médio Padrão</t>
        </is>
      </c>
      <c r="E207" s="4" t="inlineStr">
        <is>
          <t>2S 2025</t>
        </is>
      </c>
      <c r="F207" s="4" t="n">
        <v>0.1010401188707281</v>
      </c>
      <c r="G207" s="4" t="n"/>
      <c r="H207" s="4" t="n">
        <v>0.005</v>
      </c>
      <c r="I207" s="4">
        <f>IF(G207="","PENDENTE",IF(AND(ISNUMBER(F207),ISNUMBER(G207)),IF(ABS(G207-F207)&lt;=H207,"IGUAL","DIVERGENTE"),IF(TRIM(G207&amp;"")=TRIM(F207&amp;""),"IGUAL","DIVERGENTE")))</f>
        <v/>
      </c>
      <c r="J207" s="4" t="n"/>
    </row>
    <row r="208">
      <c r="A208" s="3" t="n">
        <v>18</v>
      </c>
      <c r="B208" s="3" t="inlineStr">
        <is>
          <t>UNIDADES VERTICAIS LANÇADAS POR PADRÃO</t>
        </is>
      </c>
      <c r="C208" s="3" t="inlineStr">
        <is>
          <t>Gráfico 1 / plot 1</t>
        </is>
      </c>
      <c r="D208" s="3" t="inlineStr">
        <is>
          <t>Luxo</t>
        </is>
      </c>
      <c r="E208" s="3" t="inlineStr">
        <is>
          <t>1S 2025</t>
        </is>
      </c>
      <c r="F208" s="3" t="n">
        <v>0</v>
      </c>
      <c r="G208" s="3" t="n"/>
      <c r="H208" s="3" t="n">
        <v>0</v>
      </c>
      <c r="I208" s="3">
        <f>IF(G208="","PENDENTE",IF(AND(ISNUMBER(F208),ISNUMBER(G208)),IF(ABS(G208-F208)&lt;=H208,"IGUAL","DIVERGENTE"),IF(TRIM(G208&amp;"")=TRIM(F208&amp;""),"IGUAL","DIVERGENTE")))</f>
        <v/>
      </c>
      <c r="J208" s="3" t="n"/>
    </row>
    <row r="209">
      <c r="A209" s="4" t="n">
        <v>18</v>
      </c>
      <c r="B209" s="4" t="inlineStr">
        <is>
          <t>UNIDADES VERTICAIS LANÇADAS POR PADRÃO</t>
        </is>
      </c>
      <c r="C209" s="4" t="inlineStr">
        <is>
          <t>Gráfico 1 / plot 1</t>
        </is>
      </c>
      <c r="D209" s="4" t="inlineStr">
        <is>
          <t>Luxo</t>
        </is>
      </c>
      <c r="E209" s="4" t="inlineStr">
        <is>
          <t>2S 2025</t>
        </is>
      </c>
      <c r="F209" s="4" t="n">
        <v>0</v>
      </c>
      <c r="G209" s="4" t="n"/>
      <c r="H209" s="4" t="n">
        <v>0</v>
      </c>
      <c r="I209" s="4">
        <f>IF(G209="","PENDENTE",IF(AND(ISNUMBER(F209),ISNUMBER(G209)),IF(ABS(G209-F209)&lt;=H209,"IGUAL","DIVERGENTE"),IF(TRIM(G209&amp;"")=TRIM(F209&amp;""),"IGUAL","DIVERGENTE")))</f>
        <v/>
      </c>
      <c r="J209" s="4" t="n"/>
    </row>
    <row r="210">
      <c r="A210" s="3" t="n">
        <v>19</v>
      </c>
      <c r="B210" s="3" t="inlineStr">
        <is>
          <t>UNIDADES VERTICAIS LANÇADAS POR BAIRRO E CIDADE</t>
        </is>
      </c>
      <c r="C210" s="3" t="inlineStr">
        <is>
          <t>Gráfico 1 / plot 1</t>
        </is>
      </c>
      <c r="D210" s="3" t="inlineStr">
        <is>
          <t>Bairros</t>
        </is>
      </c>
      <c r="E210" s="3" t="inlineStr">
        <is>
          <t>Viamão</t>
        </is>
      </c>
      <c r="F210" s="3" t="n">
        <v>0.5690936106983655</v>
      </c>
      <c r="G210" s="3" t="n"/>
      <c r="H210" s="3" t="n">
        <v>0.005</v>
      </c>
      <c r="I210" s="3">
        <f>IF(G210="","PENDENTE",IF(AND(ISNUMBER(F210),ISNUMBER(G210)),IF(ABS(G210-F210)&lt;=H210,"IGUAL","DIVERGENTE"),IF(TRIM(G210&amp;"")=TRIM(F210&amp;""),"IGUAL","DIVERGENTE")))</f>
        <v/>
      </c>
      <c r="J210" s="3" t="n"/>
    </row>
    <row r="211">
      <c r="A211" s="4" t="n">
        <v>19</v>
      </c>
      <c r="B211" s="4" t="inlineStr">
        <is>
          <t>UNIDADES VERTICAIS LANÇADAS POR BAIRRO E CIDADE</t>
        </is>
      </c>
      <c r="C211" s="4" t="inlineStr">
        <is>
          <t>Gráfico 1 / plot 1</t>
        </is>
      </c>
      <c r="D211" s="4" t="inlineStr">
        <is>
          <t>Bairros</t>
        </is>
      </c>
      <c r="E211" s="4" t="inlineStr">
        <is>
          <t>Novo Hamburgo</t>
        </is>
      </c>
      <c r="F211" s="4" t="n">
        <v>0.175334323922734</v>
      </c>
      <c r="G211" s="4" t="n"/>
      <c r="H211" s="4" t="n">
        <v>0.005</v>
      </c>
      <c r="I211" s="4">
        <f>IF(G211="","PENDENTE",IF(AND(ISNUMBER(F211),ISNUMBER(G211)),IF(ABS(G211-F211)&lt;=H211,"IGUAL","DIVERGENTE"),IF(TRIM(G211&amp;"")=TRIM(F211&amp;""),"IGUAL","DIVERGENTE")))</f>
        <v/>
      </c>
      <c r="J211" s="4" t="n"/>
    </row>
    <row r="212">
      <c r="A212" s="3" t="n">
        <v>19</v>
      </c>
      <c r="B212" s="3" t="inlineStr">
        <is>
          <t>UNIDADES VERTICAIS LANÇADAS POR BAIRRO E CIDADE</t>
        </is>
      </c>
      <c r="C212" s="3" t="inlineStr">
        <is>
          <t>Gráfico 1 / plot 1</t>
        </is>
      </c>
      <c r="D212" s="3" t="inlineStr">
        <is>
          <t>Bairros</t>
        </is>
      </c>
      <c r="E212" s="3" t="inlineStr">
        <is>
          <t>Esteio</t>
        </is>
      </c>
      <c r="F212" s="3" t="n">
        <v>0.1337295690936107</v>
      </c>
      <c r="G212" s="3" t="n"/>
      <c r="H212" s="3" t="n">
        <v>0.005</v>
      </c>
      <c r="I212" s="3">
        <f>IF(G212="","PENDENTE",IF(AND(ISNUMBER(F212),ISNUMBER(G212)),IF(ABS(G212-F212)&lt;=H212,"IGUAL","DIVERGENTE"),IF(TRIM(G212&amp;"")=TRIM(F212&amp;""),"IGUAL","DIVERGENTE")))</f>
        <v/>
      </c>
      <c r="J212" s="3" t="n"/>
    </row>
    <row r="213">
      <c r="A213" s="4" t="n">
        <v>19</v>
      </c>
      <c r="B213" s="4" t="inlineStr">
        <is>
          <t>UNIDADES VERTICAIS LANÇADAS POR BAIRRO E CIDADE</t>
        </is>
      </c>
      <c r="C213" s="4" t="inlineStr">
        <is>
          <t>Gráfico 1 / plot 1</t>
        </is>
      </c>
      <c r="D213" s="4" t="inlineStr">
        <is>
          <t>Bairros</t>
        </is>
      </c>
      <c r="E213" s="4" t="inlineStr">
        <is>
          <t>Canoas</t>
        </is>
      </c>
      <c r="F213" s="4" t="n">
        <v>0.0950965824665676</v>
      </c>
      <c r="G213" s="4" t="n"/>
      <c r="H213" s="4" t="n">
        <v>0.005</v>
      </c>
      <c r="I213" s="4">
        <f>IF(G213="","PENDENTE",IF(AND(ISNUMBER(F213),ISNUMBER(G213)),IF(ABS(G213-F213)&lt;=H213,"IGUAL","DIVERGENTE"),IF(TRIM(G213&amp;"")=TRIM(F213&amp;""),"IGUAL","DIVERGENTE")))</f>
        <v/>
      </c>
      <c r="J213" s="4" t="n"/>
    </row>
    <row r="214">
      <c r="A214" s="3" t="n">
        <v>19</v>
      </c>
      <c r="B214" s="3" t="inlineStr">
        <is>
          <t>UNIDADES VERTICAIS LANÇADAS POR BAIRRO E CIDADE</t>
        </is>
      </c>
      <c r="C214" s="3" t="inlineStr">
        <is>
          <t>Gráfico 1 / plot 1</t>
        </is>
      </c>
      <c r="D214" s="3" t="inlineStr">
        <is>
          <t>Bairros</t>
        </is>
      </c>
      <c r="E214" s="3" t="inlineStr">
        <is>
          <t>São Leopoldo</t>
        </is>
      </c>
      <c r="F214" s="3" t="n">
        <v>0.02674591381872214</v>
      </c>
      <c r="G214" s="3" t="n"/>
      <c r="H214" s="3" t="n">
        <v>0.005</v>
      </c>
      <c r="I214" s="3">
        <f>IF(G214="","PENDENTE",IF(AND(ISNUMBER(F214),ISNUMBER(G214)),IF(ABS(G214-F214)&lt;=H214,"IGUAL","DIVERGENTE"),IF(TRIM(G214&amp;"")=TRIM(F214&amp;""),"IGUAL","DIVERGENTE")))</f>
        <v/>
      </c>
      <c r="J214" s="3" t="n"/>
    </row>
    <row r="215">
      <c r="A215" s="4" t="n">
        <v>19</v>
      </c>
      <c r="B215" s="4" t="inlineStr">
        <is>
          <t>UNIDADES VERTICAIS LANÇADAS POR BAIRRO E CIDADE</t>
        </is>
      </c>
      <c r="C215" s="4" t="inlineStr">
        <is>
          <t>Gráfico 2 / plot 1</t>
        </is>
      </c>
      <c r="D215" s="4" t="inlineStr">
        <is>
          <t>Bairros</t>
        </is>
      </c>
      <c r="E215" s="4" t="inlineStr">
        <is>
          <t>Sítio São José - Viamão</t>
        </is>
      </c>
      <c r="F215" s="4" t="n">
        <v>0.512630014858841</v>
      </c>
      <c r="G215" s="4" t="n"/>
      <c r="H215" s="4" t="n">
        <v>0.005</v>
      </c>
      <c r="I215" s="4">
        <f>IF(G215="","PENDENTE",IF(AND(ISNUMBER(F215),ISNUMBER(G215)),IF(ABS(G215-F215)&lt;=H215,"IGUAL","DIVERGENTE"),IF(TRIM(G215&amp;"")=TRIM(F215&amp;""),"IGUAL","DIVERGENTE")))</f>
        <v/>
      </c>
      <c r="J215" s="4" t="n"/>
    </row>
    <row r="216">
      <c r="A216" s="3" t="n">
        <v>19</v>
      </c>
      <c r="B216" s="3" t="inlineStr">
        <is>
          <t>UNIDADES VERTICAIS LANÇADAS POR BAIRRO E CIDADE</t>
        </is>
      </c>
      <c r="C216" s="3" t="inlineStr">
        <is>
          <t>Gráfico 2 / plot 1</t>
        </is>
      </c>
      <c r="D216" s="3" t="inlineStr">
        <is>
          <t>Bairros</t>
        </is>
      </c>
      <c r="E216" s="3" t="inlineStr">
        <is>
          <t>Parque Primavera - Esteio</t>
        </is>
      </c>
      <c r="F216" s="3" t="n">
        <v>0.1337295690936107</v>
      </c>
      <c r="G216" s="3" t="n"/>
      <c r="H216" s="3" t="n">
        <v>0.005</v>
      </c>
      <c r="I216" s="3">
        <f>IF(G216="","PENDENTE",IF(AND(ISNUMBER(F216),ISNUMBER(G216)),IF(ABS(G216-F216)&lt;=H216,"IGUAL","DIVERGENTE"),IF(TRIM(G216&amp;"")=TRIM(F216&amp;""),"IGUAL","DIVERGENTE")))</f>
        <v/>
      </c>
      <c r="J216" s="3" t="n"/>
    </row>
    <row r="217">
      <c r="A217" s="4" t="n">
        <v>19</v>
      </c>
      <c r="B217" s="4" t="inlineStr">
        <is>
          <t>UNIDADES VERTICAIS LANÇADAS POR BAIRRO E CIDADE</t>
        </is>
      </c>
      <c r="C217" s="4" t="inlineStr">
        <is>
          <t>Gráfico 2 / plot 1</t>
        </is>
      </c>
      <c r="D217" s="4" t="inlineStr">
        <is>
          <t>Bairros</t>
        </is>
      </c>
      <c r="E217" s="4" t="inlineStr">
        <is>
          <t>Igara - Canoas</t>
        </is>
      </c>
      <c r="F217" s="4" t="n">
        <v>0.08172362555720654</v>
      </c>
      <c r="G217" s="4" t="n"/>
      <c r="H217" s="4" t="n">
        <v>0.005</v>
      </c>
      <c r="I217" s="4">
        <f>IF(G217="","PENDENTE",IF(AND(ISNUMBER(F217),ISNUMBER(G217)),IF(ABS(G217-F217)&lt;=H217,"IGUAL","DIVERGENTE"),IF(TRIM(G217&amp;"")=TRIM(F217&amp;""),"IGUAL","DIVERGENTE")))</f>
        <v/>
      </c>
      <c r="J217" s="4" t="n"/>
    </row>
    <row r="218">
      <c r="A218" s="3" t="n">
        <v>19</v>
      </c>
      <c r="B218" s="3" t="inlineStr">
        <is>
          <t>UNIDADES VERTICAIS LANÇADAS POR BAIRRO E CIDADE</t>
        </is>
      </c>
      <c r="C218" s="3" t="inlineStr">
        <is>
          <t>Gráfico 2 / plot 1</t>
        </is>
      </c>
      <c r="D218" s="3" t="inlineStr">
        <is>
          <t>Bairros</t>
        </is>
      </c>
      <c r="E218" s="3" t="inlineStr">
        <is>
          <t>Rondônia - Novo Hamburgo</t>
        </is>
      </c>
      <c r="F218" s="3" t="n">
        <v>0.06463595839524518</v>
      </c>
      <c r="G218" s="3" t="n"/>
      <c r="H218" s="3" t="n">
        <v>0.005</v>
      </c>
      <c r="I218" s="3">
        <f>IF(G218="","PENDENTE",IF(AND(ISNUMBER(F218),ISNUMBER(G218)),IF(ABS(G218-F218)&lt;=H218,"IGUAL","DIVERGENTE"),IF(TRIM(G218&amp;"")=TRIM(F218&amp;""),"IGUAL","DIVERGENTE")))</f>
        <v/>
      </c>
      <c r="J218" s="3" t="n"/>
    </row>
    <row r="219">
      <c r="A219" s="4" t="n">
        <v>19</v>
      </c>
      <c r="B219" s="4" t="inlineStr">
        <is>
          <t>UNIDADES VERTICAIS LANÇADAS POR BAIRRO E CIDADE</t>
        </is>
      </c>
      <c r="C219" s="4" t="inlineStr">
        <is>
          <t>Gráfico 2 / plot 1</t>
        </is>
      </c>
      <c r="D219" s="4" t="inlineStr">
        <is>
          <t>Bairros</t>
        </is>
      </c>
      <c r="E219" s="4" t="inlineStr">
        <is>
          <t>Centro - Viamão</t>
        </is>
      </c>
      <c r="F219" s="4" t="n">
        <v>0.05646359583952452</v>
      </c>
      <c r="G219" s="4" t="n"/>
      <c r="H219" s="4" t="n">
        <v>0.005</v>
      </c>
      <c r="I219" s="4">
        <f>IF(G219="","PENDENTE",IF(AND(ISNUMBER(F219),ISNUMBER(G219)),IF(ABS(G219-F219)&lt;=H219,"IGUAL","DIVERGENTE"),IF(TRIM(G219&amp;"")=TRIM(F219&amp;""),"IGUAL","DIVERGENTE")))</f>
        <v/>
      </c>
      <c r="J219" s="4" t="n"/>
    </row>
    <row r="220">
      <c r="A220" s="3" t="n">
        <v>19</v>
      </c>
      <c r="B220" s="3" t="inlineStr">
        <is>
          <t>UNIDADES VERTICAIS LANÇADAS POR BAIRRO E CIDADE</t>
        </is>
      </c>
      <c r="C220" s="3" t="inlineStr">
        <is>
          <t>Gráfico 2 / plot 1</t>
        </is>
      </c>
      <c r="D220" s="3" t="inlineStr">
        <is>
          <t>Bairros</t>
        </is>
      </c>
      <c r="E220" s="3" t="inlineStr">
        <is>
          <t>Pátria Nova - Novo Hamburgo</t>
        </is>
      </c>
      <c r="F220" s="3" t="n">
        <v>0.03268945022288262</v>
      </c>
      <c r="G220" s="3" t="n"/>
      <c r="H220" s="3" t="n">
        <v>0.005</v>
      </c>
      <c r="I220" s="3">
        <f>IF(G220="","PENDENTE",IF(AND(ISNUMBER(F220),ISNUMBER(G220)),IF(ABS(G220-F220)&lt;=H220,"IGUAL","DIVERGENTE"),IF(TRIM(G220&amp;"")=TRIM(F220&amp;""),"IGUAL","DIVERGENTE")))</f>
        <v/>
      </c>
      <c r="J220" s="3" t="n"/>
    </row>
    <row r="221">
      <c r="A221" s="4" t="n">
        <v>19</v>
      </c>
      <c r="B221" s="4" t="inlineStr">
        <is>
          <t>UNIDADES VERTICAIS LANÇADAS POR BAIRRO E CIDADE</t>
        </is>
      </c>
      <c r="C221" s="4" t="inlineStr">
        <is>
          <t>Gráfico 2 / plot 1</t>
        </is>
      </c>
      <c r="D221" s="4" t="inlineStr">
        <is>
          <t>Bairros</t>
        </is>
      </c>
      <c r="E221" s="4" t="inlineStr">
        <is>
          <t>Rio Branco - São Leopoldo</t>
        </is>
      </c>
      <c r="F221" s="4" t="n">
        <v>0.02674591381872214</v>
      </c>
      <c r="G221" s="4" t="n"/>
      <c r="H221" s="4" t="n">
        <v>0.005</v>
      </c>
      <c r="I221" s="4">
        <f>IF(G221="","PENDENTE",IF(AND(ISNUMBER(F221),ISNUMBER(G221)),IF(ABS(G221-F221)&lt;=H221,"IGUAL","DIVERGENTE"),IF(TRIM(G221&amp;"")=TRIM(F221&amp;""),"IGUAL","DIVERGENTE")))</f>
        <v/>
      </c>
      <c r="J221" s="4" t="n"/>
    </row>
    <row r="222">
      <c r="A222" s="3" t="n">
        <v>20</v>
      </c>
      <c r="B222" s="3" t="inlineStr">
        <is>
          <t>VGV LANÇADO VERTICAL (R$ MILHÕES)</t>
        </is>
      </c>
      <c r="C222" s="3" t="inlineStr">
        <is>
          <t>Gráfico 1 / plot 1</t>
        </is>
      </c>
      <c r="D222" s="3" t="inlineStr">
        <is>
          <t>RM de Porto Alegre</t>
        </is>
      </c>
      <c r="E222" s="3" t="inlineStr">
        <is>
          <t>4T/21</t>
        </is>
      </c>
      <c r="F222" s="3" t="n">
        <v>905.4173200405364</v>
      </c>
      <c r="G222" s="3" t="n"/>
      <c r="H222" s="3" t="n">
        <v>0.005</v>
      </c>
      <c r="I222" s="3">
        <f>IF(G222="","PENDENTE",IF(AND(ISNUMBER(F222),ISNUMBER(G222)),IF(ABS(G222-F222)&lt;=H222,"IGUAL","DIVERGENTE"),IF(TRIM(G222&amp;"")=TRIM(F222&amp;""),"IGUAL","DIVERGENTE")))</f>
        <v/>
      </c>
      <c r="J222" s="3" t="n"/>
    </row>
    <row r="223">
      <c r="A223" s="4" t="n">
        <v>20</v>
      </c>
      <c r="B223" s="4" t="inlineStr">
        <is>
          <t>VGV LANÇADO VERTICAL (R$ MILHÕES)</t>
        </is>
      </c>
      <c r="C223" s="4" t="inlineStr">
        <is>
          <t>Gráfico 1 / plot 1</t>
        </is>
      </c>
      <c r="D223" s="4" t="inlineStr">
        <is>
          <t>RM de Porto Alegre</t>
        </is>
      </c>
      <c r="E223" s="4" t="inlineStr">
        <is>
          <t>1T/22</t>
        </is>
      </c>
      <c r="F223" s="4" t="n">
        <v>299.7272995019935</v>
      </c>
      <c r="G223" s="4" t="n"/>
      <c r="H223" s="4" t="n">
        <v>0.005</v>
      </c>
      <c r="I223" s="4">
        <f>IF(G223="","PENDENTE",IF(AND(ISNUMBER(F223),ISNUMBER(G223)),IF(ABS(G223-F223)&lt;=H223,"IGUAL","DIVERGENTE"),IF(TRIM(G223&amp;"")=TRIM(F223&amp;""),"IGUAL","DIVERGENTE")))</f>
        <v/>
      </c>
      <c r="J223" s="4" t="n"/>
    </row>
    <row r="224">
      <c r="A224" s="3" t="n">
        <v>20</v>
      </c>
      <c r="B224" s="3" t="inlineStr">
        <is>
          <t>VGV LANÇADO VERTICAL (R$ MILHÕES)</t>
        </is>
      </c>
      <c r="C224" s="3" t="inlineStr">
        <is>
          <t>Gráfico 1 / plot 1</t>
        </is>
      </c>
      <c r="D224" s="3" t="inlineStr">
        <is>
          <t>RM de Porto Alegre</t>
        </is>
      </c>
      <c r="E224" s="3" t="inlineStr">
        <is>
          <t>2T/22</t>
        </is>
      </c>
      <c r="F224" s="3" t="n">
        <v>383.9664090016951</v>
      </c>
      <c r="G224" s="3" t="n"/>
      <c r="H224" s="3" t="n">
        <v>0.005</v>
      </c>
      <c r="I224" s="3">
        <f>IF(G224="","PENDENTE",IF(AND(ISNUMBER(F224),ISNUMBER(G224)),IF(ABS(G224-F224)&lt;=H224,"IGUAL","DIVERGENTE"),IF(TRIM(G224&amp;"")=TRIM(F224&amp;""),"IGUAL","DIVERGENTE")))</f>
        <v/>
      </c>
      <c r="J224" s="3" t="n"/>
    </row>
    <row r="225">
      <c r="A225" s="4" t="n">
        <v>20</v>
      </c>
      <c r="B225" s="4" t="inlineStr">
        <is>
          <t>VGV LANÇADO VERTICAL (R$ MILHÕES)</t>
        </is>
      </c>
      <c r="C225" s="4" t="inlineStr">
        <is>
          <t>Gráfico 1 / plot 1</t>
        </is>
      </c>
      <c r="D225" s="4" t="inlineStr">
        <is>
          <t>RM de Porto Alegre</t>
        </is>
      </c>
      <c r="E225" s="4" t="inlineStr">
        <is>
          <t>3T/22</t>
        </is>
      </c>
      <c r="F225" s="4" t="n">
        <v>322.5695749247524</v>
      </c>
      <c r="G225" s="4" t="n"/>
      <c r="H225" s="4" t="n">
        <v>0.005</v>
      </c>
      <c r="I225" s="4">
        <f>IF(G225="","PENDENTE",IF(AND(ISNUMBER(F225),ISNUMBER(G225)),IF(ABS(G225-F225)&lt;=H225,"IGUAL","DIVERGENTE"),IF(TRIM(G225&amp;"")=TRIM(F225&amp;""),"IGUAL","DIVERGENTE")))</f>
        <v/>
      </c>
      <c r="J225" s="4" t="n"/>
    </row>
    <row r="226">
      <c r="A226" s="3" t="n">
        <v>20</v>
      </c>
      <c r="B226" s="3" t="inlineStr">
        <is>
          <t>VGV LANÇADO VERTICAL (R$ MILHÕES)</t>
        </is>
      </c>
      <c r="C226" s="3" t="inlineStr">
        <is>
          <t>Gráfico 1 / plot 1</t>
        </is>
      </c>
      <c r="D226" s="3" t="inlineStr">
        <is>
          <t>RM de Porto Alegre</t>
        </is>
      </c>
      <c r="E226" s="3" t="inlineStr">
        <is>
          <t>4T/22</t>
        </is>
      </c>
      <c r="F226" s="3" t="n">
        <v>536.9007890058948</v>
      </c>
      <c r="G226" s="3" t="n"/>
      <c r="H226" s="3" t="n">
        <v>0.005</v>
      </c>
      <c r="I226" s="3">
        <f>IF(G226="","PENDENTE",IF(AND(ISNUMBER(F226),ISNUMBER(G226)),IF(ABS(G226-F226)&lt;=H226,"IGUAL","DIVERGENTE"),IF(TRIM(G226&amp;"")=TRIM(F226&amp;""),"IGUAL","DIVERGENTE")))</f>
        <v/>
      </c>
      <c r="J226" s="3" t="n"/>
    </row>
    <row r="227">
      <c r="A227" s="4" t="n">
        <v>20</v>
      </c>
      <c r="B227" s="4" t="inlineStr">
        <is>
          <t>VGV LANÇADO VERTICAL (R$ MILHÕES)</t>
        </is>
      </c>
      <c r="C227" s="4" t="inlineStr">
        <is>
          <t>Gráfico 1 / plot 1</t>
        </is>
      </c>
      <c r="D227" s="4" t="inlineStr">
        <is>
          <t>RM de Porto Alegre</t>
        </is>
      </c>
      <c r="E227" s="4" t="inlineStr">
        <is>
          <t>1T/23</t>
        </is>
      </c>
      <c r="F227" s="4" t="n">
        <v>438.0504324477196</v>
      </c>
      <c r="G227" s="4" t="n"/>
      <c r="H227" s="4" t="n">
        <v>0.005</v>
      </c>
      <c r="I227" s="4">
        <f>IF(G227="","PENDENTE",IF(AND(ISNUMBER(F227),ISNUMBER(G227)),IF(ABS(G227-F227)&lt;=H227,"IGUAL","DIVERGENTE"),IF(TRIM(G227&amp;"")=TRIM(F227&amp;""),"IGUAL","DIVERGENTE")))</f>
        <v/>
      </c>
      <c r="J227" s="4" t="n"/>
    </row>
    <row r="228">
      <c r="A228" s="3" t="n">
        <v>20</v>
      </c>
      <c r="B228" s="3" t="inlineStr">
        <is>
          <t>VGV LANÇADO VERTICAL (R$ MILHÕES)</t>
        </is>
      </c>
      <c r="C228" s="3" t="inlineStr">
        <is>
          <t>Gráfico 1 / plot 1</t>
        </is>
      </c>
      <c r="D228" s="3" t="inlineStr">
        <is>
          <t>RM de Porto Alegre</t>
        </is>
      </c>
      <c r="E228" s="3" t="inlineStr">
        <is>
          <t>2T/23</t>
        </is>
      </c>
      <c r="F228" s="3" t="n">
        <v>407.1852015728689</v>
      </c>
      <c r="G228" s="3" t="n"/>
      <c r="H228" s="3" t="n">
        <v>0.005</v>
      </c>
      <c r="I228" s="3">
        <f>IF(G228="","PENDENTE",IF(AND(ISNUMBER(F228),ISNUMBER(G228)),IF(ABS(G228-F228)&lt;=H228,"IGUAL","DIVERGENTE"),IF(TRIM(G228&amp;"")=TRIM(F228&amp;""),"IGUAL","DIVERGENTE")))</f>
        <v/>
      </c>
      <c r="J228" s="3" t="n"/>
    </row>
    <row r="229">
      <c r="A229" s="4" t="n">
        <v>20</v>
      </c>
      <c r="B229" s="4" t="inlineStr">
        <is>
          <t>VGV LANÇADO VERTICAL (R$ MILHÕES)</t>
        </is>
      </c>
      <c r="C229" s="4" t="inlineStr">
        <is>
          <t>Gráfico 1 / plot 1</t>
        </is>
      </c>
      <c r="D229" s="4" t="inlineStr">
        <is>
          <t>RM de Porto Alegre</t>
        </is>
      </c>
      <c r="E229" s="4" t="inlineStr">
        <is>
          <t>3T/23</t>
        </is>
      </c>
      <c r="F229" s="4" t="n">
        <v>101.9866817614535</v>
      </c>
      <c r="G229" s="4" t="n"/>
      <c r="H229" s="4" t="n">
        <v>0.005</v>
      </c>
      <c r="I229" s="4">
        <f>IF(G229="","PENDENTE",IF(AND(ISNUMBER(F229),ISNUMBER(G229)),IF(ABS(G229-F229)&lt;=H229,"IGUAL","DIVERGENTE"),IF(TRIM(G229&amp;"")=TRIM(F229&amp;""),"IGUAL","DIVERGENTE")))</f>
        <v/>
      </c>
      <c r="J229" s="4" t="n"/>
    </row>
    <row r="230">
      <c r="A230" s="3" t="n">
        <v>20</v>
      </c>
      <c r="B230" s="3" t="inlineStr">
        <is>
          <t>VGV LANÇADO VERTICAL (R$ MILHÕES)</t>
        </is>
      </c>
      <c r="C230" s="3" t="inlineStr">
        <is>
          <t>Gráfico 1 / plot 1</t>
        </is>
      </c>
      <c r="D230" s="3" t="inlineStr">
        <is>
          <t>RM de Porto Alegre</t>
        </is>
      </c>
      <c r="E230" s="3" t="inlineStr">
        <is>
          <t>4T/23</t>
        </is>
      </c>
      <c r="F230" s="3" t="n">
        <v>140.0829621530216</v>
      </c>
      <c r="G230" s="3" t="n"/>
      <c r="H230" s="3" t="n">
        <v>0.005</v>
      </c>
      <c r="I230" s="3">
        <f>IF(G230="","PENDENTE",IF(AND(ISNUMBER(F230),ISNUMBER(G230)),IF(ABS(G230-F230)&lt;=H230,"IGUAL","DIVERGENTE"),IF(TRIM(G230&amp;"")=TRIM(F230&amp;""),"IGUAL","DIVERGENTE")))</f>
        <v/>
      </c>
      <c r="J230" s="3" t="n"/>
    </row>
    <row r="231">
      <c r="A231" s="4" t="n">
        <v>20</v>
      </c>
      <c r="B231" s="4" t="inlineStr">
        <is>
          <t>VGV LANÇADO VERTICAL (R$ MILHÕES)</t>
        </is>
      </c>
      <c r="C231" s="4" t="inlineStr">
        <is>
          <t>Gráfico 1 / plot 1</t>
        </is>
      </c>
      <c r="D231" s="4" t="inlineStr">
        <is>
          <t>RM de Porto Alegre</t>
        </is>
      </c>
      <c r="E231" s="4" t="inlineStr">
        <is>
          <t>1T/24</t>
        </is>
      </c>
      <c r="F231" s="4" t="n">
        <v>269.5110039561584</v>
      </c>
      <c r="G231" s="4" t="n"/>
      <c r="H231" s="4" t="n">
        <v>0.005</v>
      </c>
      <c r="I231" s="4">
        <f>IF(G231="","PENDENTE",IF(AND(ISNUMBER(F231),ISNUMBER(G231)),IF(ABS(G231-F231)&lt;=H231,"IGUAL","DIVERGENTE"),IF(TRIM(G231&amp;"")=TRIM(F231&amp;""),"IGUAL","DIVERGENTE")))</f>
        <v/>
      </c>
      <c r="J231" s="4" t="n"/>
    </row>
    <row r="232">
      <c r="A232" s="3" t="n">
        <v>20</v>
      </c>
      <c r="B232" s="3" t="inlineStr">
        <is>
          <t>VGV LANÇADO VERTICAL (R$ MILHÕES)</t>
        </is>
      </c>
      <c r="C232" s="3" t="inlineStr">
        <is>
          <t>Gráfico 1 / plot 1</t>
        </is>
      </c>
      <c r="D232" s="3" t="inlineStr">
        <is>
          <t>RM de Porto Alegre</t>
        </is>
      </c>
      <c r="E232" s="3" t="inlineStr">
        <is>
          <t>2T/24</t>
        </is>
      </c>
      <c r="F232" s="3" t="n">
        <v>529.8835696891325</v>
      </c>
      <c r="G232" s="3" t="n"/>
      <c r="H232" s="3" t="n">
        <v>0.005</v>
      </c>
      <c r="I232" s="3">
        <f>IF(G232="","PENDENTE",IF(AND(ISNUMBER(F232),ISNUMBER(G232)),IF(ABS(G232-F232)&lt;=H232,"IGUAL","DIVERGENTE"),IF(TRIM(G232&amp;"")=TRIM(F232&amp;""),"IGUAL","DIVERGENTE")))</f>
        <v/>
      </c>
      <c r="J232" s="3" t="n"/>
    </row>
    <row r="233">
      <c r="A233" s="4" t="n">
        <v>20</v>
      </c>
      <c r="B233" s="4" t="inlineStr">
        <is>
          <t>VGV LANÇADO VERTICAL (R$ MILHÕES)</t>
        </is>
      </c>
      <c r="C233" s="4" t="inlineStr">
        <is>
          <t>Gráfico 1 / plot 1</t>
        </is>
      </c>
      <c r="D233" s="4" t="inlineStr">
        <is>
          <t>RM de Porto Alegre</t>
        </is>
      </c>
      <c r="E233" s="4" t="inlineStr">
        <is>
          <t>3T/24</t>
        </is>
      </c>
      <c r="F233" s="4" t="n">
        <v>148.7849523584548</v>
      </c>
      <c r="G233" s="4" t="n"/>
      <c r="H233" s="4" t="n">
        <v>0.005</v>
      </c>
      <c r="I233" s="4">
        <f>IF(G233="","PENDENTE",IF(AND(ISNUMBER(F233),ISNUMBER(G233)),IF(ABS(G233-F233)&lt;=H233,"IGUAL","DIVERGENTE"),IF(TRIM(G233&amp;"")=TRIM(F233&amp;""),"IGUAL","DIVERGENTE")))</f>
        <v/>
      </c>
      <c r="J233" s="4" t="n"/>
    </row>
    <row r="234">
      <c r="A234" s="3" t="n">
        <v>20</v>
      </c>
      <c r="B234" s="3" t="inlineStr">
        <is>
          <t>VGV LANÇADO VERTICAL (R$ MILHÕES)</t>
        </is>
      </c>
      <c r="C234" s="3" t="inlineStr">
        <is>
          <t>Gráfico 1 / plot 1</t>
        </is>
      </c>
      <c r="D234" s="3" t="inlineStr">
        <is>
          <t>RM de Porto Alegre</t>
        </is>
      </c>
      <c r="E234" s="3" t="inlineStr">
        <is>
          <t>4T/24</t>
        </is>
      </c>
      <c r="F234" s="3" t="n">
        <v>590.0827863581325</v>
      </c>
      <c r="G234" s="3" t="n"/>
      <c r="H234" s="3" t="n">
        <v>0.005</v>
      </c>
      <c r="I234" s="3">
        <f>IF(G234="","PENDENTE",IF(AND(ISNUMBER(F234),ISNUMBER(G234)),IF(ABS(G234-F234)&lt;=H234,"IGUAL","DIVERGENTE"),IF(TRIM(G234&amp;"")=TRIM(F234&amp;""),"IGUAL","DIVERGENTE")))</f>
        <v/>
      </c>
      <c r="J234" s="3" t="n"/>
    </row>
    <row r="235">
      <c r="A235" s="4" t="n">
        <v>20</v>
      </c>
      <c r="B235" s="4" t="inlineStr">
        <is>
          <t>VGV LANÇADO VERTICAL (R$ MILHÕES)</t>
        </is>
      </c>
      <c r="C235" s="4" t="inlineStr">
        <is>
          <t>Gráfico 1 / plot 1</t>
        </is>
      </c>
      <c r="D235" s="4" t="inlineStr">
        <is>
          <t>RM de Porto Alegre</t>
        </is>
      </c>
      <c r="E235" s="4" t="inlineStr">
        <is>
          <t>1T/25</t>
        </is>
      </c>
      <c r="F235" s="4" t="n">
        <v>477.8331906663323</v>
      </c>
      <c r="G235" s="4" t="n"/>
      <c r="H235" s="4" t="n">
        <v>0.005</v>
      </c>
      <c r="I235" s="4">
        <f>IF(G235="","PENDENTE",IF(AND(ISNUMBER(F235),ISNUMBER(G235)),IF(ABS(G235-F235)&lt;=H235,"IGUAL","DIVERGENTE"),IF(TRIM(G235&amp;"")=TRIM(F235&amp;""),"IGUAL","DIVERGENTE")))</f>
        <v/>
      </c>
      <c r="J235" s="4" t="n"/>
    </row>
    <row r="236">
      <c r="A236" s="3" t="n">
        <v>20</v>
      </c>
      <c r="B236" s="3" t="inlineStr">
        <is>
          <t>VGV LANÇADO VERTICAL (R$ MILHÕES)</t>
        </is>
      </c>
      <c r="C236" s="3" t="inlineStr">
        <is>
          <t>Gráfico 1 / plot 1</t>
        </is>
      </c>
      <c r="D236" s="3" t="inlineStr">
        <is>
          <t>RM de Porto Alegre</t>
        </is>
      </c>
      <c r="E236" s="3" t="inlineStr">
        <is>
          <t>2T/25</t>
        </is>
      </c>
      <c r="F236" s="3" t="n">
        <v>445.6165356385148</v>
      </c>
      <c r="G236" s="3" t="n"/>
      <c r="H236" s="3" t="n">
        <v>0.005</v>
      </c>
      <c r="I236" s="3">
        <f>IF(G236="","PENDENTE",IF(AND(ISNUMBER(F236),ISNUMBER(G236)),IF(ABS(G236-F236)&lt;=H236,"IGUAL","DIVERGENTE"),IF(TRIM(G236&amp;"")=TRIM(F236&amp;""),"IGUAL","DIVERGENTE")))</f>
        <v/>
      </c>
      <c r="J236" s="3" t="n"/>
    </row>
    <row r="237">
      <c r="A237" s="4" t="n">
        <v>20</v>
      </c>
      <c r="B237" s="4" t="inlineStr">
        <is>
          <t>VGV LANÇADO VERTICAL (R$ MILHÕES)</t>
        </is>
      </c>
      <c r="C237" s="4" t="inlineStr">
        <is>
          <t>Gráfico 1 / plot 1</t>
        </is>
      </c>
      <c r="D237" s="4" t="inlineStr">
        <is>
          <t>RM de Porto Alegre</t>
        </is>
      </c>
      <c r="E237" s="4" t="inlineStr">
        <is>
          <t>3T/25</t>
        </is>
      </c>
      <c r="F237" s="4" t="n">
        <v>100.4457984331289</v>
      </c>
      <c r="G237" s="4" t="n"/>
      <c r="H237" s="4" t="n">
        <v>0.005</v>
      </c>
      <c r="I237" s="4">
        <f>IF(G237="","PENDENTE",IF(AND(ISNUMBER(F237),ISNUMBER(G237)),IF(ABS(G237-F237)&lt;=H237,"IGUAL","DIVERGENTE"),IF(TRIM(G237&amp;"")=TRIM(F237&amp;""),"IGUAL","DIVERGENTE")))</f>
        <v/>
      </c>
      <c r="J237" s="4" t="n"/>
    </row>
    <row r="238">
      <c r="A238" s="3" t="n">
        <v>20</v>
      </c>
      <c r="B238" s="3" t="inlineStr">
        <is>
          <t>VGV LANÇADO VERTICAL (R$ MILHÕES)</t>
        </is>
      </c>
      <c r="C238" s="3" t="inlineStr">
        <is>
          <t>Gráfico 1 / plot 1</t>
        </is>
      </c>
      <c r="D238" s="3" t="inlineStr">
        <is>
          <t>RM de Porto Alegre</t>
        </is>
      </c>
      <c r="E238" s="3" t="inlineStr">
        <is>
          <t>4T/25</t>
        </is>
      </c>
      <c r="F238" s="3" t="n">
        <v>657.3117386990336</v>
      </c>
      <c r="G238" s="3" t="n"/>
      <c r="H238" s="3" t="n">
        <v>0.005</v>
      </c>
      <c r="I238" s="3">
        <f>IF(G238="","PENDENTE",IF(AND(ISNUMBER(F238),ISNUMBER(G238)),IF(ABS(G238-F238)&lt;=H238,"IGUAL","DIVERGENTE"),IF(TRIM(G238&amp;"")=TRIM(F238&amp;""),"IGUAL","DIVERGENTE")))</f>
        <v/>
      </c>
      <c r="J238" s="3" t="n"/>
    </row>
    <row r="239">
      <c r="A239" s="4" t="n">
        <v>20</v>
      </c>
      <c r="B239" s="4" t="inlineStr">
        <is>
          <t>VGV LANÇADO VERTICAL (R$ MILHÕES)</t>
        </is>
      </c>
      <c r="C239" s="4" t="inlineStr">
        <is>
          <t>Gráfico 2 / plot 1</t>
        </is>
      </c>
      <c r="D239" s="4" t="inlineStr">
        <is>
          <t>RM de Porto Alegre</t>
        </is>
      </c>
      <c r="E239" s="4" t="inlineStr">
        <is>
          <t>1S 2025</t>
        </is>
      </c>
      <c r="F239" s="4" t="n">
        <v>923.449726304847</v>
      </c>
      <c r="G239" s="4" t="n"/>
      <c r="H239" s="4" t="n">
        <v>0.005</v>
      </c>
      <c r="I239" s="4">
        <f>IF(G239="","PENDENTE",IF(AND(ISNUMBER(F239),ISNUMBER(G239)),IF(ABS(G239-F239)&lt;=H239,"IGUAL","DIVERGENTE"),IF(TRIM(G239&amp;"")=TRIM(F239&amp;""),"IGUAL","DIVERGENTE")))</f>
        <v/>
      </c>
      <c r="J239" s="4" t="n"/>
    </row>
    <row r="240">
      <c r="A240" s="3" t="n">
        <v>20</v>
      </c>
      <c r="B240" s="3" t="inlineStr">
        <is>
          <t>VGV LANÇADO VERTICAL (R$ MILHÕES)</t>
        </is>
      </c>
      <c r="C240" s="3" t="inlineStr">
        <is>
          <t>Gráfico 2 / plot 1</t>
        </is>
      </c>
      <c r="D240" s="3" t="inlineStr">
        <is>
          <t>RM de Porto Alegre</t>
        </is>
      </c>
      <c r="E240" s="3" t="inlineStr">
        <is>
          <t>2S 2025</t>
        </is>
      </c>
      <c r="F240" s="3" t="n">
        <v>757.7575371321625</v>
      </c>
      <c r="G240" s="3" t="n"/>
      <c r="H240" s="3" t="n">
        <v>0.005</v>
      </c>
      <c r="I240" s="3">
        <f>IF(G240="","PENDENTE",IF(AND(ISNUMBER(F240),ISNUMBER(G240)),IF(ABS(G240-F240)&lt;=H240,"IGUAL","DIVERGENTE"),IF(TRIM(G240&amp;"")=TRIM(F240&amp;""),"IGUAL","DIVERGENTE")))</f>
        <v/>
      </c>
      <c r="J240" s="3" t="n"/>
    </row>
    <row r="241">
      <c r="A241" s="4" t="n">
        <v>20</v>
      </c>
      <c r="B241" s="4" t="inlineStr">
        <is>
          <t>VGV LANÇADO VERTICAL (R$ MILHÕES)</t>
        </is>
      </c>
      <c r="C241" s="4" t="inlineStr">
        <is>
          <t>Tabela 1</t>
        </is>
      </c>
      <c r="D241" s="4" t="inlineStr">
        <is>
          <t>2021 x 2022</t>
        </is>
      </c>
      <c r="E241" s="4" t="inlineStr">
        <is>
          <t>Coluna 2</t>
        </is>
      </c>
      <c r="F241" s="4" t="inlineStr">
        <is>
          <t>2022 x 2023</t>
        </is>
      </c>
      <c r="G241" s="4" t="n"/>
      <c r="H241" s="4" t="n"/>
      <c r="I241" s="4">
        <f>IF(G241="","PENDENTE",IF(AND(ISNUMBER(F241),ISNUMBER(G241)),IF(ABS(G241-F241)&lt;=H241,"IGUAL","DIVERGENTE"),IF(TRIM(G241&amp;"")=TRIM(F241&amp;""),"IGUAL","DIVERGENTE")))</f>
        <v/>
      </c>
      <c r="J241" s="4" t="n"/>
    </row>
    <row r="242">
      <c r="A242" s="3" t="n">
        <v>20</v>
      </c>
      <c r="B242" s="3" t="inlineStr">
        <is>
          <t>VGV LANÇADO VERTICAL (R$ MILHÕES)</t>
        </is>
      </c>
      <c r="C242" s="3" t="inlineStr">
        <is>
          <t>Tabela 1</t>
        </is>
      </c>
      <c r="D242" s="3" t="inlineStr">
        <is>
          <t>2021 x 2022</t>
        </is>
      </c>
      <c r="E242" s="3" t="inlineStr">
        <is>
          <t>Coluna 3</t>
        </is>
      </c>
      <c r="F242" s="3" t="inlineStr">
        <is>
          <t>2023 X 2024</t>
        </is>
      </c>
      <c r="G242" s="3" t="n"/>
      <c r="H242" s="3" t="n"/>
      <c r="I242" s="3">
        <f>IF(G242="","PENDENTE",IF(AND(ISNUMBER(F242),ISNUMBER(G242)),IF(ABS(G242-F242)&lt;=H242,"IGUAL","DIVERGENTE"),IF(TRIM(G242&amp;"")=TRIM(F242&amp;""),"IGUAL","DIVERGENTE")))</f>
        <v/>
      </c>
      <c r="J242" s="3" t="n"/>
    </row>
    <row r="243">
      <c r="A243" s="4" t="n">
        <v>20</v>
      </c>
      <c r="B243" s="4" t="inlineStr">
        <is>
          <t>VGV LANÇADO VERTICAL (R$ MILHÕES)</t>
        </is>
      </c>
      <c r="C243" s="4" t="inlineStr">
        <is>
          <t>Tabela 1</t>
        </is>
      </c>
      <c r="D243" s="4" t="inlineStr">
        <is>
          <t>2021 x 2022</t>
        </is>
      </c>
      <c r="E243" s="4" t="inlineStr">
        <is>
          <t>Coluna 4</t>
        </is>
      </c>
      <c r="F243" s="4" t="inlineStr">
        <is>
          <t>2024 x 2025</t>
        </is>
      </c>
      <c r="G243" s="4" t="n"/>
      <c r="H243" s="4" t="n"/>
      <c r="I243" s="4">
        <f>IF(G243="","PENDENTE",IF(AND(ISNUMBER(F243),ISNUMBER(G243)),IF(ABS(G243-F243)&lt;=H243,"IGUAL","DIVERGENTE"),IF(TRIM(G243&amp;"")=TRIM(F243&amp;""),"IGUAL","DIVERGENTE")))</f>
        <v/>
      </c>
      <c r="J243" s="4" t="n"/>
    </row>
    <row r="244">
      <c r="A244" s="3" t="n">
        <v>20</v>
      </c>
      <c r="B244" s="3" t="inlineStr">
        <is>
          <t>VGV LANÇADO VERTICAL (R$ MILHÕES)</t>
        </is>
      </c>
      <c r="C244" s="3" t="inlineStr">
        <is>
          <t>Tabela 1</t>
        </is>
      </c>
      <c r="D244" s="3" t="inlineStr">
        <is>
          <t>-15%</t>
        </is>
      </c>
      <c r="E244" s="3" t="inlineStr">
        <is>
          <t>Coluna 2</t>
        </is>
      </c>
      <c r="F244" s="3" t="inlineStr">
        <is>
          <t>-30%</t>
        </is>
      </c>
      <c r="G244" s="3" t="n"/>
      <c r="H244" s="3" t="n"/>
      <c r="I244" s="3">
        <f>IF(G244="","PENDENTE",IF(AND(ISNUMBER(F244),ISNUMBER(G244)),IF(ABS(G244-F244)&lt;=H244,"IGUAL","DIVERGENTE"),IF(TRIM(G244&amp;"")=TRIM(F244&amp;""),"IGUAL","DIVERGENTE")))</f>
        <v/>
      </c>
      <c r="J244" s="3" t="n"/>
    </row>
    <row r="245">
      <c r="A245" s="4" t="n">
        <v>20</v>
      </c>
      <c r="B245" s="4" t="inlineStr">
        <is>
          <t>VGV LANÇADO VERTICAL (R$ MILHÕES)</t>
        </is>
      </c>
      <c r="C245" s="4" t="inlineStr">
        <is>
          <t>Tabela 1</t>
        </is>
      </c>
      <c r="D245" s="4" t="inlineStr">
        <is>
          <t>-15%</t>
        </is>
      </c>
      <c r="E245" s="4" t="inlineStr">
        <is>
          <t>Coluna 3</t>
        </is>
      </c>
      <c r="F245" s="4" t="inlineStr">
        <is>
          <t>+41%</t>
        </is>
      </c>
      <c r="G245" s="4" t="n"/>
      <c r="H245" s="4" t="n"/>
      <c r="I245" s="4">
        <f>IF(G245="","PENDENTE",IF(AND(ISNUMBER(F245),ISNUMBER(G245)),IF(ABS(G245-F245)&lt;=H245,"IGUAL","DIVERGENTE"),IF(TRIM(G245&amp;"")=TRIM(F245&amp;""),"IGUAL","DIVERGENTE")))</f>
        <v/>
      </c>
      <c r="J245" s="4" t="n"/>
    </row>
    <row r="246">
      <c r="A246" s="3" t="n">
        <v>20</v>
      </c>
      <c r="B246" s="3" t="inlineStr">
        <is>
          <t>VGV LANÇADO VERTICAL (R$ MILHÕES)</t>
        </is>
      </c>
      <c r="C246" s="3" t="inlineStr">
        <is>
          <t>Tabela 1</t>
        </is>
      </c>
      <c r="D246" s="3" t="inlineStr">
        <is>
          <t>-15%</t>
        </is>
      </c>
      <c r="E246" s="3" t="inlineStr">
        <is>
          <t>Coluna 4</t>
        </is>
      </c>
      <c r="F246" s="3" t="inlineStr">
        <is>
          <t>+9%</t>
        </is>
      </c>
      <c r="G246" s="3" t="n"/>
      <c r="H246" s="3" t="n"/>
      <c r="I246" s="3">
        <f>IF(G246="","PENDENTE",IF(AND(ISNUMBER(F246),ISNUMBER(G246)),IF(ABS(G246-F246)&lt;=H246,"IGUAL","DIVERGENTE"),IF(TRIM(G246&amp;"")=TRIM(F246&amp;""),"IGUAL","DIVERGENTE")))</f>
        <v/>
      </c>
      <c r="J246" s="3" t="n"/>
    </row>
    <row r="247">
      <c r="A247" s="4" t="n">
        <v>21</v>
      </c>
      <c r="B247" s="4" t="inlineStr">
        <is>
          <t>VGV LANÇADO VERTICAL POR PADRÃO</t>
        </is>
      </c>
      <c r="C247" s="4" t="inlineStr">
        <is>
          <t>Gráfico 1 / plot 1</t>
        </is>
      </c>
      <c r="D247" s="4" t="inlineStr">
        <is>
          <t>Luxo</t>
        </is>
      </c>
      <c r="E247" s="4" t="inlineStr">
        <is>
          <t>2020</t>
        </is>
      </c>
      <c r="F247" s="4" t="n">
        <v>0</v>
      </c>
      <c r="G247" s="4" t="n"/>
      <c r="H247" s="4" t="n">
        <v>0</v>
      </c>
      <c r="I247" s="4">
        <f>IF(G247="","PENDENTE",IF(AND(ISNUMBER(F247),ISNUMBER(G247)),IF(ABS(G247-F247)&lt;=H247,"IGUAL","DIVERGENTE"),IF(TRIM(G247&amp;"")=TRIM(F247&amp;""),"IGUAL","DIVERGENTE")))</f>
        <v/>
      </c>
      <c r="J247" s="4" t="n"/>
    </row>
    <row r="248">
      <c r="A248" s="3" t="n">
        <v>21</v>
      </c>
      <c r="B248" s="3" t="inlineStr">
        <is>
          <t>VGV LANÇADO VERTICAL POR PADRÃO</t>
        </is>
      </c>
      <c r="C248" s="3" t="inlineStr">
        <is>
          <t>Gráfico 1 / plot 1</t>
        </is>
      </c>
      <c r="D248" s="3" t="inlineStr">
        <is>
          <t>Luxo</t>
        </is>
      </c>
      <c r="E248" s="3" t="inlineStr">
        <is>
          <t>2021</t>
        </is>
      </c>
      <c r="F248" s="3" t="n">
        <v>0</v>
      </c>
      <c r="G248" s="3" t="n"/>
      <c r="H248" s="3" t="n">
        <v>0</v>
      </c>
      <c r="I248" s="3">
        <f>IF(G248="","PENDENTE",IF(AND(ISNUMBER(F248),ISNUMBER(G248)),IF(ABS(G248-F248)&lt;=H248,"IGUAL","DIVERGENTE"),IF(TRIM(G248&amp;"")=TRIM(F248&amp;""),"IGUAL","DIVERGENTE")))</f>
        <v/>
      </c>
      <c r="J248" s="3" t="n"/>
    </row>
    <row r="249">
      <c r="A249" s="4" t="n">
        <v>21</v>
      </c>
      <c r="B249" s="4" t="inlineStr">
        <is>
          <t>VGV LANÇADO VERTICAL POR PADRÃO</t>
        </is>
      </c>
      <c r="C249" s="4" t="inlineStr">
        <is>
          <t>Gráfico 1 / plot 1</t>
        </is>
      </c>
      <c r="D249" s="4" t="inlineStr">
        <is>
          <t>Luxo</t>
        </is>
      </c>
      <c r="E249" s="4" t="inlineStr">
        <is>
          <t>2022</t>
        </is>
      </c>
      <c r="F249" s="4" t="n">
        <v>0</v>
      </c>
      <c r="G249" s="4" t="n"/>
      <c r="H249" s="4" t="n">
        <v>0</v>
      </c>
      <c r="I249" s="4">
        <f>IF(G249="","PENDENTE",IF(AND(ISNUMBER(F249),ISNUMBER(G249)),IF(ABS(G249-F249)&lt;=H249,"IGUAL","DIVERGENTE"),IF(TRIM(G249&amp;"")=TRIM(F249&amp;""),"IGUAL","DIVERGENTE")))</f>
        <v/>
      </c>
      <c r="J249" s="4" t="n"/>
    </row>
    <row r="250">
      <c r="A250" s="3" t="n">
        <v>21</v>
      </c>
      <c r="B250" s="3" t="inlineStr">
        <is>
          <t>VGV LANÇADO VERTICAL POR PADRÃO</t>
        </is>
      </c>
      <c r="C250" s="3" t="inlineStr">
        <is>
          <t>Gráfico 1 / plot 1</t>
        </is>
      </c>
      <c r="D250" s="3" t="inlineStr">
        <is>
          <t>Luxo</t>
        </is>
      </c>
      <c r="E250" s="3" t="inlineStr">
        <is>
          <t>2023</t>
        </is>
      </c>
      <c r="F250" s="3" t="n">
        <v>0</v>
      </c>
      <c r="G250" s="3" t="n"/>
      <c r="H250" s="3" t="n">
        <v>0</v>
      </c>
      <c r="I250" s="3">
        <f>IF(G250="","PENDENTE",IF(AND(ISNUMBER(F250),ISNUMBER(G250)),IF(ABS(G250-F250)&lt;=H250,"IGUAL","DIVERGENTE"),IF(TRIM(G250&amp;"")=TRIM(F250&amp;""),"IGUAL","DIVERGENTE")))</f>
        <v/>
      </c>
      <c r="J250" s="3" t="n"/>
    </row>
    <row r="251">
      <c r="A251" s="4" t="n">
        <v>21</v>
      </c>
      <c r="B251" s="4" t="inlineStr">
        <is>
          <t>VGV LANÇADO VERTICAL POR PADRÃO</t>
        </is>
      </c>
      <c r="C251" s="4" t="inlineStr">
        <is>
          <t>Gráfico 1 / plot 1</t>
        </is>
      </c>
      <c r="D251" s="4" t="inlineStr">
        <is>
          <t>Luxo</t>
        </is>
      </c>
      <c r="E251" s="4" t="inlineStr">
        <is>
          <t>2024</t>
        </is>
      </c>
      <c r="F251" s="4" t="n">
        <v>0.0993568196967763</v>
      </c>
      <c r="G251" s="4" t="n"/>
      <c r="H251" s="4" t="n">
        <v>0.005</v>
      </c>
      <c r="I251" s="4">
        <f>IF(G251="","PENDENTE",IF(AND(ISNUMBER(F251),ISNUMBER(G251)),IF(ABS(G251-F251)&lt;=H251,"IGUAL","DIVERGENTE"),IF(TRIM(G251&amp;"")=TRIM(F251&amp;""),"IGUAL","DIVERGENTE")))</f>
        <v/>
      </c>
      <c r="J251" s="4" t="n"/>
    </row>
    <row r="252">
      <c r="A252" s="3" t="n">
        <v>21</v>
      </c>
      <c r="B252" s="3" t="inlineStr">
        <is>
          <t>VGV LANÇADO VERTICAL POR PADRÃO</t>
        </is>
      </c>
      <c r="C252" s="3" t="inlineStr">
        <is>
          <t>Gráfico 1 / plot 1</t>
        </is>
      </c>
      <c r="D252" s="3" t="inlineStr">
        <is>
          <t>Luxo</t>
        </is>
      </c>
      <c r="E252" s="3" t="inlineStr">
        <is>
          <t>2025</t>
        </is>
      </c>
      <c r="F252" s="3" t="n">
        <v>0</v>
      </c>
      <c r="G252" s="3" t="n"/>
      <c r="H252" s="3" t="n">
        <v>0</v>
      </c>
      <c r="I252" s="3">
        <f>IF(G252="","PENDENTE",IF(AND(ISNUMBER(F252),ISNUMBER(G252)),IF(ABS(G252-F252)&lt;=H252,"IGUAL","DIVERGENTE"),IF(TRIM(G252&amp;"")=TRIM(F252&amp;""),"IGUAL","DIVERGENTE")))</f>
        <v/>
      </c>
      <c r="J252" s="3" t="n"/>
    </row>
    <row r="253">
      <c r="A253" s="4" t="n">
        <v>21</v>
      </c>
      <c r="B253" s="4" t="inlineStr">
        <is>
          <t>VGV LANÇADO VERTICAL POR PADRÃO</t>
        </is>
      </c>
      <c r="C253" s="4" t="inlineStr">
        <is>
          <t>Gráfico 1 / plot 1</t>
        </is>
      </c>
      <c r="D253" s="4" t="inlineStr">
        <is>
          <t>Médio Padrão</t>
        </is>
      </c>
      <c r="E253" s="4" t="inlineStr">
        <is>
          <t>2020</t>
        </is>
      </c>
      <c r="F253" s="4" t="n">
        <v>0.3777156766651952</v>
      </c>
      <c r="G253" s="4" t="n"/>
      <c r="H253" s="4" t="n">
        <v>0.005</v>
      </c>
      <c r="I253" s="4">
        <f>IF(G253="","PENDENTE",IF(AND(ISNUMBER(F253),ISNUMBER(G253)),IF(ABS(G253-F253)&lt;=H253,"IGUAL","DIVERGENTE"),IF(TRIM(G253&amp;"")=TRIM(F253&amp;""),"IGUAL","DIVERGENTE")))</f>
        <v/>
      </c>
      <c r="J253" s="4" t="n"/>
    </row>
    <row r="254">
      <c r="A254" s="3" t="n">
        <v>21</v>
      </c>
      <c r="B254" s="3" t="inlineStr">
        <is>
          <t>VGV LANÇADO VERTICAL POR PADRÃO</t>
        </is>
      </c>
      <c r="C254" s="3" t="inlineStr">
        <is>
          <t>Gráfico 1 / plot 1</t>
        </is>
      </c>
      <c r="D254" s="3" t="inlineStr">
        <is>
          <t>Médio Padrão</t>
        </is>
      </c>
      <c r="E254" s="3" t="inlineStr">
        <is>
          <t>2021</t>
        </is>
      </c>
      <c r="F254" s="3" t="n">
        <v>0.3458125645548242</v>
      </c>
      <c r="G254" s="3" t="n"/>
      <c r="H254" s="3" t="n">
        <v>0.005</v>
      </c>
      <c r="I254" s="3">
        <f>IF(G254="","PENDENTE",IF(AND(ISNUMBER(F254),ISNUMBER(G254)),IF(ABS(G254-F254)&lt;=H254,"IGUAL","DIVERGENTE"),IF(TRIM(G254&amp;"")=TRIM(F254&amp;""),"IGUAL","DIVERGENTE")))</f>
        <v/>
      </c>
      <c r="J254" s="3" t="n"/>
    </row>
    <row r="255">
      <c r="A255" s="4" t="n">
        <v>21</v>
      </c>
      <c r="B255" s="4" t="inlineStr">
        <is>
          <t>VGV LANÇADO VERTICAL POR PADRÃO</t>
        </is>
      </c>
      <c r="C255" s="4" t="inlineStr">
        <is>
          <t>Gráfico 1 / plot 1</t>
        </is>
      </c>
      <c r="D255" s="4" t="inlineStr">
        <is>
          <t>Médio Padrão</t>
        </is>
      </c>
      <c r="E255" s="4" t="inlineStr">
        <is>
          <t>2022</t>
        </is>
      </c>
      <c r="F255" s="4" t="n">
        <v>0.4264871088814307</v>
      </c>
      <c r="G255" s="4" t="n"/>
      <c r="H255" s="4" t="n">
        <v>0.005</v>
      </c>
      <c r="I255" s="4">
        <f>IF(G255="","PENDENTE",IF(AND(ISNUMBER(F255),ISNUMBER(G255)),IF(ABS(G255-F255)&lt;=H255,"IGUAL","DIVERGENTE"),IF(TRIM(G255&amp;"")=TRIM(F255&amp;""),"IGUAL","DIVERGENTE")))</f>
        <v/>
      </c>
      <c r="J255" s="4" t="n"/>
    </row>
    <row r="256">
      <c r="A256" s="3" t="n">
        <v>21</v>
      </c>
      <c r="B256" s="3" t="inlineStr">
        <is>
          <t>VGV LANÇADO VERTICAL POR PADRÃO</t>
        </is>
      </c>
      <c r="C256" s="3" t="inlineStr">
        <is>
          <t>Gráfico 1 / plot 1</t>
        </is>
      </c>
      <c r="D256" s="3" t="inlineStr">
        <is>
          <t>Médio Padrão</t>
        </is>
      </c>
      <c r="E256" s="3" t="inlineStr">
        <is>
          <t>2023</t>
        </is>
      </c>
      <c r="F256" s="3" t="n">
        <v>0.4945015813171056</v>
      </c>
      <c r="G256" s="3" t="n"/>
      <c r="H256" s="3" t="n">
        <v>0.005</v>
      </c>
      <c r="I256" s="3">
        <f>IF(G256="","PENDENTE",IF(AND(ISNUMBER(F256),ISNUMBER(G256)),IF(ABS(G256-F256)&lt;=H256,"IGUAL","DIVERGENTE"),IF(TRIM(G256&amp;"")=TRIM(F256&amp;""),"IGUAL","DIVERGENTE")))</f>
        <v/>
      </c>
      <c r="J256" s="3" t="n"/>
    </row>
    <row r="257">
      <c r="A257" s="4" t="n">
        <v>21</v>
      </c>
      <c r="B257" s="4" t="inlineStr">
        <is>
          <t>VGV LANÇADO VERTICAL POR PADRÃO</t>
        </is>
      </c>
      <c r="C257" s="4" t="inlineStr">
        <is>
          <t>Gráfico 1 / plot 1</t>
        </is>
      </c>
      <c r="D257" s="4" t="inlineStr">
        <is>
          <t>Médio Padrão</t>
        </is>
      </c>
      <c r="E257" s="4" t="inlineStr">
        <is>
          <t>2024</t>
        </is>
      </c>
      <c r="F257" s="4" t="n">
        <v>0.3134968585570637</v>
      </c>
      <c r="G257" s="4" t="n"/>
      <c r="H257" s="4" t="n">
        <v>0.005</v>
      </c>
      <c r="I257" s="4">
        <f>IF(G257="","PENDENTE",IF(AND(ISNUMBER(F257),ISNUMBER(G257)),IF(ABS(G257-F257)&lt;=H257,"IGUAL","DIVERGENTE"),IF(TRIM(G257&amp;"")=TRIM(F257&amp;""),"IGUAL","DIVERGENTE")))</f>
        <v/>
      </c>
      <c r="J257" s="4" t="n"/>
    </row>
    <row r="258">
      <c r="A258" s="3" t="n">
        <v>21</v>
      </c>
      <c r="B258" s="3" t="inlineStr">
        <is>
          <t>VGV LANÇADO VERTICAL POR PADRÃO</t>
        </is>
      </c>
      <c r="C258" s="3" t="inlineStr">
        <is>
          <t>Gráfico 1 / plot 1</t>
        </is>
      </c>
      <c r="D258" s="3" t="inlineStr">
        <is>
          <t>Médio Padrão</t>
        </is>
      </c>
      <c r="E258" s="3" t="inlineStr">
        <is>
          <t>2025</t>
        </is>
      </c>
      <c r="F258" s="3" t="n">
        <v>0.2649784125989207</v>
      </c>
      <c r="G258" s="3" t="n"/>
      <c r="H258" s="3" t="n">
        <v>0.005</v>
      </c>
      <c r="I258" s="3">
        <f>IF(G258="","PENDENTE",IF(AND(ISNUMBER(F258),ISNUMBER(G258)),IF(ABS(G258-F258)&lt;=H258,"IGUAL","DIVERGENTE"),IF(TRIM(G258&amp;"")=TRIM(F258&amp;""),"IGUAL","DIVERGENTE")))</f>
        <v/>
      </c>
      <c r="J258" s="3" t="n"/>
    </row>
    <row r="259">
      <c r="A259" s="4" t="n">
        <v>21</v>
      </c>
      <c r="B259" s="4" t="inlineStr">
        <is>
          <t>VGV LANÇADO VERTICAL POR PADRÃO</t>
        </is>
      </c>
      <c r="C259" s="4" t="inlineStr">
        <is>
          <t>Gráfico 1 / plot 1</t>
        </is>
      </c>
      <c r="D259" s="4" t="inlineStr">
        <is>
          <t>MCMV</t>
        </is>
      </c>
      <c r="E259" s="4" t="inlineStr">
        <is>
          <t>2020</t>
        </is>
      </c>
      <c r="F259" s="4" t="n">
        <v>0.6202778837736527</v>
      </c>
      <c r="G259" s="4" t="n"/>
      <c r="H259" s="4" t="n">
        <v>0.005</v>
      </c>
      <c r="I259" s="4">
        <f>IF(G259="","PENDENTE",IF(AND(ISNUMBER(F259),ISNUMBER(G259)),IF(ABS(G259-F259)&lt;=H259,"IGUAL","DIVERGENTE"),IF(TRIM(G259&amp;"")=TRIM(F259&amp;""),"IGUAL","DIVERGENTE")))</f>
        <v/>
      </c>
      <c r="J259" s="4" t="n"/>
    </row>
    <row r="260">
      <c r="A260" s="3" t="n">
        <v>21</v>
      </c>
      <c r="B260" s="3" t="inlineStr">
        <is>
          <t>VGV LANÇADO VERTICAL POR PADRÃO</t>
        </is>
      </c>
      <c r="C260" s="3" t="inlineStr">
        <is>
          <t>Gráfico 1 / plot 1</t>
        </is>
      </c>
      <c r="D260" s="3" t="inlineStr">
        <is>
          <t>MCMV</t>
        </is>
      </c>
      <c r="E260" s="3" t="inlineStr">
        <is>
          <t>2021</t>
        </is>
      </c>
      <c r="F260" s="3" t="n">
        <v>0.6434089658308237</v>
      </c>
      <c r="G260" s="3" t="n"/>
      <c r="H260" s="3" t="n">
        <v>0.005</v>
      </c>
      <c r="I260" s="3">
        <f>IF(G260="","PENDENTE",IF(AND(ISNUMBER(F260),ISNUMBER(G260)),IF(ABS(G260-F260)&lt;=H260,"IGUAL","DIVERGENTE"),IF(TRIM(G260&amp;"")=TRIM(F260&amp;""),"IGUAL","DIVERGENTE")))</f>
        <v/>
      </c>
      <c r="J260" s="3" t="n"/>
    </row>
    <row r="261">
      <c r="A261" s="4" t="n">
        <v>21</v>
      </c>
      <c r="B261" s="4" t="inlineStr">
        <is>
          <t>VGV LANÇADO VERTICAL POR PADRÃO</t>
        </is>
      </c>
      <c r="C261" s="4" t="inlineStr">
        <is>
          <t>Gráfico 1 / plot 1</t>
        </is>
      </c>
      <c r="D261" s="4" t="inlineStr">
        <is>
          <t>MCMV</t>
        </is>
      </c>
      <c r="E261" s="4" t="inlineStr">
        <is>
          <t>2022</t>
        </is>
      </c>
      <c r="F261" s="4" t="n">
        <v>0.4633375606953427</v>
      </c>
      <c r="G261" s="4" t="n"/>
      <c r="H261" s="4" t="n">
        <v>0.005</v>
      </c>
      <c r="I261" s="4">
        <f>IF(G261="","PENDENTE",IF(AND(ISNUMBER(F261),ISNUMBER(G261)),IF(ABS(G261-F261)&lt;=H261,"IGUAL","DIVERGENTE"),IF(TRIM(G261&amp;"")=TRIM(F261&amp;""),"IGUAL","DIVERGENTE")))</f>
        <v/>
      </c>
      <c r="J261" s="4" t="n"/>
    </row>
    <row r="262">
      <c r="A262" s="3" t="n">
        <v>21</v>
      </c>
      <c r="B262" s="3" t="inlineStr">
        <is>
          <t>VGV LANÇADO VERTICAL POR PADRÃO</t>
        </is>
      </c>
      <c r="C262" s="3" t="inlineStr">
        <is>
          <t>Gráfico 1 / plot 1</t>
        </is>
      </c>
      <c r="D262" s="3" t="inlineStr">
        <is>
          <t>MCMV</t>
        </is>
      </c>
      <c r="E262" s="3" t="inlineStr">
        <is>
          <t>2023</t>
        </is>
      </c>
      <c r="F262" s="3" t="n">
        <v>0.4501972287589435</v>
      </c>
      <c r="G262" s="3" t="n"/>
      <c r="H262" s="3" t="n">
        <v>0.005</v>
      </c>
      <c r="I262" s="3">
        <f>IF(G262="","PENDENTE",IF(AND(ISNUMBER(F262),ISNUMBER(G262)),IF(ABS(G262-F262)&lt;=H262,"IGUAL","DIVERGENTE"),IF(TRIM(G262&amp;"")=TRIM(F262&amp;""),"IGUAL","DIVERGENTE")))</f>
        <v/>
      </c>
      <c r="J262" s="3" t="n"/>
    </row>
    <row r="263">
      <c r="A263" s="4" t="n">
        <v>21</v>
      </c>
      <c r="B263" s="4" t="inlineStr">
        <is>
          <t>VGV LANÇADO VERTICAL POR PADRÃO</t>
        </is>
      </c>
      <c r="C263" s="4" t="inlineStr">
        <is>
          <t>Gráfico 1 / plot 1</t>
        </is>
      </c>
      <c r="D263" s="4" t="inlineStr">
        <is>
          <t>MCMV</t>
        </is>
      </c>
      <c r="E263" s="4" t="inlineStr">
        <is>
          <t>2024</t>
        </is>
      </c>
      <c r="F263" s="4" t="n">
        <v>0.575047157100512</v>
      </c>
      <c r="G263" s="4" t="n"/>
      <c r="H263" s="4" t="n">
        <v>0.005</v>
      </c>
      <c r="I263" s="4">
        <f>IF(G263="","PENDENTE",IF(AND(ISNUMBER(F263),ISNUMBER(G263)),IF(ABS(G263-F263)&lt;=H263,"IGUAL","DIVERGENTE"),IF(TRIM(G263&amp;"")=TRIM(F263&amp;""),"IGUAL","DIVERGENTE")))</f>
        <v/>
      </c>
      <c r="J263" s="4" t="n"/>
    </row>
    <row r="264">
      <c r="A264" s="3" t="n">
        <v>21</v>
      </c>
      <c r="B264" s="3" t="inlineStr">
        <is>
          <t>VGV LANÇADO VERTICAL POR PADRÃO</t>
        </is>
      </c>
      <c r="C264" s="3" t="inlineStr">
        <is>
          <t>Gráfico 1 / plot 1</t>
        </is>
      </c>
      <c r="D264" s="3" t="inlineStr">
        <is>
          <t>MCMV</t>
        </is>
      </c>
      <c r="E264" s="3" t="inlineStr">
        <is>
          <t>2025</t>
        </is>
      </c>
      <c r="F264" s="3" t="n">
        <v>0.7350215874010794</v>
      </c>
      <c r="G264" s="3" t="n"/>
      <c r="H264" s="3" t="n">
        <v>0.005</v>
      </c>
      <c r="I264" s="3">
        <f>IF(G264="","PENDENTE",IF(AND(ISNUMBER(F264),ISNUMBER(G264)),IF(ABS(G264-F264)&lt;=H264,"IGUAL","DIVERGENTE"),IF(TRIM(G264&amp;"")=TRIM(F264&amp;""),"IGUAL","DIVERGENTE")))</f>
        <v/>
      </c>
      <c r="J264" s="3" t="n"/>
    </row>
    <row r="265">
      <c r="A265" s="4" t="n">
        <v>21</v>
      </c>
      <c r="B265" s="4" t="inlineStr">
        <is>
          <t>VGV LANÇADO VERTICAL POR PADRÃO</t>
        </is>
      </c>
      <c r="C265" s="4" t="inlineStr">
        <is>
          <t>Gráfico 1 / plot 1</t>
        </is>
      </c>
      <c r="D265" s="4" t="inlineStr">
        <is>
          <t>Compactos</t>
        </is>
      </c>
      <c r="E265" s="4" t="inlineStr">
        <is>
          <t>2020</t>
        </is>
      </c>
      <c r="F265" s="4" t="n">
        <v>0.002006439561152138</v>
      </c>
      <c r="G265" s="4" t="n"/>
      <c r="H265" s="4" t="n">
        <v>0.005</v>
      </c>
      <c r="I265" s="4">
        <f>IF(G265="","PENDENTE",IF(AND(ISNUMBER(F265),ISNUMBER(G265)),IF(ABS(G265-F265)&lt;=H265,"IGUAL","DIVERGENTE"),IF(TRIM(G265&amp;"")=TRIM(F265&amp;""),"IGUAL","DIVERGENTE")))</f>
        <v/>
      </c>
      <c r="J265" s="4" t="n"/>
    </row>
    <row r="266">
      <c r="A266" s="3" t="n">
        <v>21</v>
      </c>
      <c r="B266" s="3" t="inlineStr">
        <is>
          <t>VGV LANÇADO VERTICAL POR PADRÃO</t>
        </is>
      </c>
      <c r="C266" s="3" t="inlineStr">
        <is>
          <t>Gráfico 1 / plot 1</t>
        </is>
      </c>
      <c r="D266" s="3" t="inlineStr">
        <is>
          <t>Compactos</t>
        </is>
      </c>
      <c r="E266" s="3" t="inlineStr">
        <is>
          <t>2021</t>
        </is>
      </c>
      <c r="F266" s="3" t="n">
        <v>0.01077846961435207</v>
      </c>
      <c r="G266" s="3" t="n"/>
      <c r="H266" s="3" t="n">
        <v>0.005</v>
      </c>
      <c r="I266" s="3">
        <f>IF(G266="","PENDENTE",IF(AND(ISNUMBER(F266),ISNUMBER(G266)),IF(ABS(G266-F266)&lt;=H266,"IGUAL","DIVERGENTE"),IF(TRIM(G266&amp;"")=TRIM(F266&amp;""),"IGUAL","DIVERGENTE")))</f>
        <v/>
      </c>
      <c r="J266" s="3" t="n"/>
    </row>
    <row r="267">
      <c r="A267" s="4" t="n">
        <v>21</v>
      </c>
      <c r="B267" s="4" t="inlineStr">
        <is>
          <t>VGV LANÇADO VERTICAL POR PADRÃO</t>
        </is>
      </c>
      <c r="C267" s="4" t="inlineStr">
        <is>
          <t>Gráfico 1 / plot 1</t>
        </is>
      </c>
      <c r="D267" s="4" t="inlineStr">
        <is>
          <t>Compactos</t>
        </is>
      </c>
      <c r="E267" s="4" t="inlineStr">
        <is>
          <t>2022</t>
        </is>
      </c>
      <c r="F267" s="4" t="n">
        <v>0.1101753304232267</v>
      </c>
      <c r="G267" s="4" t="n"/>
      <c r="H267" s="4" t="n">
        <v>0.005</v>
      </c>
      <c r="I267" s="4">
        <f>IF(G267="","PENDENTE",IF(AND(ISNUMBER(F267),ISNUMBER(G267)),IF(ABS(G267-F267)&lt;=H267,"IGUAL","DIVERGENTE"),IF(TRIM(G267&amp;"")=TRIM(F267&amp;""),"IGUAL","DIVERGENTE")))</f>
        <v/>
      </c>
      <c r="J267" s="4" t="n"/>
    </row>
    <row r="268">
      <c r="A268" s="3" t="n">
        <v>21</v>
      </c>
      <c r="B268" s="3" t="inlineStr">
        <is>
          <t>VGV LANÇADO VERTICAL POR PADRÃO</t>
        </is>
      </c>
      <c r="C268" s="3" t="inlineStr">
        <is>
          <t>Gráfico 1 / plot 1</t>
        </is>
      </c>
      <c r="D268" s="3" t="inlineStr">
        <is>
          <t>Compactos</t>
        </is>
      </c>
      <c r="E268" s="3" t="inlineStr">
        <is>
          <t>2023</t>
        </is>
      </c>
      <c r="F268" s="3" t="n">
        <v>0.05530118992395096</v>
      </c>
      <c r="G268" s="3" t="n"/>
      <c r="H268" s="3" t="n">
        <v>0.005</v>
      </c>
      <c r="I268" s="3">
        <f>IF(G268="","PENDENTE",IF(AND(ISNUMBER(F268),ISNUMBER(G268)),IF(ABS(G268-F268)&lt;=H268,"IGUAL","DIVERGENTE"),IF(TRIM(G268&amp;"")=TRIM(F268&amp;""),"IGUAL","DIVERGENTE")))</f>
        <v/>
      </c>
      <c r="J268" s="3" t="n"/>
    </row>
    <row r="269">
      <c r="A269" s="4" t="n">
        <v>21</v>
      </c>
      <c r="B269" s="4" t="inlineStr">
        <is>
          <t>VGV LANÇADO VERTICAL POR PADRÃO</t>
        </is>
      </c>
      <c r="C269" s="4" t="inlineStr">
        <is>
          <t>Gráfico 1 / plot 1</t>
        </is>
      </c>
      <c r="D269" s="4" t="inlineStr">
        <is>
          <t>Compactos</t>
        </is>
      </c>
      <c r="E269" s="4" t="inlineStr">
        <is>
          <t>2024</t>
        </is>
      </c>
      <c r="F269" s="4" t="n">
        <v>0.01209916464564807</v>
      </c>
      <c r="G269" s="4" t="n"/>
      <c r="H269" s="4" t="n">
        <v>0.005</v>
      </c>
      <c r="I269" s="4">
        <f>IF(G269="","PENDENTE",IF(AND(ISNUMBER(F269),ISNUMBER(G269)),IF(ABS(G269-F269)&lt;=H269,"IGUAL","DIVERGENTE"),IF(TRIM(G269&amp;"")=TRIM(F269&amp;""),"IGUAL","DIVERGENTE")))</f>
        <v/>
      </c>
      <c r="J269" s="4" t="n"/>
    </row>
    <row r="270">
      <c r="A270" s="3" t="n">
        <v>21</v>
      </c>
      <c r="B270" s="3" t="inlineStr">
        <is>
          <t>VGV LANÇADO VERTICAL POR PADRÃO</t>
        </is>
      </c>
      <c r="C270" s="3" t="inlineStr">
        <is>
          <t>Gráfico 1 / plot 1</t>
        </is>
      </c>
      <c r="D270" s="3" t="inlineStr">
        <is>
          <t>Compactos</t>
        </is>
      </c>
      <c r="E270" s="3" t="inlineStr">
        <is>
          <t>2025</t>
        </is>
      </c>
      <c r="F270" s="3" t="n">
        <v>0</v>
      </c>
      <c r="G270" s="3" t="n"/>
      <c r="H270" s="3" t="n">
        <v>0</v>
      </c>
      <c r="I270" s="3">
        <f>IF(G270="","PENDENTE",IF(AND(ISNUMBER(F270),ISNUMBER(G270)),IF(ABS(G270-F270)&lt;=H270,"IGUAL","DIVERGENTE"),IF(TRIM(G270&amp;"")=TRIM(F270&amp;""),"IGUAL","DIVERGENTE")))</f>
        <v/>
      </c>
      <c r="J270" s="3" t="n"/>
    </row>
    <row r="271">
      <c r="A271" s="4" t="n">
        <v>22</v>
      </c>
      <c r="B271" s="4" t="inlineStr">
        <is>
          <t>VGV LANÇADO VERTICAL (R$ EM MILHÕES) ACUMULADO 12 MESES</t>
        </is>
      </c>
      <c r="C271" s="4" t="inlineStr">
        <is>
          <t>Gráfico 1 / plot 1</t>
        </is>
      </c>
      <c r="D271" s="4" t="inlineStr">
        <is>
          <t>RM de Porto Alegre</t>
        </is>
      </c>
      <c r="E271" s="4" t="inlineStr">
        <is>
          <t>4T/2021</t>
        </is>
      </c>
      <c r="F271" s="4" t="n">
        <v>1823.749714712438</v>
      </c>
      <c r="G271" s="4" t="n"/>
      <c r="H271" s="4" t="n">
        <v>0.005</v>
      </c>
      <c r="I271" s="4">
        <f>IF(G271="","PENDENTE",IF(AND(ISNUMBER(F271),ISNUMBER(G271)),IF(ABS(G271-F271)&lt;=H271,"IGUAL","DIVERGENTE"),IF(TRIM(G271&amp;"")=TRIM(F271&amp;""),"IGUAL","DIVERGENTE")))</f>
        <v/>
      </c>
      <c r="J271" s="4" t="n"/>
    </row>
    <row r="272">
      <c r="A272" s="3" t="n">
        <v>22</v>
      </c>
      <c r="B272" s="3" t="inlineStr">
        <is>
          <t>VGV LANÇADO VERTICAL (R$ EM MILHÕES) ACUMULADO 12 MESES</t>
        </is>
      </c>
      <c r="C272" s="3" t="inlineStr">
        <is>
          <t>Gráfico 1 / plot 1</t>
        </is>
      </c>
      <c r="D272" s="3" t="inlineStr">
        <is>
          <t>RM de Porto Alegre</t>
        </is>
      </c>
      <c r="E272" s="3" t="inlineStr">
        <is>
          <t>1T/2022</t>
        </is>
      </c>
      <c r="F272" s="3" t="n">
        <v>2042.056151930151</v>
      </c>
      <c r="G272" s="3" t="n"/>
      <c r="H272" s="3" t="n">
        <v>0.005</v>
      </c>
      <c r="I272" s="3">
        <f>IF(G272="","PENDENTE",IF(AND(ISNUMBER(F272),ISNUMBER(G272)),IF(ABS(G272-F272)&lt;=H272,"IGUAL","DIVERGENTE"),IF(TRIM(G272&amp;"")=TRIM(F272&amp;""),"IGUAL","DIVERGENTE")))</f>
        <v/>
      </c>
      <c r="J272" s="3" t="n"/>
    </row>
    <row r="273">
      <c r="A273" s="4" t="n">
        <v>22</v>
      </c>
      <c r="B273" s="4" t="inlineStr">
        <is>
          <t>VGV LANÇADO VERTICAL (R$ EM MILHÕES) ACUMULADO 12 MESES</t>
        </is>
      </c>
      <c r="C273" s="4" t="inlineStr">
        <is>
          <t>Gráfico 1 / plot 1</t>
        </is>
      </c>
      <c r="D273" s="4" t="inlineStr">
        <is>
          <t>RM de Porto Alegre</t>
        </is>
      </c>
      <c r="E273" s="4" t="inlineStr">
        <is>
          <t>2T/2022</t>
        </is>
      </c>
      <c r="F273" s="4" t="n">
        <v>2115.166831928097</v>
      </c>
      <c r="G273" s="4" t="n"/>
      <c r="H273" s="4" t="n">
        <v>0.005</v>
      </c>
      <c r="I273" s="4">
        <f>IF(G273="","PENDENTE",IF(AND(ISNUMBER(F273),ISNUMBER(G273)),IF(ABS(G273-F273)&lt;=H273,"IGUAL","DIVERGENTE"),IF(TRIM(G273&amp;"")=TRIM(F273&amp;""),"IGUAL","DIVERGENTE")))</f>
        <v/>
      </c>
      <c r="J273" s="4" t="n"/>
    </row>
    <row r="274">
      <c r="A274" s="3" t="n">
        <v>22</v>
      </c>
      <c r="B274" s="3" t="inlineStr">
        <is>
          <t>VGV LANÇADO VERTICAL (R$ EM MILHÕES) ACUMULADO 12 MESES</t>
        </is>
      </c>
      <c r="C274" s="3" t="inlineStr">
        <is>
          <t>Gráfico 1 / plot 1</t>
        </is>
      </c>
      <c r="D274" s="3" t="inlineStr">
        <is>
          <t>RM de Porto Alegre</t>
        </is>
      </c>
      <c r="E274" s="3" t="inlineStr">
        <is>
          <t>3T/2022</t>
        </is>
      </c>
      <c r="F274" s="3" t="n">
        <v>1911.680603468978</v>
      </c>
      <c r="G274" s="3" t="n"/>
      <c r="H274" s="3" t="n">
        <v>0.005</v>
      </c>
      <c r="I274" s="3">
        <f>IF(G274="","PENDENTE",IF(AND(ISNUMBER(F274),ISNUMBER(G274)),IF(ABS(G274-F274)&lt;=H274,"IGUAL","DIVERGENTE"),IF(TRIM(G274&amp;"")=TRIM(F274&amp;""),"IGUAL","DIVERGENTE")))</f>
        <v/>
      </c>
      <c r="J274" s="3" t="n"/>
    </row>
    <row r="275">
      <c r="A275" s="4" t="n">
        <v>22</v>
      </c>
      <c r="B275" s="4" t="inlineStr">
        <is>
          <t>VGV LANÇADO VERTICAL (R$ EM MILHÕES) ACUMULADO 12 MESES</t>
        </is>
      </c>
      <c r="C275" s="4" t="inlineStr">
        <is>
          <t>Gráfico 1 / plot 1</t>
        </is>
      </c>
      <c r="D275" s="4" t="inlineStr">
        <is>
          <t>RM de Porto Alegre</t>
        </is>
      </c>
      <c r="E275" s="4" t="inlineStr">
        <is>
          <t>4T/2022</t>
        </is>
      </c>
      <c r="F275" s="4" t="n">
        <v>1543.164072434336</v>
      </c>
      <c r="G275" s="4" t="n"/>
      <c r="H275" s="4" t="n">
        <v>0.005</v>
      </c>
      <c r="I275" s="4">
        <f>IF(G275="","PENDENTE",IF(AND(ISNUMBER(F275),ISNUMBER(G275)),IF(ABS(G275-F275)&lt;=H275,"IGUAL","DIVERGENTE"),IF(TRIM(G275&amp;"")=TRIM(F275&amp;""),"IGUAL","DIVERGENTE")))</f>
        <v/>
      </c>
      <c r="J275" s="4" t="n"/>
    </row>
    <row r="276">
      <c r="A276" s="3" t="n">
        <v>22</v>
      </c>
      <c r="B276" s="3" t="inlineStr">
        <is>
          <t>VGV LANÇADO VERTICAL (R$ EM MILHÕES) ACUMULADO 12 MESES</t>
        </is>
      </c>
      <c r="C276" s="3" t="inlineStr">
        <is>
          <t>Gráfico 1 / plot 1</t>
        </is>
      </c>
      <c r="D276" s="3" t="inlineStr">
        <is>
          <t>RM de Porto Alegre</t>
        </is>
      </c>
      <c r="E276" s="3" t="inlineStr">
        <is>
          <t>1T/2023</t>
        </is>
      </c>
      <c r="F276" s="3" t="n">
        <v>1681.487205380062</v>
      </c>
      <c r="G276" s="3" t="n"/>
      <c r="H276" s="3" t="n">
        <v>0.005</v>
      </c>
      <c r="I276" s="3">
        <f>IF(G276="","PENDENTE",IF(AND(ISNUMBER(F276),ISNUMBER(G276)),IF(ABS(G276-F276)&lt;=H276,"IGUAL","DIVERGENTE"),IF(TRIM(G276&amp;"")=TRIM(F276&amp;""),"IGUAL","DIVERGENTE")))</f>
        <v/>
      </c>
      <c r="J276" s="3" t="n"/>
    </row>
    <row r="277">
      <c r="A277" s="4" t="n">
        <v>22</v>
      </c>
      <c r="B277" s="4" t="inlineStr">
        <is>
          <t>VGV LANÇADO VERTICAL (R$ EM MILHÕES) ACUMULADO 12 MESES</t>
        </is>
      </c>
      <c r="C277" s="4" t="inlineStr">
        <is>
          <t>Gráfico 1 / plot 1</t>
        </is>
      </c>
      <c r="D277" s="4" t="inlineStr">
        <is>
          <t>RM de Porto Alegre</t>
        </is>
      </c>
      <c r="E277" s="4" t="inlineStr">
        <is>
          <t>2T/2023</t>
        </is>
      </c>
      <c r="F277" s="4" t="n">
        <v>1704.705997951236</v>
      </c>
      <c r="G277" s="4" t="n"/>
      <c r="H277" s="4" t="n">
        <v>0.005</v>
      </c>
      <c r="I277" s="4">
        <f>IF(G277="","PENDENTE",IF(AND(ISNUMBER(F277),ISNUMBER(G277)),IF(ABS(G277-F277)&lt;=H277,"IGUAL","DIVERGENTE"),IF(TRIM(G277&amp;"")=TRIM(F277&amp;""),"IGUAL","DIVERGENTE")))</f>
        <v/>
      </c>
      <c r="J277" s="4" t="n"/>
    </row>
    <row r="278">
      <c r="A278" s="3" t="n">
        <v>22</v>
      </c>
      <c r="B278" s="3" t="inlineStr">
        <is>
          <t>VGV LANÇADO VERTICAL (R$ EM MILHÕES) ACUMULADO 12 MESES</t>
        </is>
      </c>
      <c r="C278" s="3" t="inlineStr">
        <is>
          <t>Gráfico 1 / plot 1</t>
        </is>
      </c>
      <c r="D278" s="3" t="inlineStr">
        <is>
          <t>RM de Porto Alegre</t>
        </is>
      </c>
      <c r="E278" s="3" t="inlineStr">
        <is>
          <t>3T/2023</t>
        </is>
      </c>
      <c r="F278" s="3" t="n">
        <v>1484.123104787937</v>
      </c>
      <c r="G278" s="3" t="n"/>
      <c r="H278" s="3" t="n">
        <v>0.005</v>
      </c>
      <c r="I278" s="3">
        <f>IF(G278="","PENDENTE",IF(AND(ISNUMBER(F278),ISNUMBER(G278)),IF(ABS(G278-F278)&lt;=H278,"IGUAL","DIVERGENTE"),IF(TRIM(G278&amp;"")=TRIM(F278&amp;""),"IGUAL","DIVERGENTE")))</f>
        <v/>
      </c>
      <c r="J278" s="3" t="n"/>
    </row>
    <row r="279">
      <c r="A279" s="4" t="n">
        <v>22</v>
      </c>
      <c r="B279" s="4" t="inlineStr">
        <is>
          <t>VGV LANÇADO VERTICAL (R$ EM MILHÕES) ACUMULADO 12 MESES</t>
        </is>
      </c>
      <c r="C279" s="4" t="inlineStr">
        <is>
          <t>Gráfico 1 / plot 1</t>
        </is>
      </c>
      <c r="D279" s="4" t="inlineStr">
        <is>
          <t>RM de Porto Alegre</t>
        </is>
      </c>
      <c r="E279" s="4" t="inlineStr">
        <is>
          <t>4T/2023</t>
        </is>
      </c>
      <c r="F279" s="4" t="n">
        <v>1087.305277935063</v>
      </c>
      <c r="G279" s="4" t="n"/>
      <c r="H279" s="4" t="n">
        <v>0.005</v>
      </c>
      <c r="I279" s="4">
        <f>IF(G279="","PENDENTE",IF(AND(ISNUMBER(F279),ISNUMBER(G279)),IF(ABS(G279-F279)&lt;=H279,"IGUAL","DIVERGENTE"),IF(TRIM(G279&amp;"")=TRIM(F279&amp;""),"IGUAL","DIVERGENTE")))</f>
        <v/>
      </c>
      <c r="J279" s="4" t="n"/>
    </row>
    <row r="280">
      <c r="A280" s="3" t="n">
        <v>22</v>
      </c>
      <c r="B280" s="3" t="inlineStr">
        <is>
          <t>VGV LANÇADO VERTICAL (R$ EM MILHÕES) ACUMULADO 12 MESES</t>
        </is>
      </c>
      <c r="C280" s="3" t="inlineStr">
        <is>
          <t>Gráfico 1 / plot 1</t>
        </is>
      </c>
      <c r="D280" s="3" t="inlineStr">
        <is>
          <t>RM de Porto Alegre</t>
        </is>
      </c>
      <c r="E280" s="3" t="inlineStr">
        <is>
          <t>1T/2024</t>
        </is>
      </c>
      <c r="F280" s="3" t="n">
        <v>918.7658494435025</v>
      </c>
      <c r="G280" s="3" t="n"/>
      <c r="H280" s="3" t="n">
        <v>0.005</v>
      </c>
      <c r="I280" s="3">
        <f>IF(G280="","PENDENTE",IF(AND(ISNUMBER(F280),ISNUMBER(G280)),IF(ABS(G280-F280)&lt;=H280,"IGUAL","DIVERGENTE"),IF(TRIM(G280&amp;"")=TRIM(F280&amp;""),"IGUAL","DIVERGENTE")))</f>
        <v/>
      </c>
      <c r="J280" s="3" t="n"/>
    </row>
    <row r="281">
      <c r="A281" s="4" t="n">
        <v>22</v>
      </c>
      <c r="B281" s="4" t="inlineStr">
        <is>
          <t>VGV LANÇADO VERTICAL (R$ EM MILHÕES) ACUMULADO 12 MESES</t>
        </is>
      </c>
      <c r="C281" s="4" t="inlineStr">
        <is>
          <t>Gráfico 1 / plot 1</t>
        </is>
      </c>
      <c r="D281" s="4" t="inlineStr">
        <is>
          <t>RM de Porto Alegre</t>
        </is>
      </c>
      <c r="E281" s="4" t="inlineStr">
        <is>
          <t>2T/2024</t>
        </is>
      </c>
      <c r="F281" s="4" t="n">
        <v>1041.464217559766</v>
      </c>
      <c r="G281" s="4" t="n"/>
      <c r="H281" s="4" t="n">
        <v>0.005</v>
      </c>
      <c r="I281" s="4">
        <f>IF(G281="","PENDENTE",IF(AND(ISNUMBER(F281),ISNUMBER(G281)),IF(ABS(G281-F281)&lt;=H281,"IGUAL","DIVERGENTE"),IF(TRIM(G281&amp;"")=TRIM(F281&amp;""),"IGUAL","DIVERGENTE")))</f>
        <v/>
      </c>
      <c r="J281" s="4" t="n"/>
    </row>
    <row r="282">
      <c r="A282" s="3" t="n">
        <v>22</v>
      </c>
      <c r="B282" s="3" t="inlineStr">
        <is>
          <t>VGV LANÇADO VERTICAL (R$ EM MILHÕES) ACUMULADO 12 MESES</t>
        </is>
      </c>
      <c r="C282" s="3" t="inlineStr">
        <is>
          <t>Gráfico 1 / plot 1</t>
        </is>
      </c>
      <c r="D282" s="3" t="inlineStr">
        <is>
          <t>RM de Porto Alegre</t>
        </is>
      </c>
      <c r="E282" s="3" t="inlineStr">
        <is>
          <t>3T/2024</t>
        </is>
      </c>
      <c r="F282" s="3" t="n">
        <v>1088.262488156767</v>
      </c>
      <c r="G282" s="3" t="n"/>
      <c r="H282" s="3" t="n">
        <v>0.005</v>
      </c>
      <c r="I282" s="3">
        <f>IF(G282="","PENDENTE",IF(AND(ISNUMBER(F282),ISNUMBER(G282)),IF(ABS(G282-F282)&lt;=H282,"IGUAL","DIVERGENTE"),IF(TRIM(G282&amp;"")=TRIM(F282&amp;""),"IGUAL","DIVERGENTE")))</f>
        <v/>
      </c>
      <c r="J282" s="3" t="n"/>
    </row>
    <row r="283">
      <c r="A283" s="4" t="n">
        <v>22</v>
      </c>
      <c r="B283" s="4" t="inlineStr">
        <is>
          <t>VGV LANÇADO VERTICAL (R$ EM MILHÕES) ACUMULADO 12 MESES</t>
        </is>
      </c>
      <c r="C283" s="4" t="inlineStr">
        <is>
          <t>Gráfico 1 / plot 1</t>
        </is>
      </c>
      <c r="D283" s="4" t="inlineStr">
        <is>
          <t>RM de Porto Alegre</t>
        </is>
      </c>
      <c r="E283" s="4" t="inlineStr">
        <is>
          <t>4T/2024</t>
        </is>
      </c>
      <c r="F283" s="4" t="n">
        <v>1538.262312361878</v>
      </c>
      <c r="G283" s="4" t="n"/>
      <c r="H283" s="4" t="n">
        <v>0.005</v>
      </c>
      <c r="I283" s="4">
        <f>IF(G283="","PENDENTE",IF(AND(ISNUMBER(F283),ISNUMBER(G283)),IF(ABS(G283-F283)&lt;=H283,"IGUAL","DIVERGENTE"),IF(TRIM(G283&amp;"")=TRIM(F283&amp;""),"IGUAL","DIVERGENTE")))</f>
        <v/>
      </c>
      <c r="J283" s="4" t="n"/>
    </row>
    <row r="284">
      <c r="A284" s="3" t="n">
        <v>22</v>
      </c>
      <c r="B284" s="3" t="inlineStr">
        <is>
          <t>VGV LANÇADO VERTICAL (R$ EM MILHÕES) ACUMULADO 12 MESES</t>
        </is>
      </c>
      <c r="C284" s="3" t="inlineStr">
        <is>
          <t>Gráfico 1 / plot 1</t>
        </is>
      </c>
      <c r="D284" s="3" t="inlineStr">
        <is>
          <t>RM de Porto Alegre</t>
        </is>
      </c>
      <c r="E284" s="3" t="inlineStr">
        <is>
          <t>1T/2025</t>
        </is>
      </c>
      <c r="F284" s="3" t="n">
        <v>1746.584499072052</v>
      </c>
      <c r="G284" s="3" t="n"/>
      <c r="H284" s="3" t="n">
        <v>0.005</v>
      </c>
      <c r="I284" s="3">
        <f>IF(G284="","PENDENTE",IF(AND(ISNUMBER(F284),ISNUMBER(G284)),IF(ABS(G284-F284)&lt;=H284,"IGUAL","DIVERGENTE"),IF(TRIM(G284&amp;"")=TRIM(F284&amp;""),"IGUAL","DIVERGENTE")))</f>
        <v/>
      </c>
      <c r="J284" s="3" t="n"/>
    </row>
    <row r="285">
      <c r="A285" s="4" t="n">
        <v>22</v>
      </c>
      <c r="B285" s="4" t="inlineStr">
        <is>
          <t>VGV LANÇADO VERTICAL (R$ EM MILHÕES) ACUMULADO 12 MESES</t>
        </is>
      </c>
      <c r="C285" s="4" t="inlineStr">
        <is>
          <t>Gráfico 1 / plot 1</t>
        </is>
      </c>
      <c r="D285" s="4" t="inlineStr">
        <is>
          <t>RM de Porto Alegre</t>
        </is>
      </c>
      <c r="E285" s="4" t="inlineStr">
        <is>
          <t>2T/2025</t>
        </is>
      </c>
      <c r="F285" s="4" t="n">
        <v>1662.317465021434</v>
      </c>
      <c r="G285" s="4" t="n"/>
      <c r="H285" s="4" t="n">
        <v>0.005</v>
      </c>
      <c r="I285" s="4">
        <f>IF(G285="","PENDENTE",IF(AND(ISNUMBER(F285),ISNUMBER(G285)),IF(ABS(G285-F285)&lt;=H285,"IGUAL","DIVERGENTE"),IF(TRIM(G285&amp;"")=TRIM(F285&amp;""),"IGUAL","DIVERGENTE")))</f>
        <v/>
      </c>
      <c r="J285" s="4" t="n"/>
    </row>
    <row r="286">
      <c r="A286" s="3" t="n">
        <v>22</v>
      </c>
      <c r="B286" s="3" t="inlineStr">
        <is>
          <t>VGV LANÇADO VERTICAL (R$ EM MILHÕES) ACUMULADO 12 MESES</t>
        </is>
      </c>
      <c r="C286" s="3" t="inlineStr">
        <is>
          <t>Gráfico 1 / plot 1</t>
        </is>
      </c>
      <c r="D286" s="3" t="inlineStr">
        <is>
          <t>RM de Porto Alegre</t>
        </is>
      </c>
      <c r="E286" s="3" t="inlineStr">
        <is>
          <t>3T/2025</t>
        </is>
      </c>
      <c r="F286" s="3" t="n">
        <v>1613.978311096108</v>
      </c>
      <c r="G286" s="3" t="n"/>
      <c r="H286" s="3" t="n">
        <v>0.005</v>
      </c>
      <c r="I286" s="3">
        <f>IF(G286="","PENDENTE",IF(AND(ISNUMBER(F286),ISNUMBER(G286)),IF(ABS(G286-F286)&lt;=H286,"IGUAL","DIVERGENTE"),IF(TRIM(G286&amp;"")=TRIM(F286&amp;""),"IGUAL","DIVERGENTE")))</f>
        <v/>
      </c>
      <c r="J286" s="3" t="n"/>
    </row>
    <row r="287">
      <c r="A287" s="4" t="n">
        <v>22</v>
      </c>
      <c r="B287" s="4" t="inlineStr">
        <is>
          <t>VGV LANÇADO VERTICAL (R$ EM MILHÕES) ACUMULADO 12 MESES</t>
        </is>
      </c>
      <c r="C287" s="4" t="inlineStr">
        <is>
          <t>Gráfico 1 / plot 1</t>
        </is>
      </c>
      <c r="D287" s="4" t="inlineStr">
        <is>
          <t>RM de Porto Alegre</t>
        </is>
      </c>
      <c r="E287" s="4" t="inlineStr">
        <is>
          <t>4T/2025</t>
        </is>
      </c>
      <c r="F287" s="4" t="n">
        <v>1681.207263437009</v>
      </c>
      <c r="G287" s="4" t="n"/>
      <c r="H287" s="4" t="n">
        <v>0.005</v>
      </c>
      <c r="I287" s="4">
        <f>IF(G287="","PENDENTE",IF(AND(ISNUMBER(F287),ISNUMBER(G287)),IF(ABS(G287-F287)&lt;=H287,"IGUAL","DIVERGENTE"),IF(TRIM(G287&amp;"")=TRIM(F287&amp;""),"IGUAL","DIVERGENTE")))</f>
        <v/>
      </c>
      <c r="J287" s="4" t="n"/>
    </row>
    <row r="288">
      <c r="A288" s="3" t="n">
        <v>22</v>
      </c>
      <c r="B288" s="3" t="inlineStr">
        <is>
          <t>VGV LANÇADO VERTICAL (R$ EM MILHÕES) ACUMULADO 12 MESES</t>
        </is>
      </c>
      <c r="C288" s="3" t="inlineStr">
        <is>
          <t>Tabela 1</t>
        </is>
      </c>
      <c r="D288" s="3" t="inlineStr">
        <is>
          <t>4T21 x 4T22</t>
        </is>
      </c>
      <c r="E288" s="3" t="inlineStr">
        <is>
          <t>Coluna 2</t>
        </is>
      </c>
      <c r="F288" s="3" t="inlineStr">
        <is>
          <t>4T22 x 4T23</t>
        </is>
      </c>
      <c r="G288" s="3" t="n"/>
      <c r="H288" s="3" t="n"/>
      <c r="I288" s="3">
        <f>IF(G288="","PENDENTE",IF(AND(ISNUMBER(F288),ISNUMBER(G288)),IF(ABS(G288-F288)&lt;=H288,"IGUAL","DIVERGENTE"),IF(TRIM(G288&amp;"")=TRIM(F288&amp;""),"IGUAL","DIVERGENTE")))</f>
        <v/>
      </c>
      <c r="J288" s="3" t="n"/>
    </row>
    <row r="289">
      <c r="A289" s="4" t="n">
        <v>22</v>
      </c>
      <c r="B289" s="4" t="inlineStr">
        <is>
          <t>VGV LANÇADO VERTICAL (R$ EM MILHÕES) ACUMULADO 12 MESES</t>
        </is>
      </c>
      <c r="C289" s="4" t="inlineStr">
        <is>
          <t>Tabela 1</t>
        </is>
      </c>
      <c r="D289" s="4" t="inlineStr">
        <is>
          <t>4T21 x 4T22</t>
        </is>
      </c>
      <c r="E289" s="4" t="inlineStr">
        <is>
          <t>Coluna 3</t>
        </is>
      </c>
      <c r="F289" s="4" t="inlineStr">
        <is>
          <t>4T23 X 4T24</t>
        </is>
      </c>
      <c r="G289" s="4" t="n"/>
      <c r="H289" s="4" t="n"/>
      <c r="I289" s="4">
        <f>IF(G289="","PENDENTE",IF(AND(ISNUMBER(F289),ISNUMBER(G289)),IF(ABS(G289-F289)&lt;=H289,"IGUAL","DIVERGENTE"),IF(TRIM(G289&amp;"")=TRIM(F289&amp;""),"IGUAL","DIVERGENTE")))</f>
        <v/>
      </c>
      <c r="J289" s="4" t="n"/>
    </row>
    <row r="290">
      <c r="A290" s="3" t="n">
        <v>22</v>
      </c>
      <c r="B290" s="3" t="inlineStr">
        <is>
          <t>VGV LANÇADO VERTICAL (R$ EM MILHÕES) ACUMULADO 12 MESES</t>
        </is>
      </c>
      <c r="C290" s="3" t="inlineStr">
        <is>
          <t>Tabela 1</t>
        </is>
      </c>
      <c r="D290" s="3" t="inlineStr">
        <is>
          <t>4T21 x 4T22</t>
        </is>
      </c>
      <c r="E290" s="3" t="inlineStr">
        <is>
          <t>Coluna 4</t>
        </is>
      </c>
      <c r="F290" s="3" t="inlineStr">
        <is>
          <t>4T24 x 4T25</t>
        </is>
      </c>
      <c r="G290" s="3" t="n"/>
      <c r="H290" s="3" t="n"/>
      <c r="I290" s="3">
        <f>IF(G290="","PENDENTE",IF(AND(ISNUMBER(F290),ISNUMBER(G290)),IF(ABS(G290-F290)&lt;=H290,"IGUAL","DIVERGENTE"),IF(TRIM(G290&amp;"")=TRIM(F290&amp;""),"IGUAL","DIVERGENTE")))</f>
        <v/>
      </c>
      <c r="J290" s="3" t="n"/>
    </row>
    <row r="291">
      <c r="A291" s="4" t="n">
        <v>22</v>
      </c>
      <c r="B291" s="4" t="inlineStr">
        <is>
          <t>VGV LANÇADO VERTICAL (R$ EM MILHÕES) ACUMULADO 12 MESES</t>
        </is>
      </c>
      <c r="C291" s="4" t="inlineStr">
        <is>
          <t>Tabela 1</t>
        </is>
      </c>
      <c r="D291" s="4" t="inlineStr">
        <is>
          <t>-15%</t>
        </is>
      </c>
      <c r="E291" s="4" t="inlineStr">
        <is>
          <t>Coluna 2</t>
        </is>
      </c>
      <c r="F291" s="4" t="inlineStr">
        <is>
          <t>-30%</t>
        </is>
      </c>
      <c r="G291" s="4" t="n"/>
      <c r="H291" s="4" t="n"/>
      <c r="I291" s="4">
        <f>IF(G291="","PENDENTE",IF(AND(ISNUMBER(F291),ISNUMBER(G291)),IF(ABS(G291-F291)&lt;=H291,"IGUAL","DIVERGENTE"),IF(TRIM(G291&amp;"")=TRIM(F291&amp;""),"IGUAL","DIVERGENTE")))</f>
        <v/>
      </c>
      <c r="J291" s="4" t="n"/>
    </row>
    <row r="292">
      <c r="A292" s="3" t="n">
        <v>22</v>
      </c>
      <c r="B292" s="3" t="inlineStr">
        <is>
          <t>VGV LANÇADO VERTICAL (R$ EM MILHÕES) ACUMULADO 12 MESES</t>
        </is>
      </c>
      <c r="C292" s="3" t="inlineStr">
        <is>
          <t>Tabela 1</t>
        </is>
      </c>
      <c r="D292" s="3" t="inlineStr">
        <is>
          <t>-15%</t>
        </is>
      </c>
      <c r="E292" s="3" t="inlineStr">
        <is>
          <t>Coluna 3</t>
        </is>
      </c>
      <c r="F292" s="3" t="inlineStr">
        <is>
          <t>+41%</t>
        </is>
      </c>
      <c r="G292" s="3" t="n"/>
      <c r="H292" s="3" t="n"/>
      <c r="I292" s="3">
        <f>IF(G292="","PENDENTE",IF(AND(ISNUMBER(F292),ISNUMBER(G292)),IF(ABS(G292-F292)&lt;=H292,"IGUAL","DIVERGENTE"),IF(TRIM(G292&amp;"")=TRIM(F292&amp;""),"IGUAL","DIVERGENTE")))</f>
        <v/>
      </c>
      <c r="J292" s="3" t="n"/>
    </row>
    <row r="293">
      <c r="A293" s="4" t="n">
        <v>22</v>
      </c>
      <c r="B293" s="4" t="inlineStr">
        <is>
          <t>VGV LANÇADO VERTICAL (R$ EM MILHÕES) ACUMULADO 12 MESES</t>
        </is>
      </c>
      <c r="C293" s="4" t="inlineStr">
        <is>
          <t>Tabela 1</t>
        </is>
      </c>
      <c r="D293" s="4" t="inlineStr">
        <is>
          <t>-15%</t>
        </is>
      </c>
      <c r="E293" s="4" t="inlineStr">
        <is>
          <t>Coluna 4</t>
        </is>
      </c>
      <c r="F293" s="4" t="inlineStr">
        <is>
          <t>+9%</t>
        </is>
      </c>
      <c r="G293" s="4" t="n"/>
      <c r="H293" s="4" t="n"/>
      <c r="I293" s="4">
        <f>IF(G293="","PENDENTE",IF(AND(ISNUMBER(F293),ISNUMBER(G293)),IF(ABS(G293-F293)&lt;=H293,"IGUAL","DIVERGENTE"),IF(TRIM(G293&amp;"")=TRIM(F293&amp;""),"IGUAL","DIVERGENTE")))</f>
        <v/>
      </c>
      <c r="J293" s="4" t="n"/>
    </row>
    <row r="294">
      <c r="A294" s="3" t="n">
        <v>24</v>
      </c>
      <c r="B294" s="3" t="inlineStr">
        <is>
          <t>UNIDADES VERTICAIS VENDIDAS POR TRIMESTRE</t>
        </is>
      </c>
      <c r="C294" s="3" t="inlineStr">
        <is>
          <t>Gráfico 1 / plot 1</t>
        </is>
      </c>
      <c r="D294" s="3" t="inlineStr">
        <is>
          <t>RM de Porto Alegre</t>
        </is>
      </c>
      <c r="E294" s="3" t="inlineStr">
        <is>
          <t>4T/21</t>
        </is>
      </c>
      <c r="F294" s="3" t="n">
        <v>1430</v>
      </c>
      <c r="G294" s="3" t="n"/>
      <c r="H294" s="3" t="n">
        <v>0</v>
      </c>
      <c r="I294" s="3">
        <f>IF(G294="","PENDENTE",IF(AND(ISNUMBER(F294),ISNUMBER(G294)),IF(ABS(G294-F294)&lt;=H294,"IGUAL","DIVERGENTE"),IF(TRIM(G294&amp;"")=TRIM(F294&amp;""),"IGUAL","DIVERGENTE")))</f>
        <v/>
      </c>
      <c r="J294" s="3" t="n"/>
    </row>
    <row r="295">
      <c r="A295" s="4" t="n">
        <v>24</v>
      </c>
      <c r="B295" s="4" t="inlineStr">
        <is>
          <t>UNIDADES VERTICAIS VENDIDAS POR TRIMESTRE</t>
        </is>
      </c>
      <c r="C295" s="4" t="inlineStr">
        <is>
          <t>Gráfico 1 / plot 1</t>
        </is>
      </c>
      <c r="D295" s="4" t="inlineStr">
        <is>
          <t>RM de Porto Alegre</t>
        </is>
      </c>
      <c r="E295" s="4" t="inlineStr">
        <is>
          <t>1T/22</t>
        </is>
      </c>
      <c r="F295" s="4" t="n">
        <v>1513</v>
      </c>
      <c r="G295" s="4" t="n"/>
      <c r="H295" s="4" t="n">
        <v>0</v>
      </c>
      <c r="I295" s="4">
        <f>IF(G295="","PENDENTE",IF(AND(ISNUMBER(F295),ISNUMBER(G295)),IF(ABS(G295-F295)&lt;=H295,"IGUAL","DIVERGENTE"),IF(TRIM(G295&amp;"")=TRIM(F295&amp;""),"IGUAL","DIVERGENTE")))</f>
        <v/>
      </c>
      <c r="J295" s="4" t="n"/>
    </row>
    <row r="296">
      <c r="A296" s="3" t="n">
        <v>24</v>
      </c>
      <c r="B296" s="3" t="inlineStr">
        <is>
          <t>UNIDADES VERTICAIS VENDIDAS POR TRIMESTRE</t>
        </is>
      </c>
      <c r="C296" s="3" t="inlineStr">
        <is>
          <t>Gráfico 1 / plot 1</t>
        </is>
      </c>
      <c r="D296" s="3" t="inlineStr">
        <is>
          <t>RM de Porto Alegre</t>
        </is>
      </c>
      <c r="E296" s="3" t="inlineStr">
        <is>
          <t>2T/22</t>
        </is>
      </c>
      <c r="F296" s="3" t="n">
        <v>1214</v>
      </c>
      <c r="G296" s="3" t="n"/>
      <c r="H296" s="3" t="n">
        <v>0</v>
      </c>
      <c r="I296" s="3">
        <f>IF(G296="","PENDENTE",IF(AND(ISNUMBER(F296),ISNUMBER(G296)),IF(ABS(G296-F296)&lt;=H296,"IGUAL","DIVERGENTE"),IF(TRIM(G296&amp;"")=TRIM(F296&amp;""),"IGUAL","DIVERGENTE")))</f>
        <v/>
      </c>
      <c r="J296" s="3" t="n"/>
    </row>
    <row r="297">
      <c r="A297" s="4" t="n">
        <v>24</v>
      </c>
      <c r="B297" s="4" t="inlineStr">
        <is>
          <t>UNIDADES VERTICAIS VENDIDAS POR TRIMESTRE</t>
        </is>
      </c>
      <c r="C297" s="4" t="inlineStr">
        <is>
          <t>Gráfico 1 / plot 1</t>
        </is>
      </c>
      <c r="D297" s="4" t="inlineStr">
        <is>
          <t>RM de Porto Alegre</t>
        </is>
      </c>
      <c r="E297" s="4" t="inlineStr">
        <is>
          <t>3T/22</t>
        </is>
      </c>
      <c r="F297" s="4" t="n">
        <v>1117</v>
      </c>
      <c r="G297" s="4" t="n"/>
      <c r="H297" s="4" t="n">
        <v>0</v>
      </c>
      <c r="I297" s="4">
        <f>IF(G297="","PENDENTE",IF(AND(ISNUMBER(F297),ISNUMBER(G297)),IF(ABS(G297-F297)&lt;=H297,"IGUAL","DIVERGENTE"),IF(TRIM(G297&amp;"")=TRIM(F297&amp;""),"IGUAL","DIVERGENTE")))</f>
        <v/>
      </c>
      <c r="J297" s="4" t="n"/>
    </row>
    <row r="298">
      <c r="A298" s="3" t="n">
        <v>24</v>
      </c>
      <c r="B298" s="3" t="inlineStr">
        <is>
          <t>UNIDADES VERTICAIS VENDIDAS POR TRIMESTRE</t>
        </is>
      </c>
      <c r="C298" s="3" t="inlineStr">
        <is>
          <t>Gráfico 1 / plot 1</t>
        </is>
      </c>
      <c r="D298" s="3" t="inlineStr">
        <is>
          <t>RM de Porto Alegre</t>
        </is>
      </c>
      <c r="E298" s="3" t="inlineStr">
        <is>
          <t>4T/22</t>
        </is>
      </c>
      <c r="F298" s="3" t="n">
        <v>1206</v>
      </c>
      <c r="G298" s="3" t="n"/>
      <c r="H298" s="3" t="n">
        <v>0</v>
      </c>
      <c r="I298" s="3">
        <f>IF(G298="","PENDENTE",IF(AND(ISNUMBER(F298),ISNUMBER(G298)),IF(ABS(G298-F298)&lt;=H298,"IGUAL","DIVERGENTE"),IF(TRIM(G298&amp;"")=TRIM(F298&amp;""),"IGUAL","DIVERGENTE")))</f>
        <v/>
      </c>
      <c r="J298" s="3" t="n"/>
    </row>
    <row r="299">
      <c r="A299" s="4" t="n">
        <v>24</v>
      </c>
      <c r="B299" s="4" t="inlineStr">
        <is>
          <t>UNIDADES VERTICAIS VENDIDAS POR TRIMESTRE</t>
        </is>
      </c>
      <c r="C299" s="4" t="inlineStr">
        <is>
          <t>Gráfico 1 / plot 1</t>
        </is>
      </c>
      <c r="D299" s="4" t="inlineStr">
        <is>
          <t>RM de Porto Alegre</t>
        </is>
      </c>
      <c r="E299" s="4" t="inlineStr">
        <is>
          <t>1T/23</t>
        </is>
      </c>
      <c r="F299" s="4" t="n">
        <v>1410</v>
      </c>
      <c r="G299" s="4" t="n"/>
      <c r="H299" s="4" t="n">
        <v>0</v>
      </c>
      <c r="I299" s="4">
        <f>IF(G299="","PENDENTE",IF(AND(ISNUMBER(F299),ISNUMBER(G299)),IF(ABS(G299-F299)&lt;=H299,"IGUAL","DIVERGENTE"),IF(TRIM(G299&amp;"")=TRIM(F299&amp;""),"IGUAL","DIVERGENTE")))</f>
        <v/>
      </c>
      <c r="J299" s="4" t="n"/>
    </row>
    <row r="300">
      <c r="A300" s="3" t="n">
        <v>24</v>
      </c>
      <c r="B300" s="3" t="inlineStr">
        <is>
          <t>UNIDADES VERTICAIS VENDIDAS POR TRIMESTRE</t>
        </is>
      </c>
      <c r="C300" s="3" t="inlineStr">
        <is>
          <t>Gráfico 1 / plot 1</t>
        </is>
      </c>
      <c r="D300" s="3" t="inlineStr">
        <is>
          <t>RM de Porto Alegre</t>
        </is>
      </c>
      <c r="E300" s="3" t="inlineStr">
        <is>
          <t>2T/23</t>
        </is>
      </c>
      <c r="F300" s="3" t="n">
        <v>1045</v>
      </c>
      <c r="G300" s="3" t="n"/>
      <c r="H300" s="3" t="n">
        <v>0</v>
      </c>
      <c r="I300" s="3">
        <f>IF(G300="","PENDENTE",IF(AND(ISNUMBER(F300),ISNUMBER(G300)),IF(ABS(G300-F300)&lt;=H300,"IGUAL","DIVERGENTE"),IF(TRIM(G300&amp;"")=TRIM(F300&amp;""),"IGUAL","DIVERGENTE")))</f>
        <v/>
      </c>
      <c r="J300" s="3" t="n"/>
    </row>
    <row r="301">
      <c r="A301" s="4" t="n">
        <v>24</v>
      </c>
      <c r="B301" s="4" t="inlineStr">
        <is>
          <t>UNIDADES VERTICAIS VENDIDAS POR TRIMESTRE</t>
        </is>
      </c>
      <c r="C301" s="4" t="inlineStr">
        <is>
          <t>Gráfico 1 / plot 1</t>
        </is>
      </c>
      <c r="D301" s="4" t="inlineStr">
        <is>
          <t>RM de Porto Alegre</t>
        </is>
      </c>
      <c r="E301" s="4" t="inlineStr">
        <is>
          <t>3T/23</t>
        </is>
      </c>
      <c r="F301" s="4" t="n">
        <v>1162</v>
      </c>
      <c r="G301" s="4" t="n"/>
      <c r="H301" s="4" t="n">
        <v>0</v>
      </c>
      <c r="I301" s="4">
        <f>IF(G301="","PENDENTE",IF(AND(ISNUMBER(F301),ISNUMBER(G301)),IF(ABS(G301-F301)&lt;=H301,"IGUAL","DIVERGENTE"),IF(TRIM(G301&amp;"")=TRIM(F301&amp;""),"IGUAL","DIVERGENTE")))</f>
        <v/>
      </c>
      <c r="J301" s="4" t="n"/>
    </row>
    <row r="302">
      <c r="A302" s="3" t="n">
        <v>24</v>
      </c>
      <c r="B302" s="3" t="inlineStr">
        <is>
          <t>UNIDADES VERTICAIS VENDIDAS POR TRIMESTRE</t>
        </is>
      </c>
      <c r="C302" s="3" t="inlineStr">
        <is>
          <t>Gráfico 1 / plot 1</t>
        </is>
      </c>
      <c r="D302" s="3" t="inlineStr">
        <is>
          <t>RM de Porto Alegre</t>
        </is>
      </c>
      <c r="E302" s="3" t="inlineStr">
        <is>
          <t>4T/23</t>
        </is>
      </c>
      <c r="F302" s="3" t="n">
        <v>1230</v>
      </c>
      <c r="G302" s="3" t="n"/>
      <c r="H302" s="3" t="n">
        <v>0</v>
      </c>
      <c r="I302" s="3">
        <f>IF(G302="","PENDENTE",IF(AND(ISNUMBER(F302),ISNUMBER(G302)),IF(ABS(G302-F302)&lt;=H302,"IGUAL","DIVERGENTE"),IF(TRIM(G302&amp;"")=TRIM(F302&amp;""),"IGUAL","DIVERGENTE")))</f>
        <v/>
      </c>
      <c r="J302" s="3" t="n"/>
    </row>
    <row r="303">
      <c r="A303" s="4" t="n">
        <v>24</v>
      </c>
      <c r="B303" s="4" t="inlineStr">
        <is>
          <t>UNIDADES VERTICAIS VENDIDAS POR TRIMESTRE</t>
        </is>
      </c>
      <c r="C303" s="4" t="inlineStr">
        <is>
          <t>Gráfico 1 / plot 1</t>
        </is>
      </c>
      <c r="D303" s="4" t="inlineStr">
        <is>
          <t>RM de Porto Alegre</t>
        </is>
      </c>
      <c r="E303" s="4" t="inlineStr">
        <is>
          <t>1T/24</t>
        </is>
      </c>
      <c r="F303" s="4" t="n">
        <v>1382</v>
      </c>
      <c r="G303" s="4" t="n"/>
      <c r="H303" s="4" t="n">
        <v>0</v>
      </c>
      <c r="I303" s="4">
        <f>IF(G303="","PENDENTE",IF(AND(ISNUMBER(F303),ISNUMBER(G303)),IF(ABS(G303-F303)&lt;=H303,"IGUAL","DIVERGENTE"),IF(TRIM(G303&amp;"")=TRIM(F303&amp;""),"IGUAL","DIVERGENTE")))</f>
        <v/>
      </c>
      <c r="J303" s="4" t="n"/>
    </row>
    <row r="304">
      <c r="A304" s="3" t="n">
        <v>24</v>
      </c>
      <c r="B304" s="3" t="inlineStr">
        <is>
          <t>UNIDADES VERTICAIS VENDIDAS POR TRIMESTRE</t>
        </is>
      </c>
      <c r="C304" s="3" t="inlineStr">
        <is>
          <t>Gráfico 1 / plot 1</t>
        </is>
      </c>
      <c r="D304" s="3" t="inlineStr">
        <is>
          <t>RM de Porto Alegre</t>
        </is>
      </c>
      <c r="E304" s="3" t="inlineStr">
        <is>
          <t>2T/24</t>
        </is>
      </c>
      <c r="F304" s="3" t="n">
        <v>1228</v>
      </c>
      <c r="G304" s="3" t="n"/>
      <c r="H304" s="3" t="n">
        <v>0</v>
      </c>
      <c r="I304" s="3">
        <f>IF(G304="","PENDENTE",IF(AND(ISNUMBER(F304),ISNUMBER(G304)),IF(ABS(G304-F304)&lt;=H304,"IGUAL","DIVERGENTE"),IF(TRIM(G304&amp;"")=TRIM(F304&amp;""),"IGUAL","DIVERGENTE")))</f>
        <v/>
      </c>
      <c r="J304" s="3" t="n"/>
    </row>
    <row r="305">
      <c r="A305" s="4" t="n">
        <v>24</v>
      </c>
      <c r="B305" s="4" t="inlineStr">
        <is>
          <t>UNIDADES VERTICAIS VENDIDAS POR TRIMESTRE</t>
        </is>
      </c>
      <c r="C305" s="4" t="inlineStr">
        <is>
          <t>Gráfico 1 / plot 1</t>
        </is>
      </c>
      <c r="D305" s="4" t="inlineStr">
        <is>
          <t>RM de Porto Alegre</t>
        </is>
      </c>
      <c r="E305" s="4" t="inlineStr">
        <is>
          <t>3T/24</t>
        </is>
      </c>
      <c r="F305" s="4" t="n">
        <v>1469</v>
      </c>
      <c r="G305" s="4" t="n"/>
      <c r="H305" s="4" t="n">
        <v>0</v>
      </c>
      <c r="I305" s="4">
        <f>IF(G305="","PENDENTE",IF(AND(ISNUMBER(F305),ISNUMBER(G305)),IF(ABS(G305-F305)&lt;=H305,"IGUAL","DIVERGENTE"),IF(TRIM(G305&amp;"")=TRIM(F305&amp;""),"IGUAL","DIVERGENTE")))</f>
        <v/>
      </c>
      <c r="J305" s="4" t="n"/>
    </row>
    <row r="306">
      <c r="A306" s="3" t="n">
        <v>24</v>
      </c>
      <c r="B306" s="3" t="inlineStr">
        <is>
          <t>UNIDADES VERTICAIS VENDIDAS POR TRIMESTRE</t>
        </is>
      </c>
      <c r="C306" s="3" t="inlineStr">
        <is>
          <t>Gráfico 1 / plot 1</t>
        </is>
      </c>
      <c r="D306" s="3" t="inlineStr">
        <is>
          <t>RM de Porto Alegre</t>
        </is>
      </c>
      <c r="E306" s="3" t="inlineStr">
        <is>
          <t>4T/24</t>
        </is>
      </c>
      <c r="F306" s="3" t="n">
        <v>1349</v>
      </c>
      <c r="G306" s="3" t="n"/>
      <c r="H306" s="3" t="n">
        <v>0</v>
      </c>
      <c r="I306" s="3">
        <f>IF(G306="","PENDENTE",IF(AND(ISNUMBER(F306),ISNUMBER(G306)),IF(ABS(G306-F306)&lt;=H306,"IGUAL","DIVERGENTE"),IF(TRIM(G306&amp;"")=TRIM(F306&amp;""),"IGUAL","DIVERGENTE")))</f>
        <v/>
      </c>
      <c r="J306" s="3" t="n"/>
    </row>
    <row r="307">
      <c r="A307" s="4" t="n">
        <v>24</v>
      </c>
      <c r="B307" s="4" t="inlineStr">
        <is>
          <t>UNIDADES VERTICAIS VENDIDAS POR TRIMESTRE</t>
        </is>
      </c>
      <c r="C307" s="4" t="inlineStr">
        <is>
          <t>Gráfico 1 / plot 1</t>
        </is>
      </c>
      <c r="D307" s="4" t="inlineStr">
        <is>
          <t>RM de Porto Alegre</t>
        </is>
      </c>
      <c r="E307" s="4" t="inlineStr">
        <is>
          <t>1T/25</t>
        </is>
      </c>
      <c r="F307" s="4" t="n">
        <v>1771</v>
      </c>
      <c r="G307" s="4" t="n"/>
      <c r="H307" s="4" t="n">
        <v>0</v>
      </c>
      <c r="I307" s="4">
        <f>IF(G307="","PENDENTE",IF(AND(ISNUMBER(F307),ISNUMBER(G307)),IF(ABS(G307-F307)&lt;=H307,"IGUAL","DIVERGENTE"),IF(TRIM(G307&amp;"")=TRIM(F307&amp;""),"IGUAL","DIVERGENTE")))</f>
        <v/>
      </c>
      <c r="J307" s="4" t="n"/>
    </row>
    <row r="308">
      <c r="A308" s="3" t="n">
        <v>24</v>
      </c>
      <c r="B308" s="3" t="inlineStr">
        <is>
          <t>UNIDADES VERTICAIS VENDIDAS POR TRIMESTRE</t>
        </is>
      </c>
      <c r="C308" s="3" t="inlineStr">
        <is>
          <t>Gráfico 1 / plot 1</t>
        </is>
      </c>
      <c r="D308" s="3" t="inlineStr">
        <is>
          <t>RM de Porto Alegre</t>
        </is>
      </c>
      <c r="E308" s="3" t="inlineStr">
        <is>
          <t>2T/25</t>
        </is>
      </c>
      <c r="F308" s="3" t="n">
        <v>1209</v>
      </c>
      <c r="G308" s="3" t="n"/>
      <c r="H308" s="3" t="n">
        <v>0</v>
      </c>
      <c r="I308" s="3">
        <f>IF(G308="","PENDENTE",IF(AND(ISNUMBER(F308),ISNUMBER(G308)),IF(ABS(G308-F308)&lt;=H308,"IGUAL","DIVERGENTE"),IF(TRIM(G308&amp;"")=TRIM(F308&amp;""),"IGUAL","DIVERGENTE")))</f>
        <v/>
      </c>
      <c r="J308" s="3" t="n"/>
    </row>
    <row r="309">
      <c r="A309" s="4" t="n">
        <v>24</v>
      </c>
      <c r="B309" s="4" t="inlineStr">
        <is>
          <t>UNIDADES VERTICAIS VENDIDAS POR TRIMESTRE</t>
        </is>
      </c>
      <c r="C309" s="4" t="inlineStr">
        <is>
          <t>Gráfico 1 / plot 1</t>
        </is>
      </c>
      <c r="D309" s="4" t="inlineStr">
        <is>
          <t>RM de Porto Alegre</t>
        </is>
      </c>
      <c r="E309" s="4" t="inlineStr">
        <is>
          <t>3T/25</t>
        </is>
      </c>
      <c r="F309" s="4" t="n">
        <v>979</v>
      </c>
      <c r="G309" s="4" t="n"/>
      <c r="H309" s="4" t="n">
        <v>0</v>
      </c>
      <c r="I309" s="4">
        <f>IF(G309="","PENDENTE",IF(AND(ISNUMBER(F309),ISNUMBER(G309)),IF(ABS(G309-F309)&lt;=H309,"IGUAL","DIVERGENTE"),IF(TRIM(G309&amp;"")=TRIM(F309&amp;""),"IGUAL","DIVERGENTE")))</f>
        <v/>
      </c>
      <c r="J309" s="4" t="n"/>
    </row>
    <row r="310">
      <c r="A310" s="3" t="n">
        <v>24</v>
      </c>
      <c r="B310" s="3" t="inlineStr">
        <is>
          <t>UNIDADES VERTICAIS VENDIDAS POR TRIMESTRE</t>
        </is>
      </c>
      <c r="C310" s="3" t="inlineStr">
        <is>
          <t>Gráfico 1 / plot 1</t>
        </is>
      </c>
      <c r="D310" s="3" t="inlineStr">
        <is>
          <t>RM de Porto Alegre</t>
        </is>
      </c>
      <c r="E310" s="3" t="inlineStr">
        <is>
          <t>4T/25</t>
        </is>
      </c>
      <c r="F310" s="3" t="n">
        <v>1463</v>
      </c>
      <c r="G310" s="3" t="n"/>
      <c r="H310" s="3" t="n">
        <v>0</v>
      </c>
      <c r="I310" s="3">
        <f>IF(G310="","PENDENTE",IF(AND(ISNUMBER(F310),ISNUMBER(G310)),IF(ABS(G310-F310)&lt;=H310,"IGUAL","DIVERGENTE"),IF(TRIM(G310&amp;"")=TRIM(F310&amp;""),"IGUAL","DIVERGENTE")))</f>
        <v/>
      </c>
      <c r="J310" s="3" t="n"/>
    </row>
    <row r="311">
      <c r="A311" s="4" t="n">
        <v>24</v>
      </c>
      <c r="B311" s="4" t="inlineStr">
        <is>
          <t>UNIDADES VERTICAIS VENDIDAS POR TRIMESTRE</t>
        </is>
      </c>
      <c r="C311" s="4" t="inlineStr">
        <is>
          <t>Gráfico 2 / plot 1</t>
        </is>
      </c>
      <c r="D311" s="4" t="inlineStr">
        <is>
          <t>RM de Porto Alegre</t>
        </is>
      </c>
      <c r="E311" s="4" t="inlineStr">
        <is>
          <t>1S 2025</t>
        </is>
      </c>
      <c r="F311" s="4" t="n">
        <v>2980</v>
      </c>
      <c r="G311" s="4" t="n"/>
      <c r="H311" s="4" t="n">
        <v>0</v>
      </c>
      <c r="I311" s="4">
        <f>IF(G311="","PENDENTE",IF(AND(ISNUMBER(F311),ISNUMBER(G311)),IF(ABS(G311-F311)&lt;=H311,"IGUAL","DIVERGENTE"),IF(TRIM(G311&amp;"")=TRIM(F311&amp;""),"IGUAL","DIVERGENTE")))</f>
        <v/>
      </c>
      <c r="J311" s="4" t="n"/>
    </row>
    <row r="312">
      <c r="A312" s="3" t="n">
        <v>24</v>
      </c>
      <c r="B312" s="3" t="inlineStr">
        <is>
          <t>UNIDADES VERTICAIS VENDIDAS POR TRIMESTRE</t>
        </is>
      </c>
      <c r="C312" s="3" t="inlineStr">
        <is>
          <t>Gráfico 2 / plot 1</t>
        </is>
      </c>
      <c r="D312" s="3" t="inlineStr">
        <is>
          <t>RM de Porto Alegre</t>
        </is>
      </c>
      <c r="E312" s="3" t="inlineStr">
        <is>
          <t>2S 2025</t>
        </is>
      </c>
      <c r="F312" s="3" t="n">
        <v>2442</v>
      </c>
      <c r="G312" s="3" t="n"/>
      <c r="H312" s="3" t="n">
        <v>0</v>
      </c>
      <c r="I312" s="3">
        <f>IF(G312="","PENDENTE",IF(AND(ISNUMBER(F312),ISNUMBER(G312)),IF(ABS(G312-F312)&lt;=H312,"IGUAL","DIVERGENTE"),IF(TRIM(G312&amp;"")=TRIM(F312&amp;""),"IGUAL","DIVERGENTE")))</f>
        <v/>
      </c>
      <c r="J312" s="3" t="n"/>
    </row>
    <row r="313">
      <c r="A313" s="4" t="n">
        <v>24</v>
      </c>
      <c r="B313" s="4" t="inlineStr">
        <is>
          <t>UNIDADES VERTICAIS VENDIDAS POR TRIMESTRE</t>
        </is>
      </c>
      <c r="C313" s="4" t="inlineStr">
        <is>
          <t>Tabela 1</t>
        </is>
      </c>
      <c r="D313" s="4" t="inlineStr">
        <is>
          <t>2021 x 2022</t>
        </is>
      </c>
      <c r="E313" s="4" t="inlineStr">
        <is>
          <t>Coluna 2</t>
        </is>
      </c>
      <c r="F313" s="4" t="inlineStr">
        <is>
          <t>2022 x 2023</t>
        </is>
      </c>
      <c r="G313" s="4" t="n"/>
      <c r="H313" s="4" t="n"/>
      <c r="I313" s="4">
        <f>IF(G313="","PENDENTE",IF(AND(ISNUMBER(F313),ISNUMBER(G313)),IF(ABS(G313-F313)&lt;=H313,"IGUAL","DIVERGENTE"),IF(TRIM(G313&amp;"")=TRIM(F313&amp;""),"IGUAL","DIVERGENTE")))</f>
        <v/>
      </c>
      <c r="J313" s="4" t="n"/>
    </row>
    <row r="314">
      <c r="A314" s="3" t="n">
        <v>24</v>
      </c>
      <c r="B314" s="3" t="inlineStr">
        <is>
          <t>UNIDADES VERTICAIS VENDIDAS POR TRIMESTRE</t>
        </is>
      </c>
      <c r="C314" s="3" t="inlineStr">
        <is>
          <t>Tabela 1</t>
        </is>
      </c>
      <c r="D314" s="3" t="inlineStr">
        <is>
          <t>2021 x 2022</t>
        </is>
      </c>
      <c r="E314" s="3" t="inlineStr">
        <is>
          <t>Coluna 3</t>
        </is>
      </c>
      <c r="F314" s="3" t="inlineStr">
        <is>
          <t>2023 X 2024</t>
        </is>
      </c>
      <c r="G314" s="3" t="n"/>
      <c r="H314" s="3" t="n"/>
      <c r="I314" s="3">
        <f>IF(G314="","PENDENTE",IF(AND(ISNUMBER(F314),ISNUMBER(G314)),IF(ABS(G314-F314)&lt;=H314,"IGUAL","DIVERGENTE"),IF(TRIM(G314&amp;"")=TRIM(F314&amp;""),"IGUAL","DIVERGENTE")))</f>
        <v/>
      </c>
      <c r="J314" s="3" t="n"/>
    </row>
    <row r="315">
      <c r="A315" s="4" t="n">
        <v>24</v>
      </c>
      <c r="B315" s="4" t="inlineStr">
        <is>
          <t>UNIDADES VERTICAIS VENDIDAS POR TRIMESTRE</t>
        </is>
      </c>
      <c r="C315" s="4" t="inlineStr">
        <is>
          <t>Tabela 1</t>
        </is>
      </c>
      <c r="D315" s="4" t="inlineStr">
        <is>
          <t>2021 x 2022</t>
        </is>
      </c>
      <c r="E315" s="4" t="inlineStr">
        <is>
          <t>Coluna 4</t>
        </is>
      </c>
      <c r="F315" s="4" t="inlineStr">
        <is>
          <t>2024 x 2025</t>
        </is>
      </c>
      <c r="G315" s="4" t="n"/>
      <c r="H315" s="4" t="n"/>
      <c r="I315" s="4">
        <f>IF(G315="","PENDENTE",IF(AND(ISNUMBER(F315),ISNUMBER(G315)),IF(ABS(G315-F315)&lt;=H315,"IGUAL","DIVERGENTE"),IF(TRIM(G315&amp;"")=TRIM(F315&amp;""),"IGUAL","DIVERGENTE")))</f>
        <v/>
      </c>
      <c r="J315" s="4" t="n"/>
    </row>
    <row r="316">
      <c r="A316" s="3" t="n">
        <v>24</v>
      </c>
      <c r="B316" s="3" t="inlineStr">
        <is>
          <t>UNIDADES VERTICAIS VENDIDAS POR TRIMESTRE</t>
        </is>
      </c>
      <c r="C316" s="3" t="inlineStr">
        <is>
          <t>Tabela 1</t>
        </is>
      </c>
      <c r="D316" s="3" t="inlineStr">
        <is>
          <t>-9%</t>
        </is>
      </c>
      <c r="E316" s="3" t="inlineStr">
        <is>
          <t>Coluna 2</t>
        </is>
      </c>
      <c r="F316" s="3" t="inlineStr">
        <is>
          <t>-4%</t>
        </is>
      </c>
      <c r="G316" s="3" t="n"/>
      <c r="H316" s="3" t="n"/>
      <c r="I316" s="3">
        <f>IF(G316="","PENDENTE",IF(AND(ISNUMBER(F316),ISNUMBER(G316)),IF(ABS(G316-F316)&lt;=H316,"IGUAL","DIVERGENTE"),IF(TRIM(G316&amp;"")=TRIM(F316&amp;""),"IGUAL","DIVERGENTE")))</f>
        <v/>
      </c>
      <c r="J316" s="3" t="n"/>
    </row>
    <row r="317">
      <c r="A317" s="4" t="n">
        <v>24</v>
      </c>
      <c r="B317" s="4" t="inlineStr">
        <is>
          <t>UNIDADES VERTICAIS VENDIDAS POR TRIMESTRE</t>
        </is>
      </c>
      <c r="C317" s="4" t="inlineStr">
        <is>
          <t>Tabela 1</t>
        </is>
      </c>
      <c r="D317" s="4" t="inlineStr">
        <is>
          <t>-9%</t>
        </is>
      </c>
      <c r="E317" s="4" t="inlineStr">
        <is>
          <t>Coluna 3</t>
        </is>
      </c>
      <c r="F317" s="4" t="inlineStr">
        <is>
          <t>+12%</t>
        </is>
      </c>
      <c r="G317" s="4" t="n"/>
      <c r="H317" s="4" t="n"/>
      <c r="I317" s="4">
        <f>IF(G317="","PENDENTE",IF(AND(ISNUMBER(F317),ISNUMBER(G317)),IF(ABS(G317-F317)&lt;=H317,"IGUAL","DIVERGENTE"),IF(TRIM(G317&amp;"")=TRIM(F317&amp;""),"IGUAL","DIVERGENTE")))</f>
        <v/>
      </c>
      <c r="J317" s="4" t="n"/>
    </row>
    <row r="318">
      <c r="A318" s="3" t="n">
        <v>24</v>
      </c>
      <c r="B318" s="3" t="inlineStr">
        <is>
          <t>UNIDADES VERTICAIS VENDIDAS POR TRIMESTRE</t>
        </is>
      </c>
      <c r="C318" s="3" t="inlineStr">
        <is>
          <t>Tabela 1</t>
        </is>
      </c>
      <c r="D318" s="3" t="inlineStr">
        <is>
          <t>-9%</t>
        </is>
      </c>
      <c r="E318" s="3" t="inlineStr">
        <is>
          <t>Coluna 4</t>
        </is>
      </c>
      <c r="F318" s="3" t="inlineStr">
        <is>
          <t>-0,1%</t>
        </is>
      </c>
      <c r="G318" s="3" t="n"/>
      <c r="H318" s="3" t="n"/>
      <c r="I318" s="3">
        <f>IF(G318="","PENDENTE",IF(AND(ISNUMBER(F318),ISNUMBER(G318)),IF(ABS(G318-F318)&lt;=H318,"IGUAL","DIVERGENTE"),IF(TRIM(G318&amp;"")=TRIM(F318&amp;""),"IGUAL","DIVERGENTE")))</f>
        <v/>
      </c>
      <c r="J318" s="3" t="n"/>
    </row>
    <row r="319">
      <c r="A319" s="4" t="n">
        <v>25</v>
      </c>
      <c r="B319" s="4" t="inlineStr">
        <is>
          <t>UNIDADES VERTICAIS VENDIDAS POR PADRÃO</t>
        </is>
      </c>
      <c r="C319" s="4" t="inlineStr">
        <is>
          <t>Gráfico 1 / plot 1</t>
        </is>
      </c>
      <c r="D319" s="4" t="inlineStr">
        <is>
          <t>Luxo</t>
        </is>
      </c>
      <c r="E319" s="4" t="inlineStr">
        <is>
          <t>2020</t>
        </is>
      </c>
      <c r="F319" s="4" t="n">
        <v>0.004295197188598204</v>
      </c>
      <c r="G319" s="4" t="n"/>
      <c r="H319" s="4" t="n">
        <v>0.005</v>
      </c>
      <c r="I319" s="4">
        <f>IF(G319="","PENDENTE",IF(AND(ISNUMBER(F319),ISNUMBER(G319)),IF(ABS(G319-F319)&lt;=H319,"IGUAL","DIVERGENTE"),IF(TRIM(G319&amp;"")=TRIM(F319&amp;""),"IGUAL","DIVERGENTE")))</f>
        <v/>
      </c>
      <c r="J319" s="4" t="n"/>
    </row>
    <row r="320">
      <c r="A320" s="3" t="n">
        <v>25</v>
      </c>
      <c r="B320" s="3" t="inlineStr">
        <is>
          <t>UNIDADES VERTICAIS VENDIDAS POR PADRÃO</t>
        </is>
      </c>
      <c r="C320" s="3" t="inlineStr">
        <is>
          <t>Gráfico 1 / plot 1</t>
        </is>
      </c>
      <c r="D320" s="3" t="inlineStr">
        <is>
          <t>Luxo</t>
        </is>
      </c>
      <c r="E320" s="3" t="inlineStr">
        <is>
          <t>2021</t>
        </is>
      </c>
      <c r="F320" s="3" t="n">
        <v>0.007778581765557163</v>
      </c>
      <c r="G320" s="3" t="n"/>
      <c r="H320" s="3" t="n">
        <v>0.005</v>
      </c>
      <c r="I320" s="3">
        <f>IF(G320="","PENDENTE",IF(AND(ISNUMBER(F320),ISNUMBER(G320)),IF(ABS(G320-F320)&lt;=H320,"IGUAL","DIVERGENTE"),IF(TRIM(G320&amp;"")=TRIM(F320&amp;""),"IGUAL","DIVERGENTE")))</f>
        <v/>
      </c>
      <c r="J320" s="3" t="n"/>
    </row>
    <row r="321">
      <c r="A321" s="4" t="n">
        <v>25</v>
      </c>
      <c r="B321" s="4" t="inlineStr">
        <is>
          <t>UNIDADES VERTICAIS VENDIDAS POR PADRÃO</t>
        </is>
      </c>
      <c r="C321" s="4" t="inlineStr">
        <is>
          <t>Gráfico 1 / plot 1</t>
        </is>
      </c>
      <c r="D321" s="4" t="inlineStr">
        <is>
          <t>Luxo</t>
        </is>
      </c>
      <c r="E321" s="4" t="inlineStr">
        <is>
          <t>2022</t>
        </is>
      </c>
      <c r="F321" s="4" t="n">
        <v>0.002376237623762376</v>
      </c>
      <c r="G321" s="4" t="n"/>
      <c r="H321" s="4" t="n">
        <v>0.005</v>
      </c>
      <c r="I321" s="4">
        <f>IF(G321="","PENDENTE",IF(AND(ISNUMBER(F321),ISNUMBER(G321)),IF(ABS(G321-F321)&lt;=H321,"IGUAL","DIVERGENTE"),IF(TRIM(G321&amp;"")=TRIM(F321&amp;""),"IGUAL","DIVERGENTE")))</f>
        <v/>
      </c>
      <c r="J321" s="4" t="n"/>
    </row>
    <row r="322">
      <c r="A322" s="3" t="n">
        <v>25</v>
      </c>
      <c r="B322" s="3" t="inlineStr">
        <is>
          <t>UNIDADES VERTICAIS VENDIDAS POR PADRÃO</t>
        </is>
      </c>
      <c r="C322" s="3" t="inlineStr">
        <is>
          <t>Gráfico 1 / plot 1</t>
        </is>
      </c>
      <c r="D322" s="3" t="inlineStr">
        <is>
          <t>Luxo</t>
        </is>
      </c>
      <c r="E322" s="3" t="inlineStr">
        <is>
          <t>2023</t>
        </is>
      </c>
      <c r="F322" s="3" t="n">
        <v>0.0008252527336496802</v>
      </c>
      <c r="G322" s="3" t="n"/>
      <c r="H322" s="3" t="n">
        <v>0.005</v>
      </c>
      <c r="I322" s="3">
        <f>IF(G322="","PENDENTE",IF(AND(ISNUMBER(F322),ISNUMBER(G322)),IF(ABS(G322-F322)&lt;=H322,"IGUAL","DIVERGENTE"),IF(TRIM(G322&amp;"")=TRIM(F322&amp;""),"IGUAL","DIVERGENTE")))</f>
        <v/>
      </c>
      <c r="J322" s="3" t="n"/>
    </row>
    <row r="323">
      <c r="A323" s="4" t="n">
        <v>25</v>
      </c>
      <c r="B323" s="4" t="inlineStr">
        <is>
          <t>UNIDADES VERTICAIS VENDIDAS POR PADRÃO</t>
        </is>
      </c>
      <c r="C323" s="4" t="inlineStr">
        <is>
          <t>Gráfico 1 / plot 1</t>
        </is>
      </c>
      <c r="D323" s="4" t="inlineStr">
        <is>
          <t>Luxo</t>
        </is>
      </c>
      <c r="E323" s="4" t="inlineStr">
        <is>
          <t>2024</t>
        </is>
      </c>
      <c r="F323" s="4" t="n">
        <v>0.009579955784819455</v>
      </c>
      <c r="G323" s="4" t="n"/>
      <c r="H323" s="4" t="n">
        <v>0.005</v>
      </c>
      <c r="I323" s="4">
        <f>IF(G323="","PENDENTE",IF(AND(ISNUMBER(F323),ISNUMBER(G323)),IF(ABS(G323-F323)&lt;=H323,"IGUAL","DIVERGENTE"),IF(TRIM(G323&amp;"")=TRIM(F323&amp;""),"IGUAL","DIVERGENTE")))</f>
        <v/>
      </c>
      <c r="J323" s="4" t="n"/>
    </row>
    <row r="324">
      <c r="A324" s="3" t="n">
        <v>25</v>
      </c>
      <c r="B324" s="3" t="inlineStr">
        <is>
          <t>UNIDADES VERTICAIS VENDIDAS POR PADRÃO</t>
        </is>
      </c>
      <c r="C324" s="3" t="inlineStr">
        <is>
          <t>Gráfico 1 / plot 1</t>
        </is>
      </c>
      <c r="D324" s="3" t="inlineStr">
        <is>
          <t>Luxo</t>
        </is>
      </c>
      <c r="E324" s="3" t="inlineStr">
        <is>
          <t>2025</t>
        </is>
      </c>
      <c r="F324" s="3" t="n">
        <v>0.0003688675765400221</v>
      </c>
      <c r="G324" s="3" t="n"/>
      <c r="H324" s="3" t="n">
        <v>0.005</v>
      </c>
      <c r="I324" s="3">
        <f>IF(G324="","PENDENTE",IF(AND(ISNUMBER(F324),ISNUMBER(G324)),IF(ABS(G324-F324)&lt;=H324,"IGUAL","DIVERGENTE"),IF(TRIM(G324&amp;"")=TRIM(F324&amp;""),"IGUAL","DIVERGENTE")))</f>
        <v/>
      </c>
      <c r="J324" s="3" t="n"/>
    </row>
    <row r="325">
      <c r="A325" s="4" t="n">
        <v>25</v>
      </c>
      <c r="B325" s="4" t="inlineStr">
        <is>
          <t>UNIDADES VERTICAIS VENDIDAS POR PADRÃO</t>
        </is>
      </c>
      <c r="C325" s="4" t="inlineStr">
        <is>
          <t>Gráfico 1 / plot 1</t>
        </is>
      </c>
      <c r="D325" s="4" t="inlineStr">
        <is>
          <t>Médio Padrão</t>
        </is>
      </c>
      <c r="E325" s="4" t="inlineStr">
        <is>
          <t>2020</t>
        </is>
      </c>
      <c r="F325" s="4" t="n">
        <v>0.1946505271378368</v>
      </c>
      <c r="G325" s="4" t="n"/>
      <c r="H325" s="4" t="n">
        <v>0.005</v>
      </c>
      <c r="I325" s="4">
        <f>IF(G325="","PENDENTE",IF(AND(ISNUMBER(F325),ISNUMBER(G325)),IF(ABS(G325-F325)&lt;=H325,"IGUAL","DIVERGENTE"),IF(TRIM(G325&amp;"")=TRIM(F325&amp;""),"IGUAL","DIVERGENTE")))</f>
        <v/>
      </c>
      <c r="J325" s="4" t="n"/>
    </row>
    <row r="326">
      <c r="A326" s="3" t="n">
        <v>25</v>
      </c>
      <c r="B326" s="3" t="inlineStr">
        <is>
          <t>UNIDADES VERTICAIS VENDIDAS POR PADRÃO</t>
        </is>
      </c>
      <c r="C326" s="3" t="inlineStr">
        <is>
          <t>Gráfico 1 / plot 1</t>
        </is>
      </c>
      <c r="D326" s="3" t="inlineStr">
        <is>
          <t>Médio Padrão</t>
        </is>
      </c>
      <c r="E326" s="3" t="inlineStr">
        <is>
          <t>2021</t>
        </is>
      </c>
      <c r="F326" s="3" t="n">
        <v>0.1968162083936324</v>
      </c>
      <c r="G326" s="3" t="n"/>
      <c r="H326" s="3" t="n">
        <v>0.005</v>
      </c>
      <c r="I326" s="3">
        <f>IF(G326="","PENDENTE",IF(AND(ISNUMBER(F326),ISNUMBER(G326)),IF(ABS(G326-F326)&lt;=H326,"IGUAL","DIVERGENTE"),IF(TRIM(G326&amp;"")=TRIM(F326&amp;""),"IGUAL","DIVERGENTE")))</f>
        <v/>
      </c>
      <c r="J326" s="3" t="n"/>
    </row>
    <row r="327">
      <c r="A327" s="4" t="n">
        <v>25</v>
      </c>
      <c r="B327" s="4" t="inlineStr">
        <is>
          <t>UNIDADES VERTICAIS VENDIDAS POR PADRÃO</t>
        </is>
      </c>
      <c r="C327" s="4" t="inlineStr">
        <is>
          <t>Gráfico 1 / plot 1</t>
        </is>
      </c>
      <c r="D327" s="4" t="inlineStr">
        <is>
          <t>Médio Padrão</t>
        </is>
      </c>
      <c r="E327" s="4" t="inlineStr">
        <is>
          <t>2022</t>
        </is>
      </c>
      <c r="F327" s="4" t="n">
        <v>0.2914851485148515</v>
      </c>
      <c r="G327" s="4" t="n"/>
      <c r="H327" s="4" t="n">
        <v>0.005</v>
      </c>
      <c r="I327" s="4">
        <f>IF(G327="","PENDENTE",IF(AND(ISNUMBER(F327),ISNUMBER(G327)),IF(ABS(G327-F327)&lt;=H327,"IGUAL","DIVERGENTE"),IF(TRIM(G327&amp;"")=TRIM(F327&amp;""),"IGUAL","DIVERGENTE")))</f>
        <v/>
      </c>
      <c r="J327" s="4" t="n"/>
    </row>
    <row r="328">
      <c r="A328" s="3" t="n">
        <v>25</v>
      </c>
      <c r="B328" s="3" t="inlineStr">
        <is>
          <t>UNIDADES VERTICAIS VENDIDAS POR PADRÃO</t>
        </is>
      </c>
      <c r="C328" s="3" t="inlineStr">
        <is>
          <t>Gráfico 1 / plot 1</t>
        </is>
      </c>
      <c r="D328" s="3" t="inlineStr">
        <is>
          <t>Médio Padrão</t>
        </is>
      </c>
      <c r="E328" s="3" t="inlineStr">
        <is>
          <t>2023</t>
        </is>
      </c>
      <c r="F328" s="3" t="n">
        <v>0.3484629667835775</v>
      </c>
      <c r="G328" s="3" t="n"/>
      <c r="H328" s="3" t="n">
        <v>0.005</v>
      </c>
      <c r="I328" s="3">
        <f>IF(G328="","PENDENTE",IF(AND(ISNUMBER(F328),ISNUMBER(G328)),IF(ABS(G328-F328)&lt;=H328,"IGUAL","DIVERGENTE"),IF(TRIM(G328&amp;"")=TRIM(F328&amp;""),"IGUAL","DIVERGENTE")))</f>
        <v/>
      </c>
      <c r="J328" s="3" t="n"/>
    </row>
    <row r="329">
      <c r="A329" s="4" t="n">
        <v>25</v>
      </c>
      <c r="B329" s="4" t="inlineStr">
        <is>
          <t>UNIDADES VERTICAIS VENDIDAS POR PADRÃO</t>
        </is>
      </c>
      <c r="C329" s="4" t="inlineStr">
        <is>
          <t>Gráfico 1 / plot 1</t>
        </is>
      </c>
      <c r="D329" s="4" t="inlineStr">
        <is>
          <t>Médio Padrão</t>
        </is>
      </c>
      <c r="E329" s="4" t="inlineStr">
        <is>
          <t>2024</t>
        </is>
      </c>
      <c r="F329" s="4" t="n">
        <v>0.3881724392041268</v>
      </c>
      <c r="G329" s="4" t="n"/>
      <c r="H329" s="4" t="n">
        <v>0.005</v>
      </c>
      <c r="I329" s="4">
        <f>IF(G329="","PENDENTE",IF(AND(ISNUMBER(F329),ISNUMBER(G329)),IF(ABS(G329-F329)&lt;=H329,"IGUAL","DIVERGENTE"),IF(TRIM(G329&amp;"")=TRIM(F329&amp;""),"IGUAL","DIVERGENTE")))</f>
        <v/>
      </c>
      <c r="J329" s="4" t="n"/>
    </row>
    <row r="330">
      <c r="A330" s="3" t="n">
        <v>25</v>
      </c>
      <c r="B330" s="3" t="inlineStr">
        <is>
          <t>UNIDADES VERTICAIS VENDIDAS POR PADRÃO</t>
        </is>
      </c>
      <c r="C330" s="3" t="inlineStr">
        <is>
          <t>Gráfico 1 / plot 1</t>
        </is>
      </c>
      <c r="D330" s="3" t="inlineStr">
        <is>
          <t>Médio Padrão</t>
        </is>
      </c>
      <c r="E330" s="3" t="inlineStr">
        <is>
          <t>2025</t>
        </is>
      </c>
      <c r="F330" s="3" t="n">
        <v>0.2867945407598672</v>
      </c>
      <c r="G330" s="3" t="n"/>
      <c r="H330" s="3" t="n">
        <v>0.005</v>
      </c>
      <c r="I330" s="3">
        <f>IF(G330="","PENDENTE",IF(AND(ISNUMBER(F330),ISNUMBER(G330)),IF(ABS(G330-F330)&lt;=H330,"IGUAL","DIVERGENTE"),IF(TRIM(G330&amp;"")=TRIM(F330&amp;""),"IGUAL","DIVERGENTE")))</f>
        <v/>
      </c>
      <c r="J330" s="3" t="n"/>
    </row>
    <row r="331">
      <c r="A331" s="4" t="n">
        <v>25</v>
      </c>
      <c r="B331" s="4" t="inlineStr">
        <is>
          <t>UNIDADES VERTICAIS VENDIDAS POR PADRÃO</t>
        </is>
      </c>
      <c r="C331" s="4" t="inlineStr">
        <is>
          <t>Gráfico 1 / plot 1</t>
        </is>
      </c>
      <c r="D331" s="4" t="inlineStr">
        <is>
          <t>MCMV</t>
        </is>
      </c>
      <c r="E331" s="4" t="inlineStr">
        <is>
          <t>2020</t>
        </is>
      </c>
      <c r="F331" s="4" t="n">
        <v>0.7866067942210074</v>
      </c>
      <c r="G331" s="4" t="n"/>
      <c r="H331" s="4" t="n">
        <v>0.005</v>
      </c>
      <c r="I331" s="4">
        <f>IF(G331="","PENDENTE",IF(AND(ISNUMBER(F331),ISNUMBER(G331)),IF(ABS(G331-F331)&lt;=H331,"IGUAL","DIVERGENTE"),IF(TRIM(G331&amp;"")=TRIM(F331&amp;""),"IGUAL","DIVERGENTE")))</f>
        <v/>
      </c>
      <c r="J331" s="4" t="n"/>
    </row>
    <row r="332">
      <c r="A332" s="3" t="n">
        <v>25</v>
      </c>
      <c r="B332" s="3" t="inlineStr">
        <is>
          <t>UNIDADES VERTICAIS VENDIDAS POR PADRÃO</t>
        </is>
      </c>
      <c r="C332" s="3" t="inlineStr">
        <is>
          <t>Gráfico 1 / plot 1</t>
        </is>
      </c>
      <c r="D332" s="3" t="inlineStr">
        <is>
          <t>MCMV</t>
        </is>
      </c>
      <c r="E332" s="3" t="inlineStr">
        <is>
          <t>2021</t>
        </is>
      </c>
      <c r="F332" s="3" t="n">
        <v>0.775506512301013</v>
      </c>
      <c r="G332" s="3" t="n"/>
      <c r="H332" s="3" t="n">
        <v>0.005</v>
      </c>
      <c r="I332" s="3">
        <f>IF(G332="","PENDENTE",IF(AND(ISNUMBER(F332),ISNUMBER(G332)),IF(ABS(G332-F332)&lt;=H332,"IGUAL","DIVERGENTE"),IF(TRIM(G332&amp;"")=TRIM(F332&amp;""),"IGUAL","DIVERGENTE")))</f>
        <v/>
      </c>
      <c r="J332" s="3" t="n"/>
    </row>
    <row r="333">
      <c r="A333" s="4" t="n">
        <v>25</v>
      </c>
      <c r="B333" s="4" t="inlineStr">
        <is>
          <t>UNIDADES VERTICAIS VENDIDAS POR PADRÃO</t>
        </is>
      </c>
      <c r="C333" s="4" t="inlineStr">
        <is>
          <t>Gráfico 1 / plot 1</t>
        </is>
      </c>
      <c r="D333" s="4" t="inlineStr">
        <is>
          <t>MCMV</t>
        </is>
      </c>
      <c r="E333" s="4" t="inlineStr">
        <is>
          <t>2022</t>
        </is>
      </c>
      <c r="F333" s="4" t="n">
        <v>0.6510891089108911</v>
      </c>
      <c r="G333" s="4" t="n"/>
      <c r="H333" s="4" t="n">
        <v>0.005</v>
      </c>
      <c r="I333" s="4">
        <f>IF(G333="","PENDENTE",IF(AND(ISNUMBER(F333),ISNUMBER(G333)),IF(ABS(G333-F333)&lt;=H333,"IGUAL","DIVERGENTE"),IF(TRIM(G333&amp;"")=TRIM(F333&amp;""),"IGUAL","DIVERGENTE")))</f>
        <v/>
      </c>
      <c r="J333" s="4" t="n"/>
    </row>
    <row r="334">
      <c r="A334" s="3" t="n">
        <v>25</v>
      </c>
      <c r="B334" s="3" t="inlineStr">
        <is>
          <t>UNIDADES VERTICAIS VENDIDAS POR PADRÃO</t>
        </is>
      </c>
      <c r="C334" s="3" t="inlineStr">
        <is>
          <t>Gráfico 1 / plot 1</t>
        </is>
      </c>
      <c r="D334" s="3" t="inlineStr">
        <is>
          <t>MCMV</t>
        </is>
      </c>
      <c r="E334" s="3" t="inlineStr">
        <is>
          <t>2023</t>
        </is>
      </c>
      <c r="F334" s="3" t="n">
        <v>0.5861357540746853</v>
      </c>
      <c r="G334" s="3" t="n"/>
      <c r="H334" s="3" t="n">
        <v>0.005</v>
      </c>
      <c r="I334" s="3">
        <f>IF(G334="","PENDENTE",IF(AND(ISNUMBER(F334),ISNUMBER(G334)),IF(ABS(G334-F334)&lt;=H334,"IGUAL","DIVERGENTE"),IF(TRIM(G334&amp;"")=TRIM(F334&amp;""),"IGUAL","DIVERGENTE")))</f>
        <v/>
      </c>
      <c r="J334" s="3" t="n"/>
    </row>
    <row r="335">
      <c r="A335" s="4" t="n">
        <v>25</v>
      </c>
      <c r="B335" s="4" t="inlineStr">
        <is>
          <t>UNIDADES VERTICAIS VENDIDAS POR PADRÃO</t>
        </is>
      </c>
      <c r="C335" s="4" t="inlineStr">
        <is>
          <t>Gráfico 1 / plot 1</t>
        </is>
      </c>
      <c r="D335" s="4" t="inlineStr">
        <is>
          <t>MCMV</t>
        </is>
      </c>
      <c r="E335" s="4" t="inlineStr">
        <is>
          <t>2024</t>
        </is>
      </c>
      <c r="F335" s="4" t="n">
        <v>0.5560058953574061</v>
      </c>
      <c r="G335" s="4" t="n"/>
      <c r="H335" s="4" t="n">
        <v>0.005</v>
      </c>
      <c r="I335" s="4">
        <f>IF(G335="","PENDENTE",IF(AND(ISNUMBER(F335),ISNUMBER(G335)),IF(ABS(G335-F335)&lt;=H335,"IGUAL","DIVERGENTE"),IF(TRIM(G335&amp;"")=TRIM(F335&amp;""),"IGUAL","DIVERGENTE")))</f>
        <v/>
      </c>
      <c r="J335" s="4" t="n"/>
    </row>
    <row r="336">
      <c r="A336" s="3" t="n">
        <v>25</v>
      </c>
      <c r="B336" s="3" t="inlineStr">
        <is>
          <t>UNIDADES VERTICAIS VENDIDAS POR PADRÃO</t>
        </is>
      </c>
      <c r="C336" s="3" t="inlineStr">
        <is>
          <t>Gráfico 1 / plot 1</t>
        </is>
      </c>
      <c r="D336" s="3" t="inlineStr">
        <is>
          <t>MCMV</t>
        </is>
      </c>
      <c r="E336" s="3" t="inlineStr">
        <is>
          <t>2025</t>
        </is>
      </c>
      <c r="F336" s="3" t="n">
        <v>0.6702323865732203</v>
      </c>
      <c r="G336" s="3" t="n"/>
      <c r="H336" s="3" t="n">
        <v>0.005</v>
      </c>
      <c r="I336" s="3">
        <f>IF(G336="","PENDENTE",IF(AND(ISNUMBER(F336),ISNUMBER(G336)),IF(ABS(G336-F336)&lt;=H336,"IGUAL","DIVERGENTE"),IF(TRIM(G336&amp;"")=TRIM(F336&amp;""),"IGUAL","DIVERGENTE")))</f>
        <v/>
      </c>
      <c r="J336" s="3" t="n"/>
    </row>
    <row r="337">
      <c r="A337" s="4" t="n">
        <v>25</v>
      </c>
      <c r="B337" s="4" t="inlineStr">
        <is>
          <t>UNIDADES VERTICAIS VENDIDAS POR PADRÃO</t>
        </is>
      </c>
      <c r="C337" s="4" t="inlineStr">
        <is>
          <t>Gráfico 1 / plot 1</t>
        </is>
      </c>
      <c r="D337" s="4" t="inlineStr">
        <is>
          <t>Compactos</t>
        </is>
      </c>
      <c r="E337" s="4" t="inlineStr">
        <is>
          <t>2020</t>
        </is>
      </c>
      <c r="F337" s="4" t="n">
        <v>0.0144474814525576</v>
      </c>
      <c r="G337" s="4" t="n"/>
      <c r="H337" s="4" t="n">
        <v>0.005</v>
      </c>
      <c r="I337" s="4">
        <f>IF(G337="","PENDENTE",IF(AND(ISNUMBER(F337),ISNUMBER(G337)),IF(ABS(G337-F337)&lt;=H337,"IGUAL","DIVERGENTE"),IF(TRIM(G337&amp;"")=TRIM(F337&amp;""),"IGUAL","DIVERGENTE")))</f>
        <v/>
      </c>
      <c r="J337" s="4" t="n"/>
    </row>
    <row r="338">
      <c r="A338" s="3" t="n">
        <v>25</v>
      </c>
      <c r="B338" s="3" t="inlineStr">
        <is>
          <t>UNIDADES VERTICAIS VENDIDAS POR PADRÃO</t>
        </is>
      </c>
      <c r="C338" s="3" t="inlineStr">
        <is>
          <t>Gráfico 1 / plot 1</t>
        </is>
      </c>
      <c r="D338" s="3" t="inlineStr">
        <is>
          <t>Compactos</t>
        </is>
      </c>
      <c r="E338" s="3" t="inlineStr">
        <is>
          <t>2021</t>
        </is>
      </c>
      <c r="F338" s="3" t="n">
        <v>0.01989869753979739</v>
      </c>
      <c r="G338" s="3" t="n"/>
      <c r="H338" s="3" t="n">
        <v>0.005</v>
      </c>
      <c r="I338" s="3">
        <f>IF(G338="","PENDENTE",IF(AND(ISNUMBER(F338),ISNUMBER(G338)),IF(ABS(G338-F338)&lt;=H338,"IGUAL","DIVERGENTE"),IF(TRIM(G338&amp;"")=TRIM(F338&amp;""),"IGUAL","DIVERGENTE")))</f>
        <v/>
      </c>
      <c r="J338" s="3" t="n"/>
    </row>
    <row r="339">
      <c r="A339" s="4" t="n">
        <v>25</v>
      </c>
      <c r="B339" s="4" t="inlineStr">
        <is>
          <t>UNIDADES VERTICAIS VENDIDAS POR PADRÃO</t>
        </is>
      </c>
      <c r="C339" s="4" t="inlineStr">
        <is>
          <t>Gráfico 1 / plot 1</t>
        </is>
      </c>
      <c r="D339" s="4" t="inlineStr">
        <is>
          <t>Compactos</t>
        </is>
      </c>
      <c r="E339" s="4" t="inlineStr">
        <is>
          <t>2022</t>
        </is>
      </c>
      <c r="F339" s="4" t="n">
        <v>0.05504950495049505</v>
      </c>
      <c r="G339" s="4" t="n"/>
      <c r="H339" s="4" t="n">
        <v>0.005</v>
      </c>
      <c r="I339" s="4">
        <f>IF(G339="","PENDENTE",IF(AND(ISNUMBER(F339),ISNUMBER(G339)),IF(ABS(G339-F339)&lt;=H339,"IGUAL","DIVERGENTE"),IF(TRIM(G339&amp;"")=TRIM(F339&amp;""),"IGUAL","DIVERGENTE")))</f>
        <v/>
      </c>
      <c r="J339" s="4" t="n"/>
    </row>
    <row r="340">
      <c r="A340" s="3" t="n">
        <v>25</v>
      </c>
      <c r="B340" s="3" t="inlineStr">
        <is>
          <t>UNIDADES VERTICAIS VENDIDAS POR PADRÃO</t>
        </is>
      </c>
      <c r="C340" s="3" t="inlineStr">
        <is>
          <t>Gráfico 1 / plot 1</t>
        </is>
      </c>
      <c r="D340" s="3" t="inlineStr">
        <is>
          <t>Compactos</t>
        </is>
      </c>
      <c r="E340" s="3" t="inlineStr">
        <is>
          <t>2023</t>
        </is>
      </c>
      <c r="F340" s="3" t="n">
        <v>0.06457602640808748</v>
      </c>
      <c r="G340" s="3" t="n"/>
      <c r="H340" s="3" t="n">
        <v>0.005</v>
      </c>
      <c r="I340" s="3">
        <f>IF(G340="","PENDENTE",IF(AND(ISNUMBER(F340),ISNUMBER(G340)),IF(ABS(G340-F340)&lt;=H340,"IGUAL","DIVERGENTE"),IF(TRIM(G340&amp;"")=TRIM(F340&amp;""),"IGUAL","DIVERGENTE")))</f>
        <v/>
      </c>
      <c r="J340" s="3" t="n"/>
    </row>
    <row r="341">
      <c r="A341" s="4" t="n">
        <v>25</v>
      </c>
      <c r="B341" s="4" t="inlineStr">
        <is>
          <t>UNIDADES VERTICAIS VENDIDAS POR PADRÃO</t>
        </is>
      </c>
      <c r="C341" s="4" t="inlineStr">
        <is>
          <t>Gráfico 1 / plot 1</t>
        </is>
      </c>
      <c r="D341" s="4" t="inlineStr">
        <is>
          <t>Compactos</t>
        </is>
      </c>
      <c r="E341" s="4" t="inlineStr">
        <is>
          <t>2024</t>
        </is>
      </c>
      <c r="F341" s="4" t="n">
        <v>0.04624170965364775</v>
      </c>
      <c r="G341" s="4" t="n"/>
      <c r="H341" s="4" t="n">
        <v>0.005</v>
      </c>
      <c r="I341" s="4">
        <f>IF(G341="","PENDENTE",IF(AND(ISNUMBER(F341),ISNUMBER(G341)),IF(ABS(G341-F341)&lt;=H341,"IGUAL","DIVERGENTE"),IF(TRIM(G341&amp;"")=TRIM(F341&amp;""),"IGUAL","DIVERGENTE")))</f>
        <v/>
      </c>
      <c r="J341" s="4" t="n"/>
    </row>
    <row r="342">
      <c r="A342" s="3" t="n">
        <v>25</v>
      </c>
      <c r="B342" s="3" t="inlineStr">
        <is>
          <t>UNIDADES VERTICAIS VENDIDAS POR PADRÃO</t>
        </is>
      </c>
      <c r="C342" s="3" t="inlineStr">
        <is>
          <t>Gráfico 1 / plot 1</t>
        </is>
      </c>
      <c r="D342" s="3" t="inlineStr">
        <is>
          <t>Compactos</t>
        </is>
      </c>
      <c r="E342" s="3" t="inlineStr">
        <is>
          <t>2025</t>
        </is>
      </c>
      <c r="F342" s="3" t="n">
        <v>0.04260420509037256</v>
      </c>
      <c r="G342" s="3" t="n"/>
      <c r="H342" s="3" t="n">
        <v>0.005</v>
      </c>
      <c r="I342" s="3">
        <f>IF(G342="","PENDENTE",IF(AND(ISNUMBER(F342),ISNUMBER(G342)),IF(ABS(G342-F342)&lt;=H342,"IGUAL","DIVERGENTE"),IF(TRIM(G342&amp;"")=TRIM(F342&amp;""),"IGUAL","DIVERGENTE")))</f>
        <v/>
      </c>
      <c r="J342" s="3" t="n"/>
    </row>
    <row r="343">
      <c r="A343" s="4" t="n">
        <v>26</v>
      </c>
      <c r="B343" s="4" t="inlineStr">
        <is>
          <t>UNIDADES VERTICAIS VENDIDAS ACUMULADO 12 MESES</t>
        </is>
      </c>
      <c r="C343" s="4" t="inlineStr">
        <is>
          <t>Gráfico 1 / plot 1</t>
        </is>
      </c>
      <c r="D343" s="4" t="inlineStr">
        <is>
          <t>RM de Porto Alegre</t>
        </is>
      </c>
      <c r="E343" s="4" t="inlineStr">
        <is>
          <t>4T/2021</t>
        </is>
      </c>
      <c r="F343" s="4" t="n">
        <v>5528</v>
      </c>
      <c r="G343" s="4" t="n"/>
      <c r="H343" s="4" t="n">
        <v>0</v>
      </c>
      <c r="I343" s="4">
        <f>IF(G343="","PENDENTE",IF(AND(ISNUMBER(F343),ISNUMBER(G343)),IF(ABS(G343-F343)&lt;=H343,"IGUAL","DIVERGENTE"),IF(TRIM(G343&amp;"")=TRIM(F343&amp;""),"IGUAL","DIVERGENTE")))</f>
        <v/>
      </c>
      <c r="J343" s="4" t="n"/>
    </row>
    <row r="344">
      <c r="A344" s="3" t="n">
        <v>26</v>
      </c>
      <c r="B344" s="3" t="inlineStr">
        <is>
          <t>UNIDADES VERTICAIS VENDIDAS ACUMULADO 12 MESES</t>
        </is>
      </c>
      <c r="C344" s="3" t="inlineStr">
        <is>
          <t>Gráfico 1 / plot 1</t>
        </is>
      </c>
      <c r="D344" s="3" t="inlineStr">
        <is>
          <t>RM de Porto Alegre</t>
        </is>
      </c>
      <c r="E344" s="3" t="inlineStr">
        <is>
          <t>1T/2022</t>
        </is>
      </c>
      <c r="F344" s="3" t="n">
        <v>5318</v>
      </c>
      <c r="G344" s="3" t="n"/>
      <c r="H344" s="3" t="n">
        <v>0</v>
      </c>
      <c r="I344" s="3">
        <f>IF(G344="","PENDENTE",IF(AND(ISNUMBER(F344),ISNUMBER(G344)),IF(ABS(G344-F344)&lt;=H344,"IGUAL","DIVERGENTE"),IF(TRIM(G344&amp;"")=TRIM(F344&amp;""),"IGUAL","DIVERGENTE")))</f>
        <v/>
      </c>
      <c r="J344" s="3" t="n"/>
    </row>
    <row r="345">
      <c r="A345" s="4" t="n">
        <v>26</v>
      </c>
      <c r="B345" s="4" t="inlineStr">
        <is>
          <t>UNIDADES VERTICAIS VENDIDAS ACUMULADO 12 MESES</t>
        </is>
      </c>
      <c r="C345" s="4" t="inlineStr">
        <is>
          <t>Gráfico 1 / plot 1</t>
        </is>
      </c>
      <c r="D345" s="4" t="inlineStr">
        <is>
          <t>RM de Porto Alegre</t>
        </is>
      </c>
      <c r="E345" s="4" t="inlineStr">
        <is>
          <t>2T/2022</t>
        </is>
      </c>
      <c r="F345" s="4" t="n">
        <v>5425</v>
      </c>
      <c r="G345" s="4" t="n"/>
      <c r="H345" s="4" t="n">
        <v>0</v>
      </c>
      <c r="I345" s="4">
        <f>IF(G345="","PENDENTE",IF(AND(ISNUMBER(F345),ISNUMBER(G345)),IF(ABS(G345-F345)&lt;=H345,"IGUAL","DIVERGENTE"),IF(TRIM(G345&amp;"")=TRIM(F345&amp;""),"IGUAL","DIVERGENTE")))</f>
        <v/>
      </c>
      <c r="J345" s="4" t="n"/>
    </row>
    <row r="346">
      <c r="A346" s="3" t="n">
        <v>26</v>
      </c>
      <c r="B346" s="3" t="inlineStr">
        <is>
          <t>UNIDADES VERTICAIS VENDIDAS ACUMULADO 12 MESES</t>
        </is>
      </c>
      <c r="C346" s="3" t="inlineStr">
        <is>
          <t>Gráfico 1 / plot 1</t>
        </is>
      </c>
      <c r="D346" s="3" t="inlineStr">
        <is>
          <t>RM de Porto Alegre</t>
        </is>
      </c>
      <c r="E346" s="3" t="inlineStr">
        <is>
          <t>3T/2022</t>
        </is>
      </c>
      <c r="F346" s="3" t="n">
        <v>5274</v>
      </c>
      <c r="G346" s="3" t="n"/>
      <c r="H346" s="3" t="n">
        <v>0</v>
      </c>
      <c r="I346" s="3">
        <f>IF(G346="","PENDENTE",IF(AND(ISNUMBER(F346),ISNUMBER(G346)),IF(ABS(G346-F346)&lt;=H346,"IGUAL","DIVERGENTE"),IF(TRIM(G346&amp;"")=TRIM(F346&amp;""),"IGUAL","DIVERGENTE")))</f>
        <v/>
      </c>
      <c r="J346" s="3" t="n"/>
    </row>
    <row r="347">
      <c r="A347" s="4" t="n">
        <v>26</v>
      </c>
      <c r="B347" s="4" t="inlineStr">
        <is>
          <t>UNIDADES VERTICAIS VENDIDAS ACUMULADO 12 MESES</t>
        </is>
      </c>
      <c r="C347" s="4" t="inlineStr">
        <is>
          <t>Gráfico 1 / plot 1</t>
        </is>
      </c>
      <c r="D347" s="4" t="inlineStr">
        <is>
          <t>RM de Porto Alegre</t>
        </is>
      </c>
      <c r="E347" s="4" t="inlineStr">
        <is>
          <t>4T/2022</t>
        </is>
      </c>
      <c r="F347" s="4" t="n">
        <v>5050</v>
      </c>
      <c r="G347" s="4" t="n"/>
      <c r="H347" s="4" t="n">
        <v>0</v>
      </c>
      <c r="I347" s="4">
        <f>IF(G347="","PENDENTE",IF(AND(ISNUMBER(F347),ISNUMBER(G347)),IF(ABS(G347-F347)&lt;=H347,"IGUAL","DIVERGENTE"),IF(TRIM(G347&amp;"")=TRIM(F347&amp;""),"IGUAL","DIVERGENTE")))</f>
        <v/>
      </c>
      <c r="J347" s="4" t="n"/>
    </row>
    <row r="348">
      <c r="A348" s="3" t="n">
        <v>26</v>
      </c>
      <c r="B348" s="3" t="inlineStr">
        <is>
          <t>UNIDADES VERTICAIS VENDIDAS ACUMULADO 12 MESES</t>
        </is>
      </c>
      <c r="C348" s="3" t="inlineStr">
        <is>
          <t>Gráfico 1 / plot 1</t>
        </is>
      </c>
      <c r="D348" s="3" t="inlineStr">
        <is>
          <t>RM de Porto Alegre</t>
        </is>
      </c>
      <c r="E348" s="3" t="inlineStr">
        <is>
          <t>1T/2023</t>
        </is>
      </c>
      <c r="F348" s="3" t="n">
        <v>4947</v>
      </c>
      <c r="G348" s="3" t="n"/>
      <c r="H348" s="3" t="n">
        <v>0</v>
      </c>
      <c r="I348" s="3">
        <f>IF(G348="","PENDENTE",IF(AND(ISNUMBER(F348),ISNUMBER(G348)),IF(ABS(G348-F348)&lt;=H348,"IGUAL","DIVERGENTE"),IF(TRIM(G348&amp;"")=TRIM(F348&amp;""),"IGUAL","DIVERGENTE")))</f>
        <v/>
      </c>
      <c r="J348" s="3" t="n"/>
    </row>
    <row r="349">
      <c r="A349" s="4" t="n">
        <v>26</v>
      </c>
      <c r="B349" s="4" t="inlineStr">
        <is>
          <t>UNIDADES VERTICAIS VENDIDAS ACUMULADO 12 MESES</t>
        </is>
      </c>
      <c r="C349" s="4" t="inlineStr">
        <is>
          <t>Gráfico 1 / plot 1</t>
        </is>
      </c>
      <c r="D349" s="4" t="inlineStr">
        <is>
          <t>RM de Porto Alegre</t>
        </is>
      </c>
      <c r="E349" s="4" t="inlineStr">
        <is>
          <t>2T/2023</t>
        </is>
      </c>
      <c r="F349" s="4" t="n">
        <v>4778</v>
      </c>
      <c r="G349" s="4" t="n"/>
      <c r="H349" s="4" t="n">
        <v>0</v>
      </c>
      <c r="I349" s="4">
        <f>IF(G349="","PENDENTE",IF(AND(ISNUMBER(F349),ISNUMBER(G349)),IF(ABS(G349-F349)&lt;=H349,"IGUAL","DIVERGENTE"),IF(TRIM(G349&amp;"")=TRIM(F349&amp;""),"IGUAL","DIVERGENTE")))</f>
        <v/>
      </c>
      <c r="J349" s="4" t="n"/>
    </row>
    <row r="350">
      <c r="A350" s="3" t="n">
        <v>26</v>
      </c>
      <c r="B350" s="3" t="inlineStr">
        <is>
          <t>UNIDADES VERTICAIS VENDIDAS ACUMULADO 12 MESES</t>
        </is>
      </c>
      <c r="C350" s="3" t="inlineStr">
        <is>
          <t>Gráfico 1 / plot 1</t>
        </is>
      </c>
      <c r="D350" s="3" t="inlineStr">
        <is>
          <t>RM de Porto Alegre</t>
        </is>
      </c>
      <c r="E350" s="3" t="inlineStr">
        <is>
          <t>3T/2023</t>
        </is>
      </c>
      <c r="F350" s="3" t="n">
        <v>4823</v>
      </c>
      <c r="G350" s="3" t="n"/>
      <c r="H350" s="3" t="n">
        <v>0</v>
      </c>
      <c r="I350" s="3">
        <f>IF(G350="","PENDENTE",IF(AND(ISNUMBER(F350),ISNUMBER(G350)),IF(ABS(G350-F350)&lt;=H350,"IGUAL","DIVERGENTE"),IF(TRIM(G350&amp;"")=TRIM(F350&amp;""),"IGUAL","DIVERGENTE")))</f>
        <v/>
      </c>
      <c r="J350" s="3" t="n"/>
    </row>
    <row r="351">
      <c r="A351" s="4" t="n">
        <v>26</v>
      </c>
      <c r="B351" s="4" t="inlineStr">
        <is>
          <t>UNIDADES VERTICAIS VENDIDAS ACUMULADO 12 MESES</t>
        </is>
      </c>
      <c r="C351" s="4" t="inlineStr">
        <is>
          <t>Gráfico 1 / plot 1</t>
        </is>
      </c>
      <c r="D351" s="4" t="inlineStr">
        <is>
          <t>RM de Porto Alegre</t>
        </is>
      </c>
      <c r="E351" s="4" t="inlineStr">
        <is>
          <t>4T/2023</t>
        </is>
      </c>
      <c r="F351" s="4" t="n">
        <v>4847</v>
      </c>
      <c r="G351" s="4" t="n"/>
      <c r="H351" s="4" t="n">
        <v>0</v>
      </c>
      <c r="I351" s="4">
        <f>IF(G351="","PENDENTE",IF(AND(ISNUMBER(F351),ISNUMBER(G351)),IF(ABS(G351-F351)&lt;=H351,"IGUAL","DIVERGENTE"),IF(TRIM(G351&amp;"")=TRIM(F351&amp;""),"IGUAL","DIVERGENTE")))</f>
        <v/>
      </c>
      <c r="J351" s="4" t="n"/>
    </row>
    <row r="352">
      <c r="A352" s="3" t="n">
        <v>26</v>
      </c>
      <c r="B352" s="3" t="inlineStr">
        <is>
          <t>UNIDADES VERTICAIS VENDIDAS ACUMULADO 12 MESES</t>
        </is>
      </c>
      <c r="C352" s="3" t="inlineStr">
        <is>
          <t>Gráfico 1 / plot 1</t>
        </is>
      </c>
      <c r="D352" s="3" t="inlineStr">
        <is>
          <t>RM de Porto Alegre</t>
        </is>
      </c>
      <c r="E352" s="3" t="inlineStr">
        <is>
          <t>1T/2024</t>
        </is>
      </c>
      <c r="F352" s="3" t="n">
        <v>4819</v>
      </c>
      <c r="G352" s="3" t="n"/>
      <c r="H352" s="3" t="n">
        <v>0</v>
      </c>
      <c r="I352" s="3">
        <f>IF(G352="","PENDENTE",IF(AND(ISNUMBER(F352),ISNUMBER(G352)),IF(ABS(G352-F352)&lt;=H352,"IGUAL","DIVERGENTE"),IF(TRIM(G352&amp;"")=TRIM(F352&amp;""),"IGUAL","DIVERGENTE")))</f>
        <v/>
      </c>
      <c r="J352" s="3" t="n"/>
    </row>
    <row r="353">
      <c r="A353" s="4" t="n">
        <v>26</v>
      </c>
      <c r="B353" s="4" t="inlineStr">
        <is>
          <t>UNIDADES VERTICAIS VENDIDAS ACUMULADO 12 MESES</t>
        </is>
      </c>
      <c r="C353" s="4" t="inlineStr">
        <is>
          <t>Gráfico 1 / plot 1</t>
        </is>
      </c>
      <c r="D353" s="4" t="inlineStr">
        <is>
          <t>RM de Porto Alegre</t>
        </is>
      </c>
      <c r="E353" s="4" t="inlineStr">
        <is>
          <t>2T/2024</t>
        </is>
      </c>
      <c r="F353" s="4" t="n">
        <v>5002</v>
      </c>
      <c r="G353" s="4" t="n"/>
      <c r="H353" s="4" t="n">
        <v>0</v>
      </c>
      <c r="I353" s="4">
        <f>IF(G353="","PENDENTE",IF(AND(ISNUMBER(F353),ISNUMBER(G353)),IF(ABS(G353-F353)&lt;=H353,"IGUAL","DIVERGENTE"),IF(TRIM(G353&amp;"")=TRIM(F353&amp;""),"IGUAL","DIVERGENTE")))</f>
        <v/>
      </c>
      <c r="J353" s="4" t="n"/>
    </row>
    <row r="354">
      <c r="A354" s="3" t="n">
        <v>26</v>
      </c>
      <c r="B354" s="3" t="inlineStr">
        <is>
          <t>UNIDADES VERTICAIS VENDIDAS ACUMULADO 12 MESES</t>
        </is>
      </c>
      <c r="C354" s="3" t="inlineStr">
        <is>
          <t>Gráfico 1 / plot 1</t>
        </is>
      </c>
      <c r="D354" s="3" t="inlineStr">
        <is>
          <t>RM de Porto Alegre</t>
        </is>
      </c>
      <c r="E354" s="3" t="inlineStr">
        <is>
          <t>3T/2024</t>
        </is>
      </c>
      <c r="F354" s="3" t="n">
        <v>5309</v>
      </c>
      <c r="G354" s="3" t="n"/>
      <c r="H354" s="3" t="n">
        <v>0</v>
      </c>
      <c r="I354" s="3">
        <f>IF(G354="","PENDENTE",IF(AND(ISNUMBER(F354),ISNUMBER(G354)),IF(ABS(G354-F354)&lt;=H354,"IGUAL","DIVERGENTE"),IF(TRIM(G354&amp;"")=TRIM(F354&amp;""),"IGUAL","DIVERGENTE")))</f>
        <v/>
      </c>
      <c r="J354" s="3" t="n"/>
    </row>
    <row r="355">
      <c r="A355" s="4" t="n">
        <v>26</v>
      </c>
      <c r="B355" s="4" t="inlineStr">
        <is>
          <t>UNIDADES VERTICAIS VENDIDAS ACUMULADO 12 MESES</t>
        </is>
      </c>
      <c r="C355" s="4" t="inlineStr">
        <is>
          <t>Gráfico 1 / plot 1</t>
        </is>
      </c>
      <c r="D355" s="4" t="inlineStr">
        <is>
          <t>RM de Porto Alegre</t>
        </is>
      </c>
      <c r="E355" s="4" t="inlineStr">
        <is>
          <t>4T/2024</t>
        </is>
      </c>
      <c r="F355" s="4" t="n">
        <v>5428</v>
      </c>
      <c r="G355" s="4" t="n"/>
      <c r="H355" s="4" t="n">
        <v>0</v>
      </c>
      <c r="I355" s="4">
        <f>IF(G355="","PENDENTE",IF(AND(ISNUMBER(F355),ISNUMBER(G355)),IF(ABS(G355-F355)&lt;=H355,"IGUAL","DIVERGENTE"),IF(TRIM(G355&amp;"")=TRIM(F355&amp;""),"IGUAL","DIVERGENTE")))</f>
        <v/>
      </c>
      <c r="J355" s="4" t="n"/>
    </row>
    <row r="356">
      <c r="A356" s="3" t="n">
        <v>26</v>
      </c>
      <c r="B356" s="3" t="inlineStr">
        <is>
          <t>UNIDADES VERTICAIS VENDIDAS ACUMULADO 12 MESES</t>
        </is>
      </c>
      <c r="C356" s="3" t="inlineStr">
        <is>
          <t>Gráfico 1 / plot 1</t>
        </is>
      </c>
      <c r="D356" s="3" t="inlineStr">
        <is>
          <t>RM de Porto Alegre</t>
        </is>
      </c>
      <c r="E356" s="3" t="inlineStr">
        <is>
          <t>1T/2025</t>
        </is>
      </c>
      <c r="F356" s="3" t="n">
        <v>5817</v>
      </c>
      <c r="G356" s="3" t="n"/>
      <c r="H356" s="3" t="n">
        <v>0</v>
      </c>
      <c r="I356" s="3">
        <f>IF(G356="","PENDENTE",IF(AND(ISNUMBER(F356),ISNUMBER(G356)),IF(ABS(G356-F356)&lt;=H356,"IGUAL","DIVERGENTE"),IF(TRIM(G356&amp;"")=TRIM(F356&amp;""),"IGUAL","DIVERGENTE")))</f>
        <v/>
      </c>
      <c r="J356" s="3" t="n"/>
    </row>
    <row r="357">
      <c r="A357" s="4" t="n">
        <v>26</v>
      </c>
      <c r="B357" s="4" t="inlineStr">
        <is>
          <t>UNIDADES VERTICAIS VENDIDAS ACUMULADO 12 MESES</t>
        </is>
      </c>
      <c r="C357" s="4" t="inlineStr">
        <is>
          <t>Gráfico 1 / plot 1</t>
        </is>
      </c>
      <c r="D357" s="4" t="inlineStr">
        <is>
          <t>RM de Porto Alegre</t>
        </is>
      </c>
      <c r="E357" s="4" t="inlineStr">
        <is>
          <t>2T/2025</t>
        </is>
      </c>
      <c r="F357" s="4" t="n">
        <v>5798</v>
      </c>
      <c r="G357" s="4" t="n"/>
      <c r="H357" s="4" t="n">
        <v>0</v>
      </c>
      <c r="I357" s="4">
        <f>IF(G357="","PENDENTE",IF(AND(ISNUMBER(F357),ISNUMBER(G357)),IF(ABS(G357-F357)&lt;=H357,"IGUAL","DIVERGENTE"),IF(TRIM(G357&amp;"")=TRIM(F357&amp;""),"IGUAL","DIVERGENTE")))</f>
        <v/>
      </c>
      <c r="J357" s="4" t="n"/>
    </row>
    <row r="358">
      <c r="A358" s="3" t="n">
        <v>26</v>
      </c>
      <c r="B358" s="3" t="inlineStr">
        <is>
          <t>UNIDADES VERTICAIS VENDIDAS ACUMULADO 12 MESES</t>
        </is>
      </c>
      <c r="C358" s="3" t="inlineStr">
        <is>
          <t>Gráfico 1 / plot 1</t>
        </is>
      </c>
      <c r="D358" s="3" t="inlineStr">
        <is>
          <t>RM de Porto Alegre</t>
        </is>
      </c>
      <c r="E358" s="3" t="inlineStr">
        <is>
          <t>3T/2025</t>
        </is>
      </c>
      <c r="F358" s="3" t="n">
        <v>5308</v>
      </c>
      <c r="G358" s="3" t="n"/>
      <c r="H358" s="3" t="n">
        <v>0</v>
      </c>
      <c r="I358" s="3">
        <f>IF(G358="","PENDENTE",IF(AND(ISNUMBER(F358),ISNUMBER(G358)),IF(ABS(G358-F358)&lt;=H358,"IGUAL","DIVERGENTE"),IF(TRIM(G358&amp;"")=TRIM(F358&amp;""),"IGUAL","DIVERGENTE")))</f>
        <v/>
      </c>
      <c r="J358" s="3" t="n"/>
    </row>
    <row r="359">
      <c r="A359" s="4" t="n">
        <v>26</v>
      </c>
      <c r="B359" s="4" t="inlineStr">
        <is>
          <t>UNIDADES VERTICAIS VENDIDAS ACUMULADO 12 MESES</t>
        </is>
      </c>
      <c r="C359" s="4" t="inlineStr">
        <is>
          <t>Gráfico 1 / plot 1</t>
        </is>
      </c>
      <c r="D359" s="4" t="inlineStr">
        <is>
          <t>RM de Porto Alegre</t>
        </is>
      </c>
      <c r="E359" s="4" t="inlineStr">
        <is>
          <t>4T/2025</t>
        </is>
      </c>
      <c r="F359" s="4" t="n">
        <v>5422</v>
      </c>
      <c r="G359" s="4" t="n"/>
      <c r="H359" s="4" t="n">
        <v>0</v>
      </c>
      <c r="I359" s="4">
        <f>IF(G359="","PENDENTE",IF(AND(ISNUMBER(F359),ISNUMBER(G359)),IF(ABS(G359-F359)&lt;=H359,"IGUAL","DIVERGENTE"),IF(TRIM(G359&amp;"")=TRIM(F359&amp;""),"IGUAL","DIVERGENTE")))</f>
        <v/>
      </c>
      <c r="J359" s="4" t="n"/>
    </row>
    <row r="360">
      <c r="A360" s="3" t="n">
        <v>26</v>
      </c>
      <c r="B360" s="3" t="inlineStr">
        <is>
          <t>UNIDADES VERTICAIS VENDIDAS ACUMULADO 12 MESES</t>
        </is>
      </c>
      <c r="C360" s="3" t="inlineStr">
        <is>
          <t>Tabela 1</t>
        </is>
      </c>
      <c r="D360" s="3" t="inlineStr">
        <is>
          <t>4T21 x 4T22</t>
        </is>
      </c>
      <c r="E360" s="3" t="inlineStr">
        <is>
          <t>Coluna 2</t>
        </is>
      </c>
      <c r="F360" s="3" t="inlineStr">
        <is>
          <t>4T22 x 4T23</t>
        </is>
      </c>
      <c r="G360" s="3" t="n"/>
      <c r="H360" s="3" t="n"/>
      <c r="I360" s="3">
        <f>IF(G360="","PENDENTE",IF(AND(ISNUMBER(F360),ISNUMBER(G360)),IF(ABS(G360-F360)&lt;=H360,"IGUAL","DIVERGENTE"),IF(TRIM(G360&amp;"")=TRIM(F360&amp;""),"IGUAL","DIVERGENTE")))</f>
        <v/>
      </c>
      <c r="J360" s="3" t="n"/>
    </row>
    <row r="361">
      <c r="A361" s="4" t="n">
        <v>26</v>
      </c>
      <c r="B361" s="4" t="inlineStr">
        <is>
          <t>UNIDADES VERTICAIS VENDIDAS ACUMULADO 12 MESES</t>
        </is>
      </c>
      <c r="C361" s="4" t="inlineStr">
        <is>
          <t>Tabela 1</t>
        </is>
      </c>
      <c r="D361" s="4" t="inlineStr">
        <is>
          <t>4T21 x 4T22</t>
        </is>
      </c>
      <c r="E361" s="4" t="inlineStr">
        <is>
          <t>Coluna 3</t>
        </is>
      </c>
      <c r="F361" s="4" t="inlineStr">
        <is>
          <t>4T23 X 4T24</t>
        </is>
      </c>
      <c r="G361" s="4" t="n"/>
      <c r="H361" s="4" t="n"/>
      <c r="I361" s="4">
        <f>IF(G361="","PENDENTE",IF(AND(ISNUMBER(F361),ISNUMBER(G361)),IF(ABS(G361-F361)&lt;=H361,"IGUAL","DIVERGENTE"),IF(TRIM(G361&amp;"")=TRIM(F361&amp;""),"IGUAL","DIVERGENTE")))</f>
        <v/>
      </c>
      <c r="J361" s="4" t="n"/>
    </row>
    <row r="362">
      <c r="A362" s="3" t="n">
        <v>26</v>
      </c>
      <c r="B362" s="3" t="inlineStr">
        <is>
          <t>UNIDADES VERTICAIS VENDIDAS ACUMULADO 12 MESES</t>
        </is>
      </c>
      <c r="C362" s="3" t="inlineStr">
        <is>
          <t>Tabela 1</t>
        </is>
      </c>
      <c r="D362" s="3" t="inlineStr">
        <is>
          <t>4T21 x 4T22</t>
        </is>
      </c>
      <c r="E362" s="3" t="inlineStr">
        <is>
          <t>Coluna 4</t>
        </is>
      </c>
      <c r="F362" s="3" t="inlineStr">
        <is>
          <t>4T24 x 4T25</t>
        </is>
      </c>
      <c r="G362" s="3" t="n"/>
      <c r="H362" s="3" t="n"/>
      <c r="I362" s="3">
        <f>IF(G362="","PENDENTE",IF(AND(ISNUMBER(F362),ISNUMBER(G362)),IF(ABS(G362-F362)&lt;=H362,"IGUAL","DIVERGENTE"),IF(TRIM(G362&amp;"")=TRIM(F362&amp;""),"IGUAL","DIVERGENTE")))</f>
        <v/>
      </c>
      <c r="J362" s="3" t="n"/>
    </row>
    <row r="363">
      <c r="A363" s="4" t="n">
        <v>26</v>
      </c>
      <c r="B363" s="4" t="inlineStr">
        <is>
          <t>UNIDADES VERTICAIS VENDIDAS ACUMULADO 12 MESES</t>
        </is>
      </c>
      <c r="C363" s="4" t="inlineStr">
        <is>
          <t>Tabela 1</t>
        </is>
      </c>
      <c r="D363" s="4" t="inlineStr">
        <is>
          <t>-9%</t>
        </is>
      </c>
      <c r="E363" s="4" t="inlineStr">
        <is>
          <t>Coluna 2</t>
        </is>
      </c>
      <c r="F363" s="4" t="inlineStr">
        <is>
          <t>-4%</t>
        </is>
      </c>
      <c r="G363" s="4" t="n"/>
      <c r="H363" s="4" t="n"/>
      <c r="I363" s="4">
        <f>IF(G363="","PENDENTE",IF(AND(ISNUMBER(F363),ISNUMBER(G363)),IF(ABS(G363-F363)&lt;=H363,"IGUAL","DIVERGENTE"),IF(TRIM(G363&amp;"")=TRIM(F363&amp;""),"IGUAL","DIVERGENTE")))</f>
        <v/>
      </c>
      <c r="J363" s="4" t="n"/>
    </row>
    <row r="364">
      <c r="A364" s="3" t="n">
        <v>26</v>
      </c>
      <c r="B364" s="3" t="inlineStr">
        <is>
          <t>UNIDADES VERTICAIS VENDIDAS ACUMULADO 12 MESES</t>
        </is>
      </c>
      <c r="C364" s="3" t="inlineStr">
        <is>
          <t>Tabela 1</t>
        </is>
      </c>
      <c r="D364" s="3" t="inlineStr">
        <is>
          <t>-9%</t>
        </is>
      </c>
      <c r="E364" s="3" t="inlineStr">
        <is>
          <t>Coluna 3</t>
        </is>
      </c>
      <c r="F364" s="3" t="inlineStr">
        <is>
          <t>+12%</t>
        </is>
      </c>
      <c r="G364" s="3" t="n"/>
      <c r="H364" s="3" t="n"/>
      <c r="I364" s="3">
        <f>IF(G364="","PENDENTE",IF(AND(ISNUMBER(F364),ISNUMBER(G364)),IF(ABS(G364-F364)&lt;=H364,"IGUAL","DIVERGENTE"),IF(TRIM(G364&amp;"")=TRIM(F364&amp;""),"IGUAL","DIVERGENTE")))</f>
        <v/>
      </c>
      <c r="J364" s="3" t="n"/>
    </row>
    <row r="365">
      <c r="A365" s="4" t="n">
        <v>26</v>
      </c>
      <c r="B365" s="4" t="inlineStr">
        <is>
          <t>UNIDADES VERTICAIS VENDIDAS ACUMULADO 12 MESES</t>
        </is>
      </c>
      <c r="C365" s="4" t="inlineStr">
        <is>
          <t>Tabela 1</t>
        </is>
      </c>
      <c r="D365" s="4" t="inlineStr">
        <is>
          <t>-9%</t>
        </is>
      </c>
      <c r="E365" s="4" t="inlineStr">
        <is>
          <t>Coluna 4</t>
        </is>
      </c>
      <c r="F365" s="4" t="inlineStr">
        <is>
          <t>-0,1%</t>
        </is>
      </c>
      <c r="G365" s="4" t="n"/>
      <c r="H365" s="4" t="n"/>
      <c r="I365" s="4">
        <f>IF(G365="","PENDENTE",IF(AND(ISNUMBER(F365),ISNUMBER(G365)),IF(ABS(G365-F365)&lt;=H365,"IGUAL","DIVERGENTE"),IF(TRIM(G365&amp;"")=TRIM(F365&amp;""),"IGUAL","DIVERGENTE")))</f>
        <v/>
      </c>
      <c r="J365" s="4" t="n"/>
    </row>
    <row r="366">
      <c r="A366" s="3" t="n">
        <v>27</v>
      </c>
      <c r="B366" s="3" t="inlineStr">
        <is>
          <t>UNIDADES VERTICAIS VENDIDAS POR TRIMESTRE</t>
        </is>
      </c>
      <c r="C366" s="3" t="inlineStr">
        <is>
          <t>Gráfico 1 / plot 1</t>
        </is>
      </c>
      <c r="D366" s="3" t="inlineStr">
        <is>
          <t>RM de Porto Alegre</t>
        </is>
      </c>
      <c r="E366" s="3" t="inlineStr">
        <is>
          <t>1S 2025</t>
        </is>
      </c>
      <c r="F366" s="3" t="n">
        <v>1774</v>
      </c>
      <c r="G366" s="3" t="n"/>
      <c r="H366" s="3" t="n">
        <v>0</v>
      </c>
      <c r="I366" s="3">
        <f>IF(G366="","PENDENTE",IF(AND(ISNUMBER(F366),ISNUMBER(G366)),IF(ABS(G366-F366)&lt;=H366,"IGUAL","DIVERGENTE"),IF(TRIM(G366&amp;"")=TRIM(F366&amp;""),"IGUAL","DIVERGENTE")))</f>
        <v/>
      </c>
      <c r="J366" s="3" t="n"/>
    </row>
    <row r="367">
      <c r="A367" s="4" t="n">
        <v>27</v>
      </c>
      <c r="B367" s="4" t="inlineStr">
        <is>
          <t>UNIDADES VERTICAIS VENDIDAS POR TRIMESTRE</t>
        </is>
      </c>
      <c r="C367" s="4" t="inlineStr">
        <is>
          <t>Gráfico 1 / plot 1</t>
        </is>
      </c>
      <c r="D367" s="4" t="inlineStr">
        <is>
          <t>RM de Porto Alegre</t>
        </is>
      </c>
      <c r="E367" s="4" t="inlineStr">
        <is>
          <t>2S 2025</t>
        </is>
      </c>
      <c r="F367" s="4" t="n">
        <v>1860</v>
      </c>
      <c r="G367" s="4" t="n"/>
      <c r="H367" s="4" t="n">
        <v>0</v>
      </c>
      <c r="I367" s="4">
        <f>IF(G367="","PENDENTE",IF(AND(ISNUMBER(F367),ISNUMBER(G367)),IF(ABS(G367-F367)&lt;=H367,"IGUAL","DIVERGENTE"),IF(TRIM(G367&amp;"")=TRIM(F367&amp;""),"IGUAL","DIVERGENTE")))</f>
        <v/>
      </c>
      <c r="J367" s="4" t="n"/>
    </row>
    <row r="368">
      <c r="A368" s="3" t="n">
        <v>27</v>
      </c>
      <c r="B368" s="3" t="inlineStr">
        <is>
          <t>UNIDADES VERTICAIS VENDIDAS POR TRIMESTRE</t>
        </is>
      </c>
      <c r="C368" s="3" t="inlineStr">
        <is>
          <t>Gráfico 2 / plot 1</t>
        </is>
      </c>
      <c r="D368" s="3" t="inlineStr">
        <is>
          <t>RM de Porto Alegre</t>
        </is>
      </c>
      <c r="E368" s="3" t="inlineStr">
        <is>
          <t>4T/21</t>
        </is>
      </c>
      <c r="F368" s="3" t="n">
        <v>1016</v>
      </c>
      <c r="G368" s="3" t="n"/>
      <c r="H368" s="3" t="n">
        <v>0</v>
      </c>
      <c r="I368" s="3">
        <f>IF(G368="","PENDENTE",IF(AND(ISNUMBER(F368),ISNUMBER(G368)),IF(ABS(G368-F368)&lt;=H368,"IGUAL","DIVERGENTE"),IF(TRIM(G368&amp;"")=TRIM(F368&amp;""),"IGUAL","DIVERGENTE")))</f>
        <v/>
      </c>
      <c r="J368" s="3" t="n"/>
    </row>
    <row r="369">
      <c r="A369" s="4" t="n">
        <v>27</v>
      </c>
      <c r="B369" s="4" t="inlineStr">
        <is>
          <t>UNIDADES VERTICAIS VENDIDAS POR TRIMESTRE</t>
        </is>
      </c>
      <c r="C369" s="4" t="inlineStr">
        <is>
          <t>Gráfico 2 / plot 1</t>
        </is>
      </c>
      <c r="D369" s="4" t="inlineStr">
        <is>
          <t>RM de Porto Alegre</t>
        </is>
      </c>
      <c r="E369" s="4" t="inlineStr">
        <is>
          <t>1T/22</t>
        </is>
      </c>
      <c r="F369" s="4" t="n">
        <v>1081</v>
      </c>
      <c r="G369" s="4" t="n"/>
      <c r="H369" s="4" t="n">
        <v>0</v>
      </c>
      <c r="I369" s="4">
        <f>IF(G369="","PENDENTE",IF(AND(ISNUMBER(F369),ISNUMBER(G369)),IF(ABS(G369-F369)&lt;=H369,"IGUAL","DIVERGENTE"),IF(TRIM(G369&amp;"")=TRIM(F369&amp;""),"IGUAL","DIVERGENTE")))</f>
        <v/>
      </c>
      <c r="J369" s="4" t="n"/>
    </row>
    <row r="370">
      <c r="A370" s="3" t="n">
        <v>27</v>
      </c>
      <c r="B370" s="3" t="inlineStr">
        <is>
          <t>UNIDADES VERTICAIS VENDIDAS POR TRIMESTRE</t>
        </is>
      </c>
      <c r="C370" s="3" t="inlineStr">
        <is>
          <t>Gráfico 2 / plot 1</t>
        </is>
      </c>
      <c r="D370" s="3" t="inlineStr">
        <is>
          <t>RM de Porto Alegre</t>
        </is>
      </c>
      <c r="E370" s="3" t="inlineStr">
        <is>
          <t>2T/22</t>
        </is>
      </c>
      <c r="F370" s="3" t="n">
        <v>860</v>
      </c>
      <c r="G370" s="3" t="n"/>
      <c r="H370" s="3" t="n">
        <v>0</v>
      </c>
      <c r="I370" s="3">
        <f>IF(G370="","PENDENTE",IF(AND(ISNUMBER(F370),ISNUMBER(G370)),IF(ABS(G370-F370)&lt;=H370,"IGUAL","DIVERGENTE"),IF(TRIM(G370&amp;"")=TRIM(F370&amp;""),"IGUAL","DIVERGENTE")))</f>
        <v/>
      </c>
      <c r="J370" s="3" t="n"/>
    </row>
    <row r="371">
      <c r="A371" s="4" t="n">
        <v>27</v>
      </c>
      <c r="B371" s="4" t="inlineStr">
        <is>
          <t>UNIDADES VERTICAIS VENDIDAS POR TRIMESTRE</t>
        </is>
      </c>
      <c r="C371" s="4" t="inlineStr">
        <is>
          <t>Gráfico 2 / plot 1</t>
        </is>
      </c>
      <c r="D371" s="4" t="inlineStr">
        <is>
          <t>RM de Porto Alegre</t>
        </is>
      </c>
      <c r="E371" s="4" t="inlineStr">
        <is>
          <t>3T/22</t>
        </is>
      </c>
      <c r="F371" s="4" t="n">
        <v>682</v>
      </c>
      <c r="G371" s="4" t="n"/>
      <c r="H371" s="4" t="n">
        <v>0</v>
      </c>
      <c r="I371" s="4">
        <f>IF(G371="","PENDENTE",IF(AND(ISNUMBER(F371),ISNUMBER(G371)),IF(ABS(G371-F371)&lt;=H371,"IGUAL","DIVERGENTE"),IF(TRIM(G371&amp;"")=TRIM(F371&amp;""),"IGUAL","DIVERGENTE")))</f>
        <v/>
      </c>
      <c r="J371" s="4" t="n"/>
    </row>
    <row r="372">
      <c r="A372" s="3" t="n">
        <v>27</v>
      </c>
      <c r="B372" s="3" t="inlineStr">
        <is>
          <t>UNIDADES VERTICAIS VENDIDAS POR TRIMESTRE</t>
        </is>
      </c>
      <c r="C372" s="3" t="inlineStr">
        <is>
          <t>Gráfico 2 / plot 1</t>
        </is>
      </c>
      <c r="D372" s="3" t="inlineStr">
        <is>
          <t>RM de Porto Alegre</t>
        </is>
      </c>
      <c r="E372" s="3" t="inlineStr">
        <is>
          <t>4T/22</t>
        </is>
      </c>
      <c r="F372" s="3" t="n">
        <v>665</v>
      </c>
      <c r="G372" s="3" t="n"/>
      <c r="H372" s="3" t="n">
        <v>0</v>
      </c>
      <c r="I372" s="3">
        <f>IF(G372="","PENDENTE",IF(AND(ISNUMBER(F372),ISNUMBER(G372)),IF(ABS(G372-F372)&lt;=H372,"IGUAL","DIVERGENTE"),IF(TRIM(G372&amp;"")=TRIM(F372&amp;""),"IGUAL","DIVERGENTE")))</f>
        <v/>
      </c>
      <c r="J372" s="3" t="n"/>
    </row>
    <row r="373">
      <c r="A373" s="4" t="n">
        <v>27</v>
      </c>
      <c r="B373" s="4" t="inlineStr">
        <is>
          <t>UNIDADES VERTICAIS VENDIDAS POR TRIMESTRE</t>
        </is>
      </c>
      <c r="C373" s="4" t="inlineStr">
        <is>
          <t>Gráfico 2 / plot 1</t>
        </is>
      </c>
      <c r="D373" s="4" t="inlineStr">
        <is>
          <t>RM de Porto Alegre</t>
        </is>
      </c>
      <c r="E373" s="4" t="inlineStr">
        <is>
          <t>1T/23</t>
        </is>
      </c>
      <c r="F373" s="4" t="n">
        <v>925</v>
      </c>
      <c r="G373" s="4" t="n"/>
      <c r="H373" s="4" t="n">
        <v>0</v>
      </c>
      <c r="I373" s="4">
        <f>IF(G373="","PENDENTE",IF(AND(ISNUMBER(F373),ISNUMBER(G373)),IF(ABS(G373-F373)&lt;=H373,"IGUAL","DIVERGENTE"),IF(TRIM(G373&amp;"")=TRIM(F373&amp;""),"IGUAL","DIVERGENTE")))</f>
        <v/>
      </c>
      <c r="J373" s="4" t="n"/>
    </row>
    <row r="374">
      <c r="A374" s="3" t="n">
        <v>27</v>
      </c>
      <c r="B374" s="3" t="inlineStr">
        <is>
          <t>UNIDADES VERTICAIS VENDIDAS POR TRIMESTRE</t>
        </is>
      </c>
      <c r="C374" s="3" t="inlineStr">
        <is>
          <t>Gráfico 2 / plot 1</t>
        </is>
      </c>
      <c r="D374" s="3" t="inlineStr">
        <is>
          <t>RM de Porto Alegre</t>
        </is>
      </c>
      <c r="E374" s="3" t="inlineStr">
        <is>
          <t>2T/23</t>
        </is>
      </c>
      <c r="F374" s="3" t="n">
        <v>537</v>
      </c>
      <c r="G374" s="3" t="n"/>
      <c r="H374" s="3" t="n">
        <v>0</v>
      </c>
      <c r="I374" s="3">
        <f>IF(G374="","PENDENTE",IF(AND(ISNUMBER(F374),ISNUMBER(G374)),IF(ABS(G374-F374)&lt;=H374,"IGUAL","DIVERGENTE"),IF(TRIM(G374&amp;"")=TRIM(F374&amp;""),"IGUAL","DIVERGENTE")))</f>
        <v/>
      </c>
      <c r="J374" s="3" t="n"/>
    </row>
    <row r="375">
      <c r="A375" s="4" t="n">
        <v>27</v>
      </c>
      <c r="B375" s="4" t="inlineStr">
        <is>
          <t>UNIDADES VERTICAIS VENDIDAS POR TRIMESTRE</t>
        </is>
      </c>
      <c r="C375" s="4" t="inlineStr">
        <is>
          <t>Gráfico 2 / plot 1</t>
        </is>
      </c>
      <c r="D375" s="4" t="inlineStr">
        <is>
          <t>RM de Porto Alegre</t>
        </is>
      </c>
      <c r="E375" s="4" t="inlineStr">
        <is>
          <t>3T/23</t>
        </is>
      </c>
      <c r="F375" s="4" t="n">
        <v>685</v>
      </c>
      <c r="G375" s="4" t="n"/>
      <c r="H375" s="4" t="n">
        <v>0</v>
      </c>
      <c r="I375" s="4">
        <f>IF(G375="","PENDENTE",IF(AND(ISNUMBER(F375),ISNUMBER(G375)),IF(ABS(G375-F375)&lt;=H375,"IGUAL","DIVERGENTE"),IF(TRIM(G375&amp;"")=TRIM(F375&amp;""),"IGUAL","DIVERGENTE")))</f>
        <v/>
      </c>
      <c r="J375" s="4" t="n"/>
    </row>
    <row r="376">
      <c r="A376" s="3" t="n">
        <v>27</v>
      </c>
      <c r="B376" s="3" t="inlineStr">
        <is>
          <t>UNIDADES VERTICAIS VENDIDAS POR TRIMESTRE</t>
        </is>
      </c>
      <c r="C376" s="3" t="inlineStr">
        <is>
          <t>Gráfico 2 / plot 1</t>
        </is>
      </c>
      <c r="D376" s="3" t="inlineStr">
        <is>
          <t>RM de Porto Alegre</t>
        </is>
      </c>
      <c r="E376" s="3" t="inlineStr">
        <is>
          <t>4T/23</t>
        </is>
      </c>
      <c r="F376" s="3" t="n">
        <v>694</v>
      </c>
      <c r="G376" s="3" t="n"/>
      <c r="H376" s="3" t="n">
        <v>0</v>
      </c>
      <c r="I376" s="3">
        <f>IF(G376="","PENDENTE",IF(AND(ISNUMBER(F376),ISNUMBER(G376)),IF(ABS(G376-F376)&lt;=H376,"IGUAL","DIVERGENTE"),IF(TRIM(G376&amp;"")=TRIM(F376&amp;""),"IGUAL","DIVERGENTE")))</f>
        <v/>
      </c>
      <c r="J376" s="3" t="n"/>
    </row>
    <row r="377">
      <c r="A377" s="4" t="n">
        <v>27</v>
      </c>
      <c r="B377" s="4" t="inlineStr">
        <is>
          <t>UNIDADES VERTICAIS VENDIDAS POR TRIMESTRE</t>
        </is>
      </c>
      <c r="C377" s="4" t="inlineStr">
        <is>
          <t>Gráfico 2 / plot 1</t>
        </is>
      </c>
      <c r="D377" s="4" t="inlineStr">
        <is>
          <t>RM de Porto Alegre</t>
        </is>
      </c>
      <c r="E377" s="4" t="inlineStr">
        <is>
          <t>1T/24</t>
        </is>
      </c>
      <c r="F377" s="4" t="n">
        <v>840</v>
      </c>
      <c r="G377" s="4" t="n"/>
      <c r="H377" s="4" t="n">
        <v>0</v>
      </c>
      <c r="I377" s="4">
        <f>IF(G377="","PENDENTE",IF(AND(ISNUMBER(F377),ISNUMBER(G377)),IF(ABS(G377-F377)&lt;=H377,"IGUAL","DIVERGENTE"),IF(TRIM(G377&amp;"")=TRIM(F377&amp;""),"IGUAL","DIVERGENTE")))</f>
        <v/>
      </c>
      <c r="J377" s="4" t="n"/>
    </row>
    <row r="378">
      <c r="A378" s="3" t="n">
        <v>27</v>
      </c>
      <c r="B378" s="3" t="inlineStr">
        <is>
          <t>UNIDADES VERTICAIS VENDIDAS POR TRIMESTRE</t>
        </is>
      </c>
      <c r="C378" s="3" t="inlineStr">
        <is>
          <t>Gráfico 2 / plot 1</t>
        </is>
      </c>
      <c r="D378" s="3" t="inlineStr">
        <is>
          <t>RM de Porto Alegre</t>
        </is>
      </c>
      <c r="E378" s="3" t="inlineStr">
        <is>
          <t>2T/24</t>
        </is>
      </c>
      <c r="F378" s="3" t="n">
        <v>577</v>
      </c>
      <c r="G378" s="3" t="n"/>
      <c r="H378" s="3" t="n">
        <v>0</v>
      </c>
      <c r="I378" s="3">
        <f>IF(G378="","PENDENTE",IF(AND(ISNUMBER(F378),ISNUMBER(G378)),IF(ABS(G378-F378)&lt;=H378,"IGUAL","DIVERGENTE"),IF(TRIM(G378&amp;"")=TRIM(F378&amp;""),"IGUAL","DIVERGENTE")))</f>
        <v/>
      </c>
      <c r="J378" s="3" t="n"/>
    </row>
    <row r="379">
      <c r="A379" s="4" t="n">
        <v>27</v>
      </c>
      <c r="B379" s="4" t="inlineStr">
        <is>
          <t>UNIDADES VERTICAIS VENDIDAS POR TRIMESTRE</t>
        </is>
      </c>
      <c r="C379" s="4" t="inlineStr">
        <is>
          <t>Gráfico 2 / plot 1</t>
        </is>
      </c>
      <c r="D379" s="4" t="inlineStr">
        <is>
          <t>RM de Porto Alegre</t>
        </is>
      </c>
      <c r="E379" s="4" t="inlineStr">
        <is>
          <t>3T/24</t>
        </is>
      </c>
      <c r="F379" s="4" t="n">
        <v>798</v>
      </c>
      <c r="G379" s="4" t="n"/>
      <c r="H379" s="4" t="n">
        <v>0</v>
      </c>
      <c r="I379" s="4">
        <f>IF(G379="","PENDENTE",IF(AND(ISNUMBER(F379),ISNUMBER(G379)),IF(ABS(G379-F379)&lt;=H379,"IGUAL","DIVERGENTE"),IF(TRIM(G379&amp;"")=TRIM(F379&amp;""),"IGUAL","DIVERGENTE")))</f>
        <v/>
      </c>
      <c r="J379" s="4" t="n"/>
    </row>
    <row r="380">
      <c r="A380" s="3" t="n">
        <v>27</v>
      </c>
      <c r="B380" s="3" t="inlineStr">
        <is>
          <t>UNIDADES VERTICAIS VENDIDAS POR TRIMESTRE</t>
        </is>
      </c>
      <c r="C380" s="3" t="inlineStr">
        <is>
          <t>Gráfico 2 / plot 1</t>
        </is>
      </c>
      <c r="D380" s="3" t="inlineStr">
        <is>
          <t>RM de Porto Alegre</t>
        </is>
      </c>
      <c r="E380" s="3" t="inlineStr">
        <is>
          <t>4T/24</t>
        </is>
      </c>
      <c r="F380" s="3" t="n">
        <v>803</v>
      </c>
      <c r="G380" s="3" t="n"/>
      <c r="H380" s="3" t="n">
        <v>0</v>
      </c>
      <c r="I380" s="3">
        <f>IF(G380="","PENDENTE",IF(AND(ISNUMBER(F380),ISNUMBER(G380)),IF(ABS(G380-F380)&lt;=H380,"IGUAL","DIVERGENTE"),IF(TRIM(G380&amp;"")=TRIM(F380&amp;""),"IGUAL","DIVERGENTE")))</f>
        <v/>
      </c>
      <c r="J380" s="3" t="n"/>
    </row>
    <row r="381">
      <c r="A381" s="4" t="n">
        <v>27</v>
      </c>
      <c r="B381" s="4" t="inlineStr">
        <is>
          <t>UNIDADES VERTICAIS VENDIDAS POR TRIMESTRE</t>
        </is>
      </c>
      <c r="C381" s="4" t="inlineStr">
        <is>
          <t>Gráfico 2 / plot 1</t>
        </is>
      </c>
      <c r="D381" s="4" t="inlineStr">
        <is>
          <t>RM de Porto Alegre</t>
        </is>
      </c>
      <c r="E381" s="4" t="inlineStr">
        <is>
          <t>1T/25</t>
        </is>
      </c>
      <c r="F381" s="4" t="n">
        <v>1001</v>
      </c>
      <c r="G381" s="4" t="n"/>
      <c r="H381" s="4" t="n">
        <v>0</v>
      </c>
      <c r="I381" s="4">
        <f>IF(G381="","PENDENTE",IF(AND(ISNUMBER(F381),ISNUMBER(G381)),IF(ABS(G381-F381)&lt;=H381,"IGUAL","DIVERGENTE"),IF(TRIM(G381&amp;"")=TRIM(F381&amp;""),"IGUAL","DIVERGENTE")))</f>
        <v/>
      </c>
      <c r="J381" s="4" t="n"/>
    </row>
    <row r="382">
      <c r="A382" s="3" t="n">
        <v>27</v>
      </c>
      <c r="B382" s="3" t="inlineStr">
        <is>
          <t>UNIDADES VERTICAIS VENDIDAS POR TRIMESTRE</t>
        </is>
      </c>
      <c r="C382" s="3" t="inlineStr">
        <is>
          <t>Gráfico 2 / plot 1</t>
        </is>
      </c>
      <c r="D382" s="3" t="inlineStr">
        <is>
          <t>RM de Porto Alegre</t>
        </is>
      </c>
      <c r="E382" s="3" t="inlineStr">
        <is>
          <t>2T/25</t>
        </is>
      </c>
      <c r="F382" s="3" t="n">
        <v>773</v>
      </c>
      <c r="G382" s="3" t="n"/>
      <c r="H382" s="3" t="n">
        <v>0</v>
      </c>
      <c r="I382" s="3">
        <f>IF(G382="","PENDENTE",IF(AND(ISNUMBER(F382),ISNUMBER(G382)),IF(ABS(G382-F382)&lt;=H382,"IGUAL","DIVERGENTE"),IF(TRIM(G382&amp;"")=TRIM(F382&amp;""),"IGUAL","DIVERGENTE")))</f>
        <v/>
      </c>
      <c r="J382" s="3" t="n"/>
    </row>
    <row r="383">
      <c r="A383" s="4" t="n">
        <v>27</v>
      </c>
      <c r="B383" s="4" t="inlineStr">
        <is>
          <t>UNIDADES VERTICAIS VENDIDAS POR TRIMESTRE</t>
        </is>
      </c>
      <c r="C383" s="4" t="inlineStr">
        <is>
          <t>Gráfico 2 / plot 1</t>
        </is>
      </c>
      <c r="D383" s="4" t="inlineStr">
        <is>
          <t>RM de Porto Alegre</t>
        </is>
      </c>
      <c r="E383" s="4" t="inlineStr">
        <is>
          <t>3T/25</t>
        </is>
      </c>
      <c r="F383" s="4" t="n">
        <v>613</v>
      </c>
      <c r="G383" s="4" t="n"/>
      <c r="H383" s="4" t="n">
        <v>0</v>
      </c>
      <c r="I383" s="4">
        <f>IF(G383="","PENDENTE",IF(AND(ISNUMBER(F383),ISNUMBER(G383)),IF(ABS(G383-F383)&lt;=H383,"IGUAL","DIVERGENTE"),IF(TRIM(G383&amp;"")=TRIM(F383&amp;""),"IGUAL","DIVERGENTE")))</f>
        <v/>
      </c>
      <c r="J383" s="4" t="n"/>
    </row>
    <row r="384">
      <c r="A384" s="3" t="n">
        <v>27</v>
      </c>
      <c r="B384" s="3" t="inlineStr">
        <is>
          <t>UNIDADES VERTICAIS VENDIDAS POR TRIMESTRE</t>
        </is>
      </c>
      <c r="C384" s="3" t="inlineStr">
        <is>
          <t>Gráfico 2 / plot 1</t>
        </is>
      </c>
      <c r="D384" s="3" t="inlineStr">
        <is>
          <t>RM de Porto Alegre</t>
        </is>
      </c>
      <c r="E384" s="3" t="inlineStr">
        <is>
          <t>4T/25</t>
        </is>
      </c>
      <c r="F384" s="3" t="n">
        <v>1247</v>
      </c>
      <c r="G384" s="3" t="n"/>
      <c r="H384" s="3" t="n">
        <v>0</v>
      </c>
      <c r="I384" s="3">
        <f>IF(G384="","PENDENTE",IF(AND(ISNUMBER(F384),ISNUMBER(G384)),IF(ABS(G384-F384)&lt;=H384,"IGUAL","DIVERGENTE"),IF(TRIM(G384&amp;"")=TRIM(F384&amp;""),"IGUAL","DIVERGENTE")))</f>
        <v/>
      </c>
      <c r="J384" s="3" t="n"/>
    </row>
    <row r="385">
      <c r="A385" s="4" t="n">
        <v>27</v>
      </c>
      <c r="B385" s="4" t="inlineStr">
        <is>
          <t>UNIDADES VERTICAIS VENDIDAS POR TRIMESTRE</t>
        </is>
      </c>
      <c r="C385" s="4" t="inlineStr">
        <is>
          <t>Tabela 1</t>
        </is>
      </c>
      <c r="D385" s="4" t="inlineStr">
        <is>
          <t>2021 x 2022</t>
        </is>
      </c>
      <c r="E385" s="4" t="inlineStr">
        <is>
          <t>Coluna 2</t>
        </is>
      </c>
      <c r="F385" s="4" t="inlineStr">
        <is>
          <t>2022 x 2023</t>
        </is>
      </c>
      <c r="G385" s="4" t="n"/>
      <c r="H385" s="4" t="n"/>
      <c r="I385" s="4">
        <f>IF(G385="","PENDENTE",IF(AND(ISNUMBER(F385),ISNUMBER(G385)),IF(ABS(G385-F385)&lt;=H385,"IGUAL","DIVERGENTE"),IF(TRIM(G385&amp;"")=TRIM(F385&amp;""),"IGUAL","DIVERGENTE")))</f>
        <v/>
      </c>
      <c r="J385" s="4" t="n"/>
    </row>
    <row r="386">
      <c r="A386" s="3" t="n">
        <v>27</v>
      </c>
      <c r="B386" s="3" t="inlineStr">
        <is>
          <t>UNIDADES VERTICAIS VENDIDAS POR TRIMESTRE</t>
        </is>
      </c>
      <c r="C386" s="3" t="inlineStr">
        <is>
          <t>Tabela 1</t>
        </is>
      </c>
      <c r="D386" s="3" t="inlineStr">
        <is>
          <t>2021 x 2022</t>
        </is>
      </c>
      <c r="E386" s="3" t="inlineStr">
        <is>
          <t>Coluna 3</t>
        </is>
      </c>
      <c r="F386" s="3" t="inlineStr">
        <is>
          <t>2023 X 2024</t>
        </is>
      </c>
      <c r="G386" s="3" t="n"/>
      <c r="H386" s="3" t="n"/>
      <c r="I386" s="3">
        <f>IF(G386="","PENDENTE",IF(AND(ISNUMBER(F386),ISNUMBER(G386)),IF(ABS(G386-F386)&lt;=H386,"IGUAL","DIVERGENTE"),IF(TRIM(G386&amp;"")=TRIM(F386&amp;""),"IGUAL","DIVERGENTE")))</f>
        <v/>
      </c>
      <c r="J386" s="3" t="n"/>
    </row>
    <row r="387">
      <c r="A387" s="4" t="n">
        <v>27</v>
      </c>
      <c r="B387" s="4" t="inlineStr">
        <is>
          <t>UNIDADES VERTICAIS VENDIDAS POR TRIMESTRE</t>
        </is>
      </c>
      <c r="C387" s="4" t="inlineStr">
        <is>
          <t>Tabela 1</t>
        </is>
      </c>
      <c r="D387" s="4" t="inlineStr">
        <is>
          <t>2021 x 2022</t>
        </is>
      </c>
      <c r="E387" s="4" t="inlineStr">
        <is>
          <t>Coluna 4</t>
        </is>
      </c>
      <c r="F387" s="4" t="inlineStr">
        <is>
          <t>2024 x 2025</t>
        </is>
      </c>
      <c r="G387" s="4" t="n"/>
      <c r="H387" s="4" t="n"/>
      <c r="I387" s="4">
        <f>IF(G387="","PENDENTE",IF(AND(ISNUMBER(F387),ISNUMBER(G387)),IF(ABS(G387-F387)&lt;=H387,"IGUAL","DIVERGENTE"),IF(TRIM(G387&amp;"")=TRIM(F387&amp;""),"IGUAL","DIVERGENTE")))</f>
        <v/>
      </c>
      <c r="J387" s="4" t="n"/>
    </row>
    <row r="388">
      <c r="A388" s="3" t="n">
        <v>27</v>
      </c>
      <c r="B388" s="3" t="inlineStr">
        <is>
          <t>UNIDADES VERTICAIS VENDIDAS POR TRIMESTRE</t>
        </is>
      </c>
      <c r="C388" s="3" t="inlineStr">
        <is>
          <t>Tabela 1</t>
        </is>
      </c>
      <c r="D388" s="3" t="inlineStr">
        <is>
          <t>-23%</t>
        </is>
      </c>
      <c r="E388" s="3" t="inlineStr">
        <is>
          <t>Coluna 2</t>
        </is>
      </c>
      <c r="F388" s="3" t="inlineStr">
        <is>
          <t>-14%</t>
        </is>
      </c>
      <c r="G388" s="3" t="n"/>
      <c r="H388" s="3" t="n"/>
      <c r="I388" s="3">
        <f>IF(G388="","PENDENTE",IF(AND(ISNUMBER(F388),ISNUMBER(G388)),IF(ABS(G388-F388)&lt;=H388,"IGUAL","DIVERGENTE"),IF(TRIM(G388&amp;"")=TRIM(F388&amp;""),"IGUAL","DIVERGENTE")))</f>
        <v/>
      </c>
      <c r="J388" s="3" t="n"/>
    </row>
    <row r="389">
      <c r="A389" s="4" t="n">
        <v>27</v>
      </c>
      <c r="B389" s="4" t="inlineStr">
        <is>
          <t>UNIDADES VERTICAIS VENDIDAS POR TRIMESTRE</t>
        </is>
      </c>
      <c r="C389" s="4" t="inlineStr">
        <is>
          <t>Tabela 1</t>
        </is>
      </c>
      <c r="D389" s="4" t="inlineStr">
        <is>
          <t>-23%</t>
        </is>
      </c>
      <c r="E389" s="4" t="inlineStr">
        <is>
          <t>Coluna 3</t>
        </is>
      </c>
      <c r="F389" s="4" t="inlineStr">
        <is>
          <t>+6%</t>
        </is>
      </c>
      <c r="G389" s="4" t="n"/>
      <c r="H389" s="4" t="n"/>
      <c r="I389" s="4">
        <f>IF(G389="","PENDENTE",IF(AND(ISNUMBER(F389),ISNUMBER(G389)),IF(ABS(G389-F389)&lt;=H389,"IGUAL","DIVERGENTE"),IF(TRIM(G389&amp;"")=TRIM(F389&amp;""),"IGUAL","DIVERGENTE")))</f>
        <v/>
      </c>
      <c r="J389" s="4" t="n"/>
    </row>
    <row r="390">
      <c r="A390" s="3" t="n">
        <v>27</v>
      </c>
      <c r="B390" s="3" t="inlineStr">
        <is>
          <t>UNIDADES VERTICAIS VENDIDAS POR TRIMESTRE</t>
        </is>
      </c>
      <c r="C390" s="3" t="inlineStr">
        <is>
          <t>Tabela 1</t>
        </is>
      </c>
      <c r="D390" s="3" t="inlineStr">
        <is>
          <t>-23%</t>
        </is>
      </c>
      <c r="E390" s="3" t="inlineStr">
        <is>
          <t>Coluna 4</t>
        </is>
      </c>
      <c r="F390" s="3" t="inlineStr">
        <is>
          <t>+20%</t>
        </is>
      </c>
      <c r="G390" s="3" t="n"/>
      <c r="H390" s="3" t="n"/>
      <c r="I390" s="3">
        <f>IF(G390="","PENDENTE",IF(AND(ISNUMBER(F390),ISNUMBER(G390)),IF(ABS(G390-F390)&lt;=H390,"IGUAL","DIVERGENTE"),IF(TRIM(G390&amp;"")=TRIM(F390&amp;""),"IGUAL","DIVERGENTE")))</f>
        <v/>
      </c>
      <c r="J390" s="3" t="n"/>
    </row>
    <row r="391">
      <c r="A391" s="4" t="n">
        <v>28</v>
      </c>
      <c r="B391" s="4" t="inlineStr">
        <is>
          <t>UNIDADES VERTICAIS VENDIDAS ACUMULADO 12 MESES</t>
        </is>
      </c>
      <c r="C391" s="4" t="inlineStr">
        <is>
          <t>Gráfico 1 / plot 1</t>
        </is>
      </c>
      <c r="D391" s="4" t="inlineStr">
        <is>
          <t>RM de Porto Alegre</t>
        </is>
      </c>
      <c r="E391" s="4" t="inlineStr">
        <is>
          <t>4T/2021</t>
        </is>
      </c>
      <c r="F391" s="4" t="n">
        <v>4287</v>
      </c>
      <c r="G391" s="4" t="n"/>
      <c r="H391" s="4" t="n">
        <v>0</v>
      </c>
      <c r="I391" s="4">
        <f>IF(G391="","PENDENTE",IF(AND(ISNUMBER(F391),ISNUMBER(G391)),IF(ABS(G391-F391)&lt;=H391,"IGUAL","DIVERGENTE"),IF(TRIM(G391&amp;"")=TRIM(F391&amp;""),"IGUAL","DIVERGENTE")))</f>
        <v/>
      </c>
      <c r="J391" s="4" t="n"/>
    </row>
    <row r="392">
      <c r="A392" s="3" t="n">
        <v>28</v>
      </c>
      <c r="B392" s="3" t="inlineStr">
        <is>
          <t>UNIDADES VERTICAIS VENDIDAS ACUMULADO 12 MESES</t>
        </is>
      </c>
      <c r="C392" s="3" t="inlineStr">
        <is>
          <t>Gráfico 1 / plot 1</t>
        </is>
      </c>
      <c r="D392" s="3" t="inlineStr">
        <is>
          <t>RM de Porto Alegre</t>
        </is>
      </c>
      <c r="E392" s="3" t="inlineStr">
        <is>
          <t>1T/2022</t>
        </is>
      </c>
      <c r="F392" s="3" t="n">
        <v>3992</v>
      </c>
      <c r="G392" s="3" t="n"/>
      <c r="H392" s="3" t="n">
        <v>0</v>
      </c>
      <c r="I392" s="3">
        <f>IF(G392="","PENDENTE",IF(AND(ISNUMBER(F392),ISNUMBER(G392)),IF(ABS(G392-F392)&lt;=H392,"IGUAL","DIVERGENTE"),IF(TRIM(G392&amp;"")=TRIM(F392&amp;""),"IGUAL","DIVERGENTE")))</f>
        <v/>
      </c>
      <c r="J392" s="3" t="n"/>
    </row>
    <row r="393">
      <c r="A393" s="4" t="n">
        <v>28</v>
      </c>
      <c r="B393" s="4" t="inlineStr">
        <is>
          <t>UNIDADES VERTICAIS VENDIDAS ACUMULADO 12 MESES</t>
        </is>
      </c>
      <c r="C393" s="4" t="inlineStr">
        <is>
          <t>Gráfico 1 / plot 1</t>
        </is>
      </c>
      <c r="D393" s="4" t="inlineStr">
        <is>
          <t>RM de Porto Alegre</t>
        </is>
      </c>
      <c r="E393" s="4" t="inlineStr">
        <is>
          <t>2T/2022</t>
        </is>
      </c>
      <c r="F393" s="4" t="n">
        <v>3961</v>
      </c>
      <c r="G393" s="4" t="n"/>
      <c r="H393" s="4" t="n">
        <v>0</v>
      </c>
      <c r="I393" s="4">
        <f>IF(G393="","PENDENTE",IF(AND(ISNUMBER(F393),ISNUMBER(G393)),IF(ABS(G393-F393)&lt;=H393,"IGUAL","DIVERGENTE"),IF(TRIM(G393&amp;"")=TRIM(F393&amp;""),"IGUAL","DIVERGENTE")))</f>
        <v/>
      </c>
      <c r="J393" s="4" t="n"/>
    </row>
    <row r="394">
      <c r="A394" s="3" t="n">
        <v>28</v>
      </c>
      <c r="B394" s="3" t="inlineStr">
        <is>
          <t>UNIDADES VERTICAIS VENDIDAS ACUMULADO 12 MESES</t>
        </is>
      </c>
      <c r="C394" s="3" t="inlineStr">
        <is>
          <t>Gráfico 1 / plot 1</t>
        </is>
      </c>
      <c r="D394" s="3" t="inlineStr">
        <is>
          <t>RM de Porto Alegre</t>
        </is>
      </c>
      <c r="E394" s="3" t="inlineStr">
        <is>
          <t>3T/2022</t>
        </is>
      </c>
      <c r="F394" s="3" t="n">
        <v>3639</v>
      </c>
      <c r="G394" s="3" t="n"/>
      <c r="H394" s="3" t="n">
        <v>0</v>
      </c>
      <c r="I394" s="3">
        <f>IF(G394="","PENDENTE",IF(AND(ISNUMBER(F394),ISNUMBER(G394)),IF(ABS(G394-F394)&lt;=H394,"IGUAL","DIVERGENTE"),IF(TRIM(G394&amp;"")=TRIM(F394&amp;""),"IGUAL","DIVERGENTE")))</f>
        <v/>
      </c>
      <c r="J394" s="3" t="n"/>
    </row>
    <row r="395">
      <c r="A395" s="4" t="n">
        <v>28</v>
      </c>
      <c r="B395" s="4" t="inlineStr">
        <is>
          <t>UNIDADES VERTICAIS VENDIDAS ACUMULADO 12 MESES</t>
        </is>
      </c>
      <c r="C395" s="4" t="inlineStr">
        <is>
          <t>Gráfico 1 / plot 1</t>
        </is>
      </c>
      <c r="D395" s="4" t="inlineStr">
        <is>
          <t>RM de Porto Alegre</t>
        </is>
      </c>
      <c r="E395" s="4" t="inlineStr">
        <is>
          <t>4T/2022</t>
        </is>
      </c>
      <c r="F395" s="4" t="n">
        <v>3288</v>
      </c>
      <c r="G395" s="4" t="n"/>
      <c r="H395" s="4" t="n">
        <v>0</v>
      </c>
      <c r="I395" s="4">
        <f>IF(G395="","PENDENTE",IF(AND(ISNUMBER(F395),ISNUMBER(G395)),IF(ABS(G395-F395)&lt;=H395,"IGUAL","DIVERGENTE"),IF(TRIM(G395&amp;"")=TRIM(F395&amp;""),"IGUAL","DIVERGENTE")))</f>
        <v/>
      </c>
      <c r="J395" s="4" t="n"/>
    </row>
    <row r="396">
      <c r="A396" s="3" t="n">
        <v>28</v>
      </c>
      <c r="B396" s="3" t="inlineStr">
        <is>
          <t>UNIDADES VERTICAIS VENDIDAS ACUMULADO 12 MESES</t>
        </is>
      </c>
      <c r="C396" s="3" t="inlineStr">
        <is>
          <t>Gráfico 1 / plot 1</t>
        </is>
      </c>
      <c r="D396" s="3" t="inlineStr">
        <is>
          <t>RM de Porto Alegre</t>
        </is>
      </c>
      <c r="E396" s="3" t="inlineStr">
        <is>
          <t>1T/2023</t>
        </is>
      </c>
      <c r="F396" s="3" t="n">
        <v>3132</v>
      </c>
      <c r="G396" s="3" t="n"/>
      <c r="H396" s="3" t="n">
        <v>0</v>
      </c>
      <c r="I396" s="3">
        <f>IF(G396="","PENDENTE",IF(AND(ISNUMBER(F396),ISNUMBER(G396)),IF(ABS(G396-F396)&lt;=H396,"IGUAL","DIVERGENTE"),IF(TRIM(G396&amp;"")=TRIM(F396&amp;""),"IGUAL","DIVERGENTE")))</f>
        <v/>
      </c>
      <c r="J396" s="3" t="n"/>
    </row>
    <row r="397">
      <c r="A397" s="4" t="n">
        <v>28</v>
      </c>
      <c r="B397" s="4" t="inlineStr">
        <is>
          <t>UNIDADES VERTICAIS VENDIDAS ACUMULADO 12 MESES</t>
        </is>
      </c>
      <c r="C397" s="4" t="inlineStr">
        <is>
          <t>Gráfico 1 / plot 1</t>
        </is>
      </c>
      <c r="D397" s="4" t="inlineStr">
        <is>
          <t>RM de Porto Alegre</t>
        </is>
      </c>
      <c r="E397" s="4" t="inlineStr">
        <is>
          <t>2T/2023</t>
        </is>
      </c>
      <c r="F397" s="4" t="n">
        <v>2809</v>
      </c>
      <c r="G397" s="4" t="n"/>
      <c r="H397" s="4" t="n">
        <v>0</v>
      </c>
      <c r="I397" s="4">
        <f>IF(G397="","PENDENTE",IF(AND(ISNUMBER(F397),ISNUMBER(G397)),IF(ABS(G397-F397)&lt;=H397,"IGUAL","DIVERGENTE"),IF(TRIM(G397&amp;"")=TRIM(F397&amp;""),"IGUAL","DIVERGENTE")))</f>
        <v/>
      </c>
      <c r="J397" s="4" t="n"/>
    </row>
    <row r="398">
      <c r="A398" s="3" t="n">
        <v>28</v>
      </c>
      <c r="B398" s="3" t="inlineStr">
        <is>
          <t>UNIDADES VERTICAIS VENDIDAS ACUMULADO 12 MESES</t>
        </is>
      </c>
      <c r="C398" s="3" t="inlineStr">
        <is>
          <t>Gráfico 1 / plot 1</t>
        </is>
      </c>
      <c r="D398" s="3" t="inlineStr">
        <is>
          <t>RM de Porto Alegre</t>
        </is>
      </c>
      <c r="E398" s="3" t="inlineStr">
        <is>
          <t>3T/2023</t>
        </is>
      </c>
      <c r="F398" s="3" t="n">
        <v>2812</v>
      </c>
      <c r="G398" s="3" t="n"/>
      <c r="H398" s="3" t="n">
        <v>0</v>
      </c>
      <c r="I398" s="3">
        <f>IF(G398="","PENDENTE",IF(AND(ISNUMBER(F398),ISNUMBER(G398)),IF(ABS(G398-F398)&lt;=H398,"IGUAL","DIVERGENTE"),IF(TRIM(G398&amp;"")=TRIM(F398&amp;""),"IGUAL","DIVERGENTE")))</f>
        <v/>
      </c>
      <c r="J398" s="3" t="n"/>
    </row>
    <row r="399">
      <c r="A399" s="4" t="n">
        <v>28</v>
      </c>
      <c r="B399" s="4" t="inlineStr">
        <is>
          <t>UNIDADES VERTICAIS VENDIDAS ACUMULADO 12 MESES</t>
        </is>
      </c>
      <c r="C399" s="4" t="inlineStr">
        <is>
          <t>Gráfico 1 / plot 1</t>
        </is>
      </c>
      <c r="D399" s="4" t="inlineStr">
        <is>
          <t>RM de Porto Alegre</t>
        </is>
      </c>
      <c r="E399" s="4" t="inlineStr">
        <is>
          <t>4T/2023</t>
        </is>
      </c>
      <c r="F399" s="4" t="n">
        <v>2841</v>
      </c>
      <c r="G399" s="4" t="n"/>
      <c r="H399" s="4" t="n">
        <v>0</v>
      </c>
      <c r="I399" s="4">
        <f>IF(G399="","PENDENTE",IF(AND(ISNUMBER(F399),ISNUMBER(G399)),IF(ABS(G399-F399)&lt;=H399,"IGUAL","DIVERGENTE"),IF(TRIM(G399&amp;"")=TRIM(F399&amp;""),"IGUAL","DIVERGENTE")))</f>
        <v/>
      </c>
      <c r="J399" s="4" t="n"/>
    </row>
    <row r="400">
      <c r="A400" s="3" t="n">
        <v>28</v>
      </c>
      <c r="B400" s="3" t="inlineStr">
        <is>
          <t>UNIDADES VERTICAIS VENDIDAS ACUMULADO 12 MESES</t>
        </is>
      </c>
      <c r="C400" s="3" t="inlineStr">
        <is>
          <t>Gráfico 1 / plot 1</t>
        </is>
      </c>
      <c r="D400" s="3" t="inlineStr">
        <is>
          <t>RM de Porto Alegre</t>
        </is>
      </c>
      <c r="E400" s="3" t="inlineStr">
        <is>
          <t>1T/2024</t>
        </is>
      </c>
      <c r="F400" s="3" t="n">
        <v>2756</v>
      </c>
      <c r="G400" s="3" t="n"/>
      <c r="H400" s="3" t="n">
        <v>0</v>
      </c>
      <c r="I400" s="3">
        <f>IF(G400="","PENDENTE",IF(AND(ISNUMBER(F400),ISNUMBER(G400)),IF(ABS(G400-F400)&lt;=H400,"IGUAL","DIVERGENTE"),IF(TRIM(G400&amp;"")=TRIM(F400&amp;""),"IGUAL","DIVERGENTE")))</f>
        <v/>
      </c>
      <c r="J400" s="3" t="n"/>
    </row>
    <row r="401">
      <c r="A401" s="4" t="n">
        <v>28</v>
      </c>
      <c r="B401" s="4" t="inlineStr">
        <is>
          <t>UNIDADES VERTICAIS VENDIDAS ACUMULADO 12 MESES</t>
        </is>
      </c>
      <c r="C401" s="4" t="inlineStr">
        <is>
          <t>Gráfico 1 / plot 1</t>
        </is>
      </c>
      <c r="D401" s="4" t="inlineStr">
        <is>
          <t>RM de Porto Alegre</t>
        </is>
      </c>
      <c r="E401" s="4" t="inlineStr">
        <is>
          <t>2T/2024</t>
        </is>
      </c>
      <c r="F401" s="4" t="n">
        <v>2796</v>
      </c>
      <c r="G401" s="4" t="n"/>
      <c r="H401" s="4" t="n">
        <v>0</v>
      </c>
      <c r="I401" s="4">
        <f>IF(G401="","PENDENTE",IF(AND(ISNUMBER(F401),ISNUMBER(G401)),IF(ABS(G401-F401)&lt;=H401,"IGUAL","DIVERGENTE"),IF(TRIM(G401&amp;"")=TRIM(F401&amp;""),"IGUAL","DIVERGENTE")))</f>
        <v/>
      </c>
      <c r="J401" s="4" t="n"/>
    </row>
    <row r="402">
      <c r="A402" s="3" t="n">
        <v>28</v>
      </c>
      <c r="B402" s="3" t="inlineStr">
        <is>
          <t>UNIDADES VERTICAIS VENDIDAS ACUMULADO 12 MESES</t>
        </is>
      </c>
      <c r="C402" s="3" t="inlineStr">
        <is>
          <t>Gráfico 1 / plot 1</t>
        </is>
      </c>
      <c r="D402" s="3" t="inlineStr">
        <is>
          <t>RM de Porto Alegre</t>
        </is>
      </c>
      <c r="E402" s="3" t="inlineStr">
        <is>
          <t>3T/2024</t>
        </is>
      </c>
      <c r="F402" s="3" t="n">
        <v>2909</v>
      </c>
      <c r="G402" s="3" t="n"/>
      <c r="H402" s="3" t="n">
        <v>0</v>
      </c>
      <c r="I402" s="3">
        <f>IF(G402="","PENDENTE",IF(AND(ISNUMBER(F402),ISNUMBER(G402)),IF(ABS(G402-F402)&lt;=H402,"IGUAL","DIVERGENTE"),IF(TRIM(G402&amp;"")=TRIM(F402&amp;""),"IGUAL","DIVERGENTE")))</f>
        <v/>
      </c>
      <c r="J402" s="3" t="n"/>
    </row>
    <row r="403">
      <c r="A403" s="4" t="n">
        <v>28</v>
      </c>
      <c r="B403" s="4" t="inlineStr">
        <is>
          <t>UNIDADES VERTICAIS VENDIDAS ACUMULADO 12 MESES</t>
        </is>
      </c>
      <c r="C403" s="4" t="inlineStr">
        <is>
          <t>Gráfico 1 / plot 1</t>
        </is>
      </c>
      <c r="D403" s="4" t="inlineStr">
        <is>
          <t>RM de Porto Alegre</t>
        </is>
      </c>
      <c r="E403" s="4" t="inlineStr">
        <is>
          <t>4T/2024</t>
        </is>
      </c>
      <c r="F403" s="4" t="n">
        <v>3018</v>
      </c>
      <c r="G403" s="4" t="n"/>
      <c r="H403" s="4" t="n">
        <v>0</v>
      </c>
      <c r="I403" s="4">
        <f>IF(G403="","PENDENTE",IF(AND(ISNUMBER(F403),ISNUMBER(G403)),IF(ABS(G403-F403)&lt;=H403,"IGUAL","DIVERGENTE"),IF(TRIM(G403&amp;"")=TRIM(F403&amp;""),"IGUAL","DIVERGENTE")))</f>
        <v/>
      </c>
      <c r="J403" s="4" t="n"/>
    </row>
    <row r="404">
      <c r="A404" s="3" t="n">
        <v>28</v>
      </c>
      <c r="B404" s="3" t="inlineStr">
        <is>
          <t>UNIDADES VERTICAIS VENDIDAS ACUMULADO 12 MESES</t>
        </is>
      </c>
      <c r="C404" s="3" t="inlineStr">
        <is>
          <t>Gráfico 1 / plot 1</t>
        </is>
      </c>
      <c r="D404" s="3" t="inlineStr">
        <is>
          <t>RM de Porto Alegre</t>
        </is>
      </c>
      <c r="E404" s="3" t="inlineStr">
        <is>
          <t>1T/2025</t>
        </is>
      </c>
      <c r="F404" s="3" t="n">
        <v>3179</v>
      </c>
      <c r="G404" s="3" t="n"/>
      <c r="H404" s="3" t="n">
        <v>0</v>
      </c>
      <c r="I404" s="3">
        <f>IF(G404="","PENDENTE",IF(AND(ISNUMBER(F404),ISNUMBER(G404)),IF(ABS(G404-F404)&lt;=H404,"IGUAL","DIVERGENTE"),IF(TRIM(G404&amp;"")=TRIM(F404&amp;""),"IGUAL","DIVERGENTE")))</f>
        <v/>
      </c>
      <c r="J404" s="3" t="n"/>
    </row>
    <row r="405">
      <c r="A405" s="4" t="n">
        <v>28</v>
      </c>
      <c r="B405" s="4" t="inlineStr">
        <is>
          <t>UNIDADES VERTICAIS VENDIDAS ACUMULADO 12 MESES</t>
        </is>
      </c>
      <c r="C405" s="4" t="inlineStr">
        <is>
          <t>Gráfico 1 / plot 1</t>
        </is>
      </c>
      <c r="D405" s="4" t="inlineStr">
        <is>
          <t>RM de Porto Alegre</t>
        </is>
      </c>
      <c r="E405" s="4" t="inlineStr">
        <is>
          <t>2T/2025</t>
        </is>
      </c>
      <c r="F405" s="4" t="n">
        <v>3375</v>
      </c>
      <c r="G405" s="4" t="n"/>
      <c r="H405" s="4" t="n">
        <v>0</v>
      </c>
      <c r="I405" s="4">
        <f>IF(G405="","PENDENTE",IF(AND(ISNUMBER(F405),ISNUMBER(G405)),IF(ABS(G405-F405)&lt;=H405,"IGUAL","DIVERGENTE"),IF(TRIM(G405&amp;"")=TRIM(F405&amp;""),"IGUAL","DIVERGENTE")))</f>
        <v/>
      </c>
      <c r="J405" s="4" t="n"/>
    </row>
    <row r="406">
      <c r="A406" s="3" t="n">
        <v>28</v>
      </c>
      <c r="B406" s="3" t="inlineStr">
        <is>
          <t>UNIDADES VERTICAIS VENDIDAS ACUMULADO 12 MESES</t>
        </is>
      </c>
      <c r="C406" s="3" t="inlineStr">
        <is>
          <t>Gráfico 1 / plot 1</t>
        </is>
      </c>
      <c r="D406" s="3" t="inlineStr">
        <is>
          <t>RM de Porto Alegre</t>
        </is>
      </c>
      <c r="E406" s="3" t="inlineStr">
        <is>
          <t>3T/2025</t>
        </is>
      </c>
      <c r="F406" s="3" t="n">
        <v>3190</v>
      </c>
      <c r="G406" s="3" t="n"/>
      <c r="H406" s="3" t="n">
        <v>0</v>
      </c>
      <c r="I406" s="3">
        <f>IF(G406="","PENDENTE",IF(AND(ISNUMBER(F406),ISNUMBER(G406)),IF(ABS(G406-F406)&lt;=H406,"IGUAL","DIVERGENTE"),IF(TRIM(G406&amp;"")=TRIM(F406&amp;""),"IGUAL","DIVERGENTE")))</f>
        <v/>
      </c>
      <c r="J406" s="3" t="n"/>
    </row>
    <row r="407">
      <c r="A407" s="4" t="n">
        <v>28</v>
      </c>
      <c r="B407" s="4" t="inlineStr">
        <is>
          <t>UNIDADES VERTICAIS VENDIDAS ACUMULADO 12 MESES</t>
        </is>
      </c>
      <c r="C407" s="4" t="inlineStr">
        <is>
          <t>Gráfico 1 / plot 1</t>
        </is>
      </c>
      <c r="D407" s="4" t="inlineStr">
        <is>
          <t>RM de Porto Alegre</t>
        </is>
      </c>
      <c r="E407" s="4" t="inlineStr">
        <is>
          <t>4T/2025</t>
        </is>
      </c>
      <c r="F407" s="4" t="n">
        <v>3634</v>
      </c>
      <c r="G407" s="4" t="n"/>
      <c r="H407" s="4" t="n">
        <v>0</v>
      </c>
      <c r="I407" s="4">
        <f>IF(G407="","PENDENTE",IF(AND(ISNUMBER(F407),ISNUMBER(G407)),IF(ABS(G407-F407)&lt;=H407,"IGUAL","DIVERGENTE"),IF(TRIM(G407&amp;"")=TRIM(F407&amp;""),"IGUAL","DIVERGENTE")))</f>
        <v/>
      </c>
      <c r="J407" s="4" t="n"/>
    </row>
    <row r="408">
      <c r="A408" s="3" t="n">
        <v>28</v>
      </c>
      <c r="B408" s="3" t="inlineStr">
        <is>
          <t>UNIDADES VERTICAIS VENDIDAS ACUMULADO 12 MESES</t>
        </is>
      </c>
      <c r="C408" s="3" t="inlineStr">
        <is>
          <t>Tabela 1</t>
        </is>
      </c>
      <c r="D408" s="3" t="inlineStr">
        <is>
          <t>4T21 x 4T22</t>
        </is>
      </c>
      <c r="E408" s="3" t="inlineStr">
        <is>
          <t>Coluna 2</t>
        </is>
      </c>
      <c r="F408" s="3" t="inlineStr">
        <is>
          <t>4T22 x 4T23</t>
        </is>
      </c>
      <c r="G408" s="3" t="n"/>
      <c r="H408" s="3" t="n"/>
      <c r="I408" s="3">
        <f>IF(G408="","PENDENTE",IF(AND(ISNUMBER(F408),ISNUMBER(G408)),IF(ABS(G408-F408)&lt;=H408,"IGUAL","DIVERGENTE"),IF(TRIM(G408&amp;"")=TRIM(F408&amp;""),"IGUAL","DIVERGENTE")))</f>
        <v/>
      </c>
      <c r="J408" s="3" t="n"/>
    </row>
    <row r="409">
      <c r="A409" s="4" t="n">
        <v>28</v>
      </c>
      <c r="B409" s="4" t="inlineStr">
        <is>
          <t>UNIDADES VERTICAIS VENDIDAS ACUMULADO 12 MESES</t>
        </is>
      </c>
      <c r="C409" s="4" t="inlineStr">
        <is>
          <t>Tabela 1</t>
        </is>
      </c>
      <c r="D409" s="4" t="inlineStr">
        <is>
          <t>4T21 x 4T22</t>
        </is>
      </c>
      <c r="E409" s="4" t="inlineStr">
        <is>
          <t>Coluna 3</t>
        </is>
      </c>
      <c r="F409" s="4" t="inlineStr">
        <is>
          <t>4T23 X 4T24</t>
        </is>
      </c>
      <c r="G409" s="4" t="n"/>
      <c r="H409" s="4" t="n"/>
      <c r="I409" s="4">
        <f>IF(G409="","PENDENTE",IF(AND(ISNUMBER(F409),ISNUMBER(G409)),IF(ABS(G409-F409)&lt;=H409,"IGUAL","DIVERGENTE"),IF(TRIM(G409&amp;"")=TRIM(F409&amp;""),"IGUAL","DIVERGENTE")))</f>
        <v/>
      </c>
      <c r="J409" s="4" t="n"/>
    </row>
    <row r="410">
      <c r="A410" s="3" t="n">
        <v>28</v>
      </c>
      <c r="B410" s="3" t="inlineStr">
        <is>
          <t>UNIDADES VERTICAIS VENDIDAS ACUMULADO 12 MESES</t>
        </is>
      </c>
      <c r="C410" s="3" t="inlineStr">
        <is>
          <t>Tabela 1</t>
        </is>
      </c>
      <c r="D410" s="3" t="inlineStr">
        <is>
          <t>4T21 x 4T22</t>
        </is>
      </c>
      <c r="E410" s="3" t="inlineStr">
        <is>
          <t>Coluna 4</t>
        </is>
      </c>
      <c r="F410" s="3" t="inlineStr">
        <is>
          <t>4T24 x 4T25</t>
        </is>
      </c>
      <c r="G410" s="3" t="n"/>
      <c r="H410" s="3" t="n"/>
      <c r="I410" s="3">
        <f>IF(G410="","PENDENTE",IF(AND(ISNUMBER(F410),ISNUMBER(G410)),IF(ABS(G410-F410)&lt;=H410,"IGUAL","DIVERGENTE"),IF(TRIM(G410&amp;"")=TRIM(F410&amp;""),"IGUAL","DIVERGENTE")))</f>
        <v/>
      </c>
      <c r="J410" s="3" t="n"/>
    </row>
    <row r="411">
      <c r="A411" s="4" t="n">
        <v>28</v>
      </c>
      <c r="B411" s="4" t="inlineStr">
        <is>
          <t>UNIDADES VERTICAIS VENDIDAS ACUMULADO 12 MESES</t>
        </is>
      </c>
      <c r="C411" s="4" t="inlineStr">
        <is>
          <t>Tabela 1</t>
        </is>
      </c>
      <c r="D411" s="4" t="inlineStr">
        <is>
          <t>-23%</t>
        </is>
      </c>
      <c r="E411" s="4" t="inlineStr">
        <is>
          <t>Coluna 2</t>
        </is>
      </c>
      <c r="F411" s="4" t="inlineStr">
        <is>
          <t>-14%</t>
        </is>
      </c>
      <c r="G411" s="4" t="n"/>
      <c r="H411" s="4" t="n"/>
      <c r="I411" s="4">
        <f>IF(G411="","PENDENTE",IF(AND(ISNUMBER(F411),ISNUMBER(G411)),IF(ABS(G411-F411)&lt;=H411,"IGUAL","DIVERGENTE"),IF(TRIM(G411&amp;"")=TRIM(F411&amp;""),"IGUAL","DIVERGENTE")))</f>
        <v/>
      </c>
      <c r="J411" s="4" t="n"/>
    </row>
    <row r="412">
      <c r="A412" s="3" t="n">
        <v>28</v>
      </c>
      <c r="B412" s="3" t="inlineStr">
        <is>
          <t>UNIDADES VERTICAIS VENDIDAS ACUMULADO 12 MESES</t>
        </is>
      </c>
      <c r="C412" s="3" t="inlineStr">
        <is>
          <t>Tabela 1</t>
        </is>
      </c>
      <c r="D412" s="3" t="inlineStr">
        <is>
          <t>-23%</t>
        </is>
      </c>
      <c r="E412" s="3" t="inlineStr">
        <is>
          <t>Coluna 3</t>
        </is>
      </c>
      <c r="F412" s="3" t="inlineStr">
        <is>
          <t>+6%</t>
        </is>
      </c>
      <c r="G412" s="3" t="n"/>
      <c r="H412" s="3" t="n"/>
      <c r="I412" s="3">
        <f>IF(G412="","PENDENTE",IF(AND(ISNUMBER(F412),ISNUMBER(G412)),IF(ABS(G412-F412)&lt;=H412,"IGUAL","DIVERGENTE"),IF(TRIM(G412&amp;"")=TRIM(F412&amp;""),"IGUAL","DIVERGENTE")))</f>
        <v/>
      </c>
      <c r="J412" s="3" t="n"/>
    </row>
    <row r="413">
      <c r="A413" s="4" t="n">
        <v>28</v>
      </c>
      <c r="B413" s="4" t="inlineStr">
        <is>
          <t>UNIDADES VERTICAIS VENDIDAS ACUMULADO 12 MESES</t>
        </is>
      </c>
      <c r="C413" s="4" t="inlineStr">
        <is>
          <t>Tabela 1</t>
        </is>
      </c>
      <c r="D413" s="4" t="inlineStr">
        <is>
          <t>-23%</t>
        </is>
      </c>
      <c r="E413" s="4" t="inlineStr">
        <is>
          <t>Coluna 4</t>
        </is>
      </c>
      <c r="F413" s="4" t="inlineStr">
        <is>
          <t>+20%</t>
        </is>
      </c>
      <c r="G413" s="4" t="n"/>
      <c r="H413" s="4" t="n"/>
      <c r="I413" s="4">
        <f>IF(G413="","PENDENTE",IF(AND(ISNUMBER(F413),ISNUMBER(G413)),IF(ABS(G413-F413)&lt;=H413,"IGUAL","DIVERGENTE"),IF(TRIM(G413&amp;"")=TRIM(F413&amp;""),"IGUAL","DIVERGENTE")))</f>
        <v/>
      </c>
      <c r="J413" s="4" t="n"/>
    </row>
    <row r="414">
      <c r="A414" s="3" t="n">
        <v>29</v>
      </c>
      <c r="B414" s="3" t="inlineStr">
        <is>
          <t>UNIDADES VERTICAIS VENDIDAS POR TIPOLOGIA</t>
        </is>
      </c>
      <c r="C414" s="3" t="inlineStr">
        <is>
          <t>Gráfico 1 / plot 1</t>
        </is>
      </c>
      <c r="D414" s="3" t="inlineStr">
        <is>
          <t>1 dorm</t>
        </is>
      </c>
      <c r="E414" s="3" t="inlineStr">
        <is>
          <t>1S 2025</t>
        </is>
      </c>
      <c r="F414" s="3" t="n">
        <v>0.06342281879194631</v>
      </c>
      <c r="G414" s="3" t="n"/>
      <c r="H414" s="3" t="n">
        <v>0.005</v>
      </c>
      <c r="I414" s="3">
        <f>IF(G414="","PENDENTE",IF(AND(ISNUMBER(F414),ISNUMBER(G414)),IF(ABS(G414-F414)&lt;=H414,"IGUAL","DIVERGENTE"),IF(TRIM(G414&amp;"")=TRIM(F414&amp;""),"IGUAL","DIVERGENTE")))</f>
        <v/>
      </c>
      <c r="J414" s="3" t="n"/>
    </row>
    <row r="415">
      <c r="A415" s="4" t="n">
        <v>29</v>
      </c>
      <c r="B415" s="4" t="inlineStr">
        <is>
          <t>UNIDADES VERTICAIS VENDIDAS POR TIPOLOGIA</t>
        </is>
      </c>
      <c r="C415" s="4" t="inlineStr">
        <is>
          <t>Gráfico 1 / plot 1</t>
        </is>
      </c>
      <c r="D415" s="4" t="inlineStr">
        <is>
          <t>1 dorm</t>
        </is>
      </c>
      <c r="E415" s="4" t="inlineStr">
        <is>
          <t>2S 2025</t>
        </is>
      </c>
      <c r="F415" s="4" t="n">
        <v>0.03276003276003276</v>
      </c>
      <c r="G415" s="4" t="n"/>
      <c r="H415" s="4" t="n">
        <v>0.005</v>
      </c>
      <c r="I415" s="4">
        <f>IF(G415="","PENDENTE",IF(AND(ISNUMBER(F415),ISNUMBER(G415)),IF(ABS(G415-F415)&lt;=H415,"IGUAL","DIVERGENTE"),IF(TRIM(G415&amp;"")=TRIM(F415&amp;""),"IGUAL","DIVERGENTE")))</f>
        <v/>
      </c>
      <c r="J415" s="4" t="n"/>
    </row>
    <row r="416">
      <c r="A416" s="3" t="n">
        <v>29</v>
      </c>
      <c r="B416" s="3" t="inlineStr">
        <is>
          <t>UNIDADES VERTICAIS VENDIDAS POR TIPOLOGIA</t>
        </is>
      </c>
      <c r="C416" s="3" t="inlineStr">
        <is>
          <t>Gráfico 1 / plot 1</t>
        </is>
      </c>
      <c r="D416" s="3" t="inlineStr">
        <is>
          <t>2 dorm</t>
        </is>
      </c>
      <c r="E416" s="3" t="inlineStr">
        <is>
          <t>1S 2025</t>
        </is>
      </c>
      <c r="F416" s="3" t="n">
        <v>0.8805369127516779</v>
      </c>
      <c r="G416" s="3" t="n"/>
      <c r="H416" s="3" t="n">
        <v>0.005</v>
      </c>
      <c r="I416" s="3">
        <f>IF(G416="","PENDENTE",IF(AND(ISNUMBER(F416),ISNUMBER(G416)),IF(ABS(G416-F416)&lt;=H416,"IGUAL","DIVERGENTE"),IF(TRIM(G416&amp;"")=TRIM(F416&amp;""),"IGUAL","DIVERGENTE")))</f>
        <v/>
      </c>
      <c r="J416" s="3" t="n"/>
    </row>
    <row r="417">
      <c r="A417" s="4" t="n">
        <v>29</v>
      </c>
      <c r="B417" s="4" t="inlineStr">
        <is>
          <t>UNIDADES VERTICAIS VENDIDAS POR TIPOLOGIA</t>
        </is>
      </c>
      <c r="C417" s="4" t="inlineStr">
        <is>
          <t>Gráfico 1 / plot 1</t>
        </is>
      </c>
      <c r="D417" s="4" t="inlineStr">
        <is>
          <t>2 dorm</t>
        </is>
      </c>
      <c r="E417" s="4" t="inlineStr">
        <is>
          <t>2S 2025</t>
        </is>
      </c>
      <c r="F417" s="4" t="n">
        <v>0.9250614250614251</v>
      </c>
      <c r="G417" s="4" t="n"/>
      <c r="H417" s="4" t="n">
        <v>0.005</v>
      </c>
      <c r="I417" s="4">
        <f>IF(G417="","PENDENTE",IF(AND(ISNUMBER(F417),ISNUMBER(G417)),IF(ABS(G417-F417)&lt;=H417,"IGUAL","DIVERGENTE"),IF(TRIM(G417&amp;"")=TRIM(F417&amp;""),"IGUAL","DIVERGENTE")))</f>
        <v/>
      </c>
      <c r="J417" s="4" t="n"/>
    </row>
    <row r="418">
      <c r="A418" s="3" t="n">
        <v>29</v>
      </c>
      <c r="B418" s="3" t="inlineStr">
        <is>
          <t>UNIDADES VERTICAIS VENDIDAS POR TIPOLOGIA</t>
        </is>
      </c>
      <c r="C418" s="3" t="inlineStr">
        <is>
          <t>Gráfico 1 / plot 1</t>
        </is>
      </c>
      <c r="D418" s="3" t="inlineStr">
        <is>
          <t>3 dorm</t>
        </is>
      </c>
      <c r="E418" s="3" t="inlineStr">
        <is>
          <t>1S 2025</t>
        </is>
      </c>
      <c r="F418" s="3" t="n">
        <v>0.05570469798657718</v>
      </c>
      <c r="G418" s="3" t="n"/>
      <c r="H418" s="3" t="n">
        <v>0.005</v>
      </c>
      <c r="I418" s="3">
        <f>IF(G418="","PENDENTE",IF(AND(ISNUMBER(F418),ISNUMBER(G418)),IF(ABS(G418-F418)&lt;=H418,"IGUAL","DIVERGENTE"),IF(TRIM(G418&amp;"")=TRIM(F418&amp;""),"IGUAL","DIVERGENTE")))</f>
        <v/>
      </c>
      <c r="J418" s="3" t="n"/>
    </row>
    <row r="419">
      <c r="A419" s="4" t="n">
        <v>29</v>
      </c>
      <c r="B419" s="4" t="inlineStr">
        <is>
          <t>UNIDADES VERTICAIS VENDIDAS POR TIPOLOGIA</t>
        </is>
      </c>
      <c r="C419" s="4" t="inlineStr">
        <is>
          <t>Gráfico 1 / plot 1</t>
        </is>
      </c>
      <c r="D419" s="4" t="inlineStr">
        <is>
          <t>3 dorm</t>
        </is>
      </c>
      <c r="E419" s="4" t="inlineStr">
        <is>
          <t>2S 2025</t>
        </is>
      </c>
      <c r="F419" s="4" t="n">
        <v>0.04258804258804259</v>
      </c>
      <c r="G419" s="4" t="n"/>
      <c r="H419" s="4" t="n">
        <v>0.005</v>
      </c>
      <c r="I419" s="4">
        <f>IF(G419="","PENDENTE",IF(AND(ISNUMBER(F419),ISNUMBER(G419)),IF(ABS(G419-F419)&lt;=H419,"IGUAL","DIVERGENTE"),IF(TRIM(G419&amp;"")=TRIM(F419&amp;""),"IGUAL","DIVERGENTE")))</f>
        <v/>
      </c>
      <c r="J419" s="4" t="n"/>
    </row>
    <row r="420">
      <c r="A420" s="3" t="n">
        <v>29</v>
      </c>
      <c r="B420" s="3" t="inlineStr">
        <is>
          <t>UNIDADES VERTICAIS VENDIDAS POR TIPOLOGIA</t>
        </is>
      </c>
      <c r="C420" s="3" t="inlineStr">
        <is>
          <t>Gráfico 1 / plot 1</t>
        </is>
      </c>
      <c r="D420" s="3" t="inlineStr">
        <is>
          <t>4 dorm</t>
        </is>
      </c>
      <c r="E420" s="3" t="inlineStr">
        <is>
          <t>1S 2025</t>
        </is>
      </c>
      <c r="F420" s="3" t="n">
        <v>0.0003355704697986577</v>
      </c>
      <c r="G420" s="3" t="n"/>
      <c r="H420" s="3" t="n">
        <v>0.005</v>
      </c>
      <c r="I420" s="3">
        <f>IF(G420="","PENDENTE",IF(AND(ISNUMBER(F420),ISNUMBER(G420)),IF(ABS(G420-F420)&lt;=H420,"IGUAL","DIVERGENTE"),IF(TRIM(G420&amp;"")=TRIM(F420&amp;""),"IGUAL","DIVERGENTE")))</f>
        <v/>
      </c>
      <c r="J420" s="3" t="n"/>
    </row>
    <row r="421">
      <c r="A421" s="4" t="n">
        <v>29</v>
      </c>
      <c r="B421" s="4" t="inlineStr">
        <is>
          <t>UNIDADES VERTICAIS VENDIDAS POR TIPOLOGIA</t>
        </is>
      </c>
      <c r="C421" s="4" t="inlineStr">
        <is>
          <t>Gráfico 1 / plot 1</t>
        </is>
      </c>
      <c r="D421" s="4" t="inlineStr">
        <is>
          <t>4 dorm</t>
        </is>
      </c>
      <c r="E421" s="4" t="inlineStr">
        <is>
          <t>2S 2025</t>
        </is>
      </c>
      <c r="F421" s="4" t="n">
        <v>-0.0004095004095004095</v>
      </c>
      <c r="G421" s="4" t="n"/>
      <c r="H421" s="4" t="n">
        <v>0.005</v>
      </c>
      <c r="I421" s="4">
        <f>IF(G421="","PENDENTE",IF(AND(ISNUMBER(F421),ISNUMBER(G421)),IF(ABS(G421-F421)&lt;=H421,"IGUAL","DIVERGENTE"),IF(TRIM(G421&amp;"")=TRIM(F421&amp;""),"IGUAL","DIVERGENTE")))</f>
        <v/>
      </c>
      <c r="J421" s="4" t="n"/>
    </row>
    <row r="422">
      <c r="A422" s="3" t="n">
        <v>30</v>
      </c>
      <c r="B422" s="3" t="inlineStr">
        <is>
          <t>UNIDADES VERTICAIS VENDIDAS POR PADRÃO</t>
        </is>
      </c>
      <c r="C422" s="3" t="inlineStr">
        <is>
          <t>Gráfico 1 / plot 1</t>
        </is>
      </c>
      <c r="D422" s="3" t="inlineStr">
        <is>
          <t>Compactos</t>
        </is>
      </c>
      <c r="E422" s="3" t="inlineStr">
        <is>
          <t>1S 2025</t>
        </is>
      </c>
      <c r="F422" s="3" t="n">
        <v>0.05302013422818792</v>
      </c>
      <c r="G422" s="3" t="n"/>
      <c r="H422" s="3" t="n">
        <v>0.005</v>
      </c>
      <c r="I422" s="3">
        <f>IF(G422="","PENDENTE",IF(AND(ISNUMBER(F422),ISNUMBER(G422)),IF(ABS(G422-F422)&lt;=H422,"IGUAL","DIVERGENTE"),IF(TRIM(G422&amp;"")=TRIM(F422&amp;""),"IGUAL","DIVERGENTE")))</f>
        <v/>
      </c>
      <c r="J422" s="3" t="n"/>
    </row>
    <row r="423">
      <c r="A423" s="4" t="n">
        <v>30</v>
      </c>
      <c r="B423" s="4" t="inlineStr">
        <is>
          <t>UNIDADES VERTICAIS VENDIDAS POR PADRÃO</t>
        </is>
      </c>
      <c r="C423" s="4" t="inlineStr">
        <is>
          <t>Gráfico 1 / plot 1</t>
        </is>
      </c>
      <c r="D423" s="4" t="inlineStr">
        <is>
          <t>Compactos</t>
        </is>
      </c>
      <c r="E423" s="4" t="inlineStr">
        <is>
          <t>2S 2025</t>
        </is>
      </c>
      <c r="F423" s="4" t="n">
        <v>0.02989352989352989</v>
      </c>
      <c r="G423" s="4" t="n"/>
      <c r="H423" s="4" t="n">
        <v>0.005</v>
      </c>
      <c r="I423" s="4">
        <f>IF(G423="","PENDENTE",IF(AND(ISNUMBER(F423),ISNUMBER(G423)),IF(ABS(G423-F423)&lt;=H423,"IGUAL","DIVERGENTE"),IF(TRIM(G423&amp;"")=TRIM(F423&amp;""),"IGUAL","DIVERGENTE")))</f>
        <v/>
      </c>
      <c r="J423" s="4" t="n"/>
    </row>
    <row r="424">
      <c r="A424" s="3" t="n">
        <v>30</v>
      </c>
      <c r="B424" s="3" t="inlineStr">
        <is>
          <t>UNIDADES VERTICAIS VENDIDAS POR PADRÃO</t>
        </is>
      </c>
      <c r="C424" s="3" t="inlineStr">
        <is>
          <t>Gráfico 1 / plot 1</t>
        </is>
      </c>
      <c r="D424" s="3" t="inlineStr">
        <is>
          <t>MCMV</t>
        </is>
      </c>
      <c r="E424" s="3" t="inlineStr">
        <is>
          <t>1S 2025</t>
        </is>
      </c>
      <c r="F424" s="3" t="n">
        <v>0.5953020134228187</v>
      </c>
      <c r="G424" s="3" t="n"/>
      <c r="H424" s="3" t="n">
        <v>0.005</v>
      </c>
      <c r="I424" s="3">
        <f>IF(G424="","PENDENTE",IF(AND(ISNUMBER(F424),ISNUMBER(G424)),IF(ABS(G424-F424)&lt;=H424,"IGUAL","DIVERGENTE"),IF(TRIM(G424&amp;"")=TRIM(F424&amp;""),"IGUAL","DIVERGENTE")))</f>
        <v/>
      </c>
      <c r="J424" s="3" t="n"/>
    </row>
    <row r="425">
      <c r="A425" s="4" t="n">
        <v>30</v>
      </c>
      <c r="B425" s="4" t="inlineStr">
        <is>
          <t>UNIDADES VERTICAIS VENDIDAS POR PADRÃO</t>
        </is>
      </c>
      <c r="C425" s="4" t="inlineStr">
        <is>
          <t>Gráfico 1 / plot 1</t>
        </is>
      </c>
      <c r="D425" s="4" t="inlineStr">
        <is>
          <t>MCMV</t>
        </is>
      </c>
      <c r="E425" s="4" t="inlineStr">
        <is>
          <t>2S 2025</t>
        </is>
      </c>
      <c r="F425" s="4" t="n">
        <v>0.7616707616707616</v>
      </c>
      <c r="G425" s="4" t="n"/>
      <c r="H425" s="4" t="n">
        <v>0.005</v>
      </c>
      <c r="I425" s="4">
        <f>IF(G425="","PENDENTE",IF(AND(ISNUMBER(F425),ISNUMBER(G425)),IF(ABS(G425-F425)&lt;=H425,"IGUAL","DIVERGENTE"),IF(TRIM(G425&amp;"")=TRIM(F425&amp;""),"IGUAL","DIVERGENTE")))</f>
        <v/>
      </c>
      <c r="J425" s="4" t="n"/>
    </row>
    <row r="426">
      <c r="A426" s="3" t="n">
        <v>30</v>
      </c>
      <c r="B426" s="3" t="inlineStr">
        <is>
          <t>UNIDADES VERTICAIS VENDIDAS POR PADRÃO</t>
        </is>
      </c>
      <c r="C426" s="3" t="inlineStr">
        <is>
          <t>Gráfico 1 / plot 1</t>
        </is>
      </c>
      <c r="D426" s="3" t="inlineStr">
        <is>
          <t>Médio Padrão</t>
        </is>
      </c>
      <c r="E426" s="3" t="inlineStr">
        <is>
          <t>1S 2025</t>
        </is>
      </c>
      <c r="F426" s="3" t="n">
        <v>0.3516778523489933</v>
      </c>
      <c r="G426" s="3" t="n"/>
      <c r="H426" s="3" t="n">
        <v>0.005</v>
      </c>
      <c r="I426" s="3">
        <f>IF(G426="","PENDENTE",IF(AND(ISNUMBER(F426),ISNUMBER(G426)),IF(ABS(G426-F426)&lt;=H426,"IGUAL","DIVERGENTE"),IF(TRIM(G426&amp;"")=TRIM(F426&amp;""),"IGUAL","DIVERGENTE")))</f>
        <v/>
      </c>
      <c r="J426" s="3" t="n"/>
    </row>
    <row r="427">
      <c r="A427" s="4" t="n">
        <v>30</v>
      </c>
      <c r="B427" s="4" t="inlineStr">
        <is>
          <t>UNIDADES VERTICAIS VENDIDAS POR PADRÃO</t>
        </is>
      </c>
      <c r="C427" s="4" t="inlineStr">
        <is>
          <t>Gráfico 1 / plot 1</t>
        </is>
      </c>
      <c r="D427" s="4" t="inlineStr">
        <is>
          <t>Médio Padrão</t>
        </is>
      </c>
      <c r="E427" s="4" t="inlineStr">
        <is>
          <t>2S 2025</t>
        </is>
      </c>
      <c r="F427" s="4" t="n">
        <v>0.2076167076167076</v>
      </c>
      <c r="G427" s="4" t="n"/>
      <c r="H427" s="4" t="n">
        <v>0.005</v>
      </c>
      <c r="I427" s="4">
        <f>IF(G427="","PENDENTE",IF(AND(ISNUMBER(F427),ISNUMBER(G427)),IF(ABS(G427-F427)&lt;=H427,"IGUAL","DIVERGENTE"),IF(TRIM(G427&amp;"")=TRIM(F427&amp;""),"IGUAL","DIVERGENTE")))</f>
        <v/>
      </c>
      <c r="J427" s="4" t="n"/>
    </row>
    <row r="428">
      <c r="A428" s="3" t="n">
        <v>30</v>
      </c>
      <c r="B428" s="3" t="inlineStr">
        <is>
          <t>UNIDADES VERTICAIS VENDIDAS POR PADRÃO</t>
        </is>
      </c>
      <c r="C428" s="3" t="inlineStr">
        <is>
          <t>Gráfico 1 / plot 1</t>
        </is>
      </c>
      <c r="D428" s="3" t="inlineStr">
        <is>
          <t>Luxo</t>
        </is>
      </c>
      <c r="E428" s="3" t="inlineStr">
        <is>
          <t>1S 2025</t>
        </is>
      </c>
      <c r="F428" s="3" t="n">
        <v>0</v>
      </c>
      <c r="G428" s="3" t="n"/>
      <c r="H428" s="3" t="n">
        <v>0</v>
      </c>
      <c r="I428" s="3">
        <f>IF(G428="","PENDENTE",IF(AND(ISNUMBER(F428),ISNUMBER(G428)),IF(ABS(G428-F428)&lt;=H428,"IGUAL","DIVERGENTE"),IF(TRIM(G428&amp;"")=TRIM(F428&amp;""),"IGUAL","DIVERGENTE")))</f>
        <v/>
      </c>
      <c r="J428" s="3" t="n"/>
    </row>
    <row r="429">
      <c r="A429" s="4" t="n">
        <v>30</v>
      </c>
      <c r="B429" s="4" t="inlineStr">
        <is>
          <t>UNIDADES VERTICAIS VENDIDAS POR PADRÃO</t>
        </is>
      </c>
      <c r="C429" s="4" t="inlineStr">
        <is>
          <t>Gráfico 1 / plot 1</t>
        </is>
      </c>
      <c r="D429" s="4" t="inlineStr">
        <is>
          <t>Luxo</t>
        </is>
      </c>
      <c r="E429" s="4" t="inlineStr">
        <is>
          <t>2S 2025</t>
        </is>
      </c>
      <c r="F429" s="4" t="n">
        <v>0.0008190008190008191</v>
      </c>
      <c r="G429" s="4" t="n"/>
      <c r="H429" s="4" t="n">
        <v>0.005</v>
      </c>
      <c r="I429" s="4">
        <f>IF(G429="","PENDENTE",IF(AND(ISNUMBER(F429),ISNUMBER(G429)),IF(ABS(G429-F429)&lt;=H429,"IGUAL","DIVERGENTE"),IF(TRIM(G429&amp;"")=TRIM(F429&amp;""),"IGUAL","DIVERGENTE")))</f>
        <v/>
      </c>
      <c r="J429" s="4" t="n"/>
    </row>
    <row r="430">
      <c r="A430" s="3" t="n">
        <v>31</v>
      </c>
      <c r="B430" s="3" t="inlineStr">
        <is>
          <t>UNIDADES VERTICAIS VENDIDAS POR BAIRRO E CIDADE</t>
        </is>
      </c>
      <c r="C430" s="3" t="inlineStr">
        <is>
          <t>Gráfico 1 / plot 1</t>
        </is>
      </c>
      <c r="D430" s="3" t="inlineStr">
        <is>
          <t>Bairros</t>
        </is>
      </c>
      <c r="E430" s="3" t="inlineStr">
        <is>
          <t>Canoas</t>
        </is>
      </c>
      <c r="F430" s="3" t="n">
        <v>0.2678132678132678</v>
      </c>
      <c r="G430" s="3" t="n"/>
      <c r="H430" s="3" t="n">
        <v>0.005</v>
      </c>
      <c r="I430" s="3">
        <f>IF(G430="","PENDENTE",IF(AND(ISNUMBER(F430),ISNUMBER(G430)),IF(ABS(G430-F430)&lt;=H430,"IGUAL","DIVERGENTE"),IF(TRIM(G430&amp;"")=TRIM(F430&amp;""),"IGUAL","DIVERGENTE")))</f>
        <v/>
      </c>
      <c r="J430" s="3" t="n"/>
    </row>
    <row r="431">
      <c r="A431" s="4" t="n">
        <v>31</v>
      </c>
      <c r="B431" s="4" t="inlineStr">
        <is>
          <t>UNIDADES VERTICAIS VENDIDAS POR BAIRRO E CIDADE</t>
        </is>
      </c>
      <c r="C431" s="4" t="inlineStr">
        <is>
          <t>Gráfico 1 / plot 1</t>
        </is>
      </c>
      <c r="D431" s="4" t="inlineStr">
        <is>
          <t>Bairros</t>
        </is>
      </c>
      <c r="E431" s="4" t="inlineStr">
        <is>
          <t>Viamão</t>
        </is>
      </c>
      <c r="F431" s="4" t="n">
        <v>0.2051597051597052</v>
      </c>
      <c r="G431" s="4" t="n"/>
      <c r="H431" s="4" t="n">
        <v>0.005</v>
      </c>
      <c r="I431" s="4">
        <f>IF(G431="","PENDENTE",IF(AND(ISNUMBER(F431),ISNUMBER(G431)),IF(ABS(G431-F431)&lt;=H431,"IGUAL","DIVERGENTE"),IF(TRIM(G431&amp;"")=TRIM(F431&amp;""),"IGUAL","DIVERGENTE")))</f>
        <v/>
      </c>
      <c r="J431" s="4" t="n"/>
    </row>
    <row r="432">
      <c r="A432" s="3" t="n">
        <v>31</v>
      </c>
      <c r="B432" s="3" t="inlineStr">
        <is>
          <t>UNIDADES VERTICAIS VENDIDAS POR BAIRRO E CIDADE</t>
        </is>
      </c>
      <c r="C432" s="3" t="inlineStr">
        <is>
          <t>Gráfico 1 / plot 1</t>
        </is>
      </c>
      <c r="D432" s="3" t="inlineStr">
        <is>
          <t>Bairros</t>
        </is>
      </c>
      <c r="E432" s="3" t="inlineStr">
        <is>
          <t>Novo Hamburgo</t>
        </is>
      </c>
      <c r="F432" s="3" t="n">
        <v>0.1863226863226863</v>
      </c>
      <c r="G432" s="3" t="n"/>
      <c r="H432" s="3" t="n">
        <v>0.005</v>
      </c>
      <c r="I432" s="3">
        <f>IF(G432="","PENDENTE",IF(AND(ISNUMBER(F432),ISNUMBER(G432)),IF(ABS(G432-F432)&lt;=H432,"IGUAL","DIVERGENTE"),IF(TRIM(G432&amp;"")=TRIM(F432&amp;""),"IGUAL","DIVERGENTE")))</f>
        <v/>
      </c>
      <c r="J432" s="3" t="n"/>
    </row>
    <row r="433">
      <c r="A433" s="4" t="n">
        <v>31</v>
      </c>
      <c r="B433" s="4" t="inlineStr">
        <is>
          <t>UNIDADES VERTICAIS VENDIDAS POR BAIRRO E CIDADE</t>
        </is>
      </c>
      <c r="C433" s="4" t="inlineStr">
        <is>
          <t>Gráfico 1 / plot 1</t>
        </is>
      </c>
      <c r="D433" s="4" t="inlineStr">
        <is>
          <t>Bairros</t>
        </is>
      </c>
      <c r="E433" s="4" t="inlineStr">
        <is>
          <t>Gravataí</t>
        </is>
      </c>
      <c r="F433" s="4" t="n">
        <v>0.110974610974611</v>
      </c>
      <c r="G433" s="4" t="n"/>
      <c r="H433" s="4" t="n">
        <v>0.005</v>
      </c>
      <c r="I433" s="4">
        <f>IF(G433="","PENDENTE",IF(AND(ISNUMBER(F433),ISNUMBER(G433)),IF(ABS(G433-F433)&lt;=H433,"IGUAL","DIVERGENTE"),IF(TRIM(G433&amp;"")=TRIM(F433&amp;""),"IGUAL","DIVERGENTE")))</f>
        <v/>
      </c>
      <c r="J433" s="4" t="n"/>
    </row>
    <row r="434">
      <c r="A434" s="3" t="n">
        <v>31</v>
      </c>
      <c r="B434" s="3" t="inlineStr">
        <is>
          <t>UNIDADES VERTICAIS VENDIDAS POR BAIRRO E CIDADE</t>
        </is>
      </c>
      <c r="C434" s="3" t="inlineStr">
        <is>
          <t>Gráfico 1 / plot 1</t>
        </is>
      </c>
      <c r="D434" s="3" t="inlineStr">
        <is>
          <t>Bairros</t>
        </is>
      </c>
      <c r="E434" s="3" t="inlineStr">
        <is>
          <t>São Leopoldo</t>
        </is>
      </c>
      <c r="F434" s="3" t="n">
        <v>0.1076986076986077</v>
      </c>
      <c r="G434" s="3" t="n"/>
      <c r="H434" s="3" t="n">
        <v>0.005</v>
      </c>
      <c r="I434" s="3">
        <f>IF(G434="","PENDENTE",IF(AND(ISNUMBER(F434),ISNUMBER(G434)),IF(ABS(G434-F434)&lt;=H434,"IGUAL","DIVERGENTE"),IF(TRIM(G434&amp;"")=TRIM(F434&amp;""),"IGUAL","DIVERGENTE")))</f>
        <v/>
      </c>
      <c r="J434" s="3" t="n"/>
    </row>
    <row r="435">
      <c r="A435" s="4" t="n">
        <v>31</v>
      </c>
      <c r="B435" s="4" t="inlineStr">
        <is>
          <t>UNIDADES VERTICAIS VENDIDAS POR BAIRRO E CIDADE</t>
        </is>
      </c>
      <c r="C435" s="4" t="inlineStr">
        <is>
          <t>Gráfico 1 / plot 1</t>
        </is>
      </c>
      <c r="D435" s="4" t="inlineStr">
        <is>
          <t>Bairros</t>
        </is>
      </c>
      <c r="E435" s="4" t="inlineStr">
        <is>
          <t>Cachoeirinha</t>
        </is>
      </c>
      <c r="F435" s="4" t="n">
        <v>0.04995904995904996</v>
      </c>
      <c r="G435" s="4" t="n"/>
      <c r="H435" s="4" t="n">
        <v>0.005</v>
      </c>
      <c r="I435" s="4">
        <f>IF(G435="","PENDENTE",IF(AND(ISNUMBER(F435),ISNUMBER(G435)),IF(ABS(G435-F435)&lt;=H435,"IGUAL","DIVERGENTE"),IF(TRIM(G435&amp;"")=TRIM(F435&amp;""),"IGUAL","DIVERGENTE")))</f>
        <v/>
      </c>
      <c r="J435" s="4" t="n"/>
    </row>
    <row r="436">
      <c r="A436" s="3" t="n">
        <v>31</v>
      </c>
      <c r="B436" s="3" t="inlineStr">
        <is>
          <t>UNIDADES VERTICAIS VENDIDAS POR BAIRRO E CIDADE</t>
        </is>
      </c>
      <c r="C436" s="3" t="inlineStr">
        <is>
          <t>Gráfico 1 / plot 1</t>
        </is>
      </c>
      <c r="D436" s="3" t="inlineStr">
        <is>
          <t>Bairros</t>
        </is>
      </c>
      <c r="E436" s="3" t="inlineStr">
        <is>
          <t>Esteio</t>
        </is>
      </c>
      <c r="F436" s="3" t="n">
        <v>0.03931203931203931</v>
      </c>
      <c r="G436" s="3" t="n"/>
      <c r="H436" s="3" t="n">
        <v>0.005</v>
      </c>
      <c r="I436" s="3">
        <f>IF(G436="","PENDENTE",IF(AND(ISNUMBER(F436),ISNUMBER(G436)),IF(ABS(G436-F436)&lt;=H436,"IGUAL","DIVERGENTE"),IF(TRIM(G436&amp;"")=TRIM(F436&amp;""),"IGUAL","DIVERGENTE")))</f>
        <v/>
      </c>
      <c r="J436" s="3" t="n"/>
    </row>
    <row r="437">
      <c r="A437" s="4" t="n">
        <v>31</v>
      </c>
      <c r="B437" s="4" t="inlineStr">
        <is>
          <t>UNIDADES VERTICAIS VENDIDAS POR BAIRRO E CIDADE</t>
        </is>
      </c>
      <c r="C437" s="4" t="inlineStr">
        <is>
          <t>Gráfico 1 / plot 1</t>
        </is>
      </c>
      <c r="D437" s="4" t="inlineStr">
        <is>
          <t>Bairros</t>
        </is>
      </c>
      <c r="E437" s="4" t="inlineStr">
        <is>
          <t>Alvorada</t>
        </is>
      </c>
      <c r="F437" s="4" t="n">
        <v>0.02497952497952498</v>
      </c>
      <c r="G437" s="4" t="n"/>
      <c r="H437" s="4" t="n">
        <v>0.005</v>
      </c>
      <c r="I437" s="4">
        <f>IF(G437="","PENDENTE",IF(AND(ISNUMBER(F437),ISNUMBER(G437)),IF(ABS(G437-F437)&lt;=H437,"IGUAL","DIVERGENTE"),IF(TRIM(G437&amp;"")=TRIM(F437&amp;""),"IGUAL","DIVERGENTE")))</f>
        <v/>
      </c>
      <c r="J437" s="4" t="n"/>
    </row>
    <row r="438">
      <c r="A438" s="3" t="n">
        <v>31</v>
      </c>
      <c r="B438" s="3" t="inlineStr">
        <is>
          <t>UNIDADES VERTICAIS VENDIDAS POR BAIRRO E CIDADE</t>
        </is>
      </c>
      <c r="C438" s="3" t="inlineStr">
        <is>
          <t>Gráfico 1 / plot 1</t>
        </is>
      </c>
      <c r="D438" s="3" t="inlineStr">
        <is>
          <t>Bairros</t>
        </is>
      </c>
      <c r="E438" s="3" t="inlineStr">
        <is>
          <t>Guaíba</t>
        </is>
      </c>
      <c r="F438" s="3" t="n">
        <v>0.007780507780507781</v>
      </c>
      <c r="G438" s="3" t="n"/>
      <c r="H438" s="3" t="n">
        <v>0.005</v>
      </c>
      <c r="I438" s="3">
        <f>IF(G438="","PENDENTE",IF(AND(ISNUMBER(F438),ISNUMBER(G438)),IF(ABS(G438-F438)&lt;=H438,"IGUAL","DIVERGENTE"),IF(TRIM(G438&amp;"")=TRIM(F438&amp;""),"IGUAL","DIVERGENTE")))</f>
        <v/>
      </c>
      <c r="J438" s="3" t="n"/>
    </row>
    <row r="439">
      <c r="A439" s="4" t="n">
        <v>31</v>
      </c>
      <c r="B439" s="4" t="inlineStr">
        <is>
          <t>UNIDADES VERTICAIS VENDIDAS POR BAIRRO E CIDADE</t>
        </is>
      </c>
      <c r="C439" s="4" t="inlineStr">
        <is>
          <t>Gráfico 2 / plot 1</t>
        </is>
      </c>
      <c r="D439" s="4" t="inlineStr">
        <is>
          <t>Bairros</t>
        </is>
      </c>
      <c r="E439" s="4" t="inlineStr">
        <is>
          <t>Sítio São José - Viamão</t>
        </is>
      </c>
      <c r="F439" s="4" t="n">
        <v>0.1101556101556102</v>
      </c>
      <c r="G439" s="4" t="n"/>
      <c r="H439" s="4" t="n">
        <v>0.005</v>
      </c>
      <c r="I439" s="4">
        <f>IF(G439="","PENDENTE",IF(AND(ISNUMBER(F439),ISNUMBER(G439)),IF(ABS(G439-F439)&lt;=H439,"IGUAL","DIVERGENTE"),IF(TRIM(G439&amp;"")=TRIM(F439&amp;""),"IGUAL","DIVERGENTE")))</f>
        <v/>
      </c>
      <c r="J439" s="4" t="n"/>
    </row>
    <row r="440">
      <c r="A440" s="3" t="n">
        <v>31</v>
      </c>
      <c r="B440" s="3" t="inlineStr">
        <is>
          <t>UNIDADES VERTICAIS VENDIDAS POR BAIRRO E CIDADE</t>
        </is>
      </c>
      <c r="C440" s="3" t="inlineStr">
        <is>
          <t>Gráfico 2 / plot 1</t>
        </is>
      </c>
      <c r="D440" s="3" t="inlineStr">
        <is>
          <t>Bairros</t>
        </is>
      </c>
      <c r="E440" s="3" t="inlineStr">
        <is>
          <t>Novo Mundo - Gravataí</t>
        </is>
      </c>
      <c r="F440" s="3" t="n">
        <v>0.08230958230958231</v>
      </c>
      <c r="G440" s="3" t="n"/>
      <c r="H440" s="3" t="n">
        <v>0.005</v>
      </c>
      <c r="I440" s="3">
        <f>IF(G440="","PENDENTE",IF(AND(ISNUMBER(F440),ISNUMBER(G440)),IF(ABS(G440-F440)&lt;=H440,"IGUAL","DIVERGENTE"),IF(TRIM(G440&amp;"")=TRIM(F440&amp;""),"IGUAL","DIVERGENTE")))</f>
        <v/>
      </c>
      <c r="J440" s="3" t="n"/>
    </row>
    <row r="441">
      <c r="A441" s="4" t="n">
        <v>31</v>
      </c>
      <c r="B441" s="4" t="inlineStr">
        <is>
          <t>UNIDADES VERTICAIS VENDIDAS POR BAIRRO E CIDADE</t>
        </is>
      </c>
      <c r="C441" s="4" t="inlineStr">
        <is>
          <t>Gráfico 2 / plot 1</t>
        </is>
      </c>
      <c r="D441" s="4" t="inlineStr">
        <is>
          <t>Bairros</t>
        </is>
      </c>
      <c r="E441" s="4" t="inlineStr">
        <is>
          <t>Igará - Canoas</t>
        </is>
      </c>
      <c r="F441" s="4" t="n">
        <v>0.08067158067158067</v>
      </c>
      <c r="G441" s="4" t="n"/>
      <c r="H441" s="4" t="n">
        <v>0.005</v>
      </c>
      <c r="I441" s="4">
        <f>IF(G441="","PENDENTE",IF(AND(ISNUMBER(F441),ISNUMBER(G441)),IF(ABS(G441-F441)&lt;=H441,"IGUAL","DIVERGENTE"),IF(TRIM(G441&amp;"")=TRIM(F441&amp;""),"IGUAL","DIVERGENTE")))</f>
        <v/>
      </c>
      <c r="J441" s="4" t="n"/>
    </row>
    <row r="442">
      <c r="A442" s="3" t="n">
        <v>31</v>
      </c>
      <c r="B442" s="3" t="inlineStr">
        <is>
          <t>UNIDADES VERTICAIS VENDIDAS POR BAIRRO E CIDADE</t>
        </is>
      </c>
      <c r="C442" s="3" t="inlineStr">
        <is>
          <t>Gráfico 2 / plot 1</t>
        </is>
      </c>
      <c r="D442" s="3" t="inlineStr">
        <is>
          <t>Bairros</t>
        </is>
      </c>
      <c r="E442" s="3" t="inlineStr">
        <is>
          <t>Fátima - Canoas</t>
        </is>
      </c>
      <c r="F442" s="3" t="n">
        <v>0.07002457002457002</v>
      </c>
      <c r="G442" s="3" t="n"/>
      <c r="H442" s="3" t="n">
        <v>0.005</v>
      </c>
      <c r="I442" s="3">
        <f>IF(G442="","PENDENTE",IF(AND(ISNUMBER(F442),ISNUMBER(G442)),IF(ABS(G442-F442)&lt;=H442,"IGUAL","DIVERGENTE"),IF(TRIM(G442&amp;"")=TRIM(F442&amp;""),"IGUAL","DIVERGENTE")))</f>
        <v/>
      </c>
      <c r="J442" s="3" t="n"/>
    </row>
    <row r="443">
      <c r="A443" s="4" t="n">
        <v>31</v>
      </c>
      <c r="B443" s="4" t="inlineStr">
        <is>
          <t>UNIDADES VERTICAIS VENDIDAS POR BAIRRO E CIDADE</t>
        </is>
      </c>
      <c r="C443" s="4" t="inlineStr">
        <is>
          <t>Gráfico 2 / plot 1</t>
        </is>
      </c>
      <c r="D443" s="4" t="inlineStr">
        <is>
          <t>Bairros</t>
        </is>
      </c>
      <c r="E443" s="4" t="inlineStr">
        <is>
          <t>Canudos - Novo Hamburgo</t>
        </is>
      </c>
      <c r="F443" s="4" t="n">
        <v>0.05855855855855856</v>
      </c>
      <c r="G443" s="4" t="n"/>
      <c r="H443" s="4" t="n">
        <v>0.005</v>
      </c>
      <c r="I443" s="4">
        <f>IF(G443="","PENDENTE",IF(AND(ISNUMBER(F443),ISNUMBER(G443)),IF(ABS(G443-F443)&lt;=H443,"IGUAL","DIVERGENTE"),IF(TRIM(G443&amp;"")=TRIM(F443&amp;""),"IGUAL","DIVERGENTE")))</f>
        <v/>
      </c>
      <c r="J443" s="4" t="n"/>
    </row>
    <row r="444">
      <c r="A444" s="3" t="n">
        <v>31</v>
      </c>
      <c r="B444" s="3" t="inlineStr">
        <is>
          <t>UNIDADES VERTICAIS VENDIDAS POR BAIRRO E CIDADE</t>
        </is>
      </c>
      <c r="C444" s="3" t="inlineStr">
        <is>
          <t>Gráfico 2 / plot 1</t>
        </is>
      </c>
      <c r="D444" s="3" t="inlineStr">
        <is>
          <t>Bairros</t>
        </is>
      </c>
      <c r="E444" s="3" t="inlineStr">
        <is>
          <t>Querencia - Viamão</t>
        </is>
      </c>
      <c r="F444" s="3" t="n">
        <v>0.05814905814905815</v>
      </c>
      <c r="G444" s="3" t="n"/>
      <c r="H444" s="3" t="n">
        <v>0.005</v>
      </c>
      <c r="I444" s="3">
        <f>IF(G444="","PENDENTE",IF(AND(ISNUMBER(F444),ISNUMBER(G444)),IF(ABS(G444-F444)&lt;=H444,"IGUAL","DIVERGENTE"),IF(TRIM(G444&amp;"")=TRIM(F444&amp;""),"IGUAL","DIVERGENTE")))</f>
        <v/>
      </c>
      <c r="J444" s="3" t="n"/>
    </row>
    <row r="445">
      <c r="A445" s="4" t="n">
        <v>31</v>
      </c>
      <c r="B445" s="4" t="inlineStr">
        <is>
          <t>UNIDADES VERTICAIS VENDIDAS POR BAIRRO E CIDADE</t>
        </is>
      </c>
      <c r="C445" s="4" t="inlineStr">
        <is>
          <t>Gráfico 2 / plot 1</t>
        </is>
      </c>
      <c r="D445" s="4" t="inlineStr">
        <is>
          <t>Bairros</t>
        </is>
      </c>
      <c r="E445" s="4" t="inlineStr">
        <is>
          <t>Centro - Novo Hamburgo</t>
        </is>
      </c>
      <c r="F445" s="4" t="n">
        <v>0.04914004914004914</v>
      </c>
      <c r="G445" s="4" t="n"/>
      <c r="H445" s="4" t="n">
        <v>0.005</v>
      </c>
      <c r="I445" s="4">
        <f>IF(G445="","PENDENTE",IF(AND(ISNUMBER(F445),ISNUMBER(G445)),IF(ABS(G445-F445)&lt;=H445,"IGUAL","DIVERGENTE"),IF(TRIM(G445&amp;"")=TRIM(F445&amp;""),"IGUAL","DIVERGENTE")))</f>
        <v/>
      </c>
      <c r="J445" s="4" t="n"/>
    </row>
    <row r="446">
      <c r="A446" s="3" t="n">
        <v>32</v>
      </c>
      <c r="B446" s="3" t="inlineStr">
        <is>
          <t>VGV VENDIDO VERTICAL (R$ MILHÕES)</t>
        </is>
      </c>
      <c r="C446" s="3" t="inlineStr">
        <is>
          <t>Gráfico 1 / plot 1</t>
        </is>
      </c>
      <c r="D446" s="3" t="inlineStr">
        <is>
          <t>RM de Porto Alegre</t>
        </is>
      </c>
      <c r="E446" s="3" t="inlineStr">
        <is>
          <t>4T/21</t>
        </is>
      </c>
      <c r="F446" s="3" t="n">
        <v>441.2005917986252</v>
      </c>
      <c r="G446" s="3" t="n"/>
      <c r="H446" s="3" t="n">
        <v>0.005</v>
      </c>
      <c r="I446" s="3">
        <f>IF(G446="","PENDENTE",IF(AND(ISNUMBER(F446),ISNUMBER(G446)),IF(ABS(G446-F446)&lt;=H446,"IGUAL","DIVERGENTE"),IF(TRIM(G446&amp;"")=TRIM(F446&amp;""),"IGUAL","DIVERGENTE")))</f>
        <v/>
      </c>
      <c r="J446" s="3" t="n"/>
    </row>
    <row r="447">
      <c r="A447" s="4" t="n">
        <v>32</v>
      </c>
      <c r="B447" s="4" t="inlineStr">
        <is>
          <t>VGV VENDIDO VERTICAL (R$ MILHÕES)</t>
        </is>
      </c>
      <c r="C447" s="4" t="inlineStr">
        <is>
          <t>Gráfico 1 / plot 1</t>
        </is>
      </c>
      <c r="D447" s="4" t="inlineStr">
        <is>
          <t>RM de Porto Alegre</t>
        </is>
      </c>
      <c r="E447" s="4" t="inlineStr">
        <is>
          <t>1T/22</t>
        </is>
      </c>
      <c r="F447" s="4" t="n">
        <v>478.9171312265488</v>
      </c>
      <c r="G447" s="4" t="n"/>
      <c r="H447" s="4" t="n">
        <v>0.005</v>
      </c>
      <c r="I447" s="4">
        <f>IF(G447="","PENDENTE",IF(AND(ISNUMBER(F447),ISNUMBER(G447)),IF(ABS(G447-F447)&lt;=H447,"IGUAL","DIVERGENTE"),IF(TRIM(G447&amp;"")=TRIM(F447&amp;""),"IGUAL","DIVERGENTE")))</f>
        <v/>
      </c>
      <c r="J447" s="4" t="n"/>
    </row>
    <row r="448">
      <c r="A448" s="3" t="n">
        <v>32</v>
      </c>
      <c r="B448" s="3" t="inlineStr">
        <is>
          <t>VGV VENDIDO VERTICAL (R$ MILHÕES)</t>
        </is>
      </c>
      <c r="C448" s="3" t="inlineStr">
        <is>
          <t>Gráfico 1 / plot 1</t>
        </is>
      </c>
      <c r="D448" s="3" t="inlineStr">
        <is>
          <t>RM de Porto Alegre</t>
        </is>
      </c>
      <c r="E448" s="3" t="inlineStr">
        <is>
          <t>2T/22</t>
        </is>
      </c>
      <c r="F448" s="3" t="n">
        <v>371.9396003264231</v>
      </c>
      <c r="G448" s="3" t="n"/>
      <c r="H448" s="3" t="n">
        <v>0.005</v>
      </c>
      <c r="I448" s="3">
        <f>IF(G448="","PENDENTE",IF(AND(ISNUMBER(F448),ISNUMBER(G448)),IF(ABS(G448-F448)&lt;=H448,"IGUAL","DIVERGENTE"),IF(TRIM(G448&amp;"")=TRIM(F448&amp;""),"IGUAL","DIVERGENTE")))</f>
        <v/>
      </c>
      <c r="J448" s="3" t="n"/>
    </row>
    <row r="449">
      <c r="A449" s="4" t="n">
        <v>32</v>
      </c>
      <c r="B449" s="4" t="inlineStr">
        <is>
          <t>VGV VENDIDO VERTICAL (R$ MILHÕES)</t>
        </is>
      </c>
      <c r="C449" s="4" t="inlineStr">
        <is>
          <t>Gráfico 1 / plot 1</t>
        </is>
      </c>
      <c r="D449" s="4" t="inlineStr">
        <is>
          <t>RM de Porto Alegre</t>
        </is>
      </c>
      <c r="E449" s="4" t="inlineStr">
        <is>
          <t>3T/22</t>
        </is>
      </c>
      <c r="F449" s="4" t="n">
        <v>300.0894327272344</v>
      </c>
      <c r="G449" s="4" t="n"/>
      <c r="H449" s="4" t="n">
        <v>0.005</v>
      </c>
      <c r="I449" s="4">
        <f>IF(G449="","PENDENTE",IF(AND(ISNUMBER(F449),ISNUMBER(G449)),IF(ABS(G449-F449)&lt;=H449,"IGUAL","DIVERGENTE"),IF(TRIM(G449&amp;"")=TRIM(F449&amp;""),"IGUAL","DIVERGENTE")))</f>
        <v/>
      </c>
      <c r="J449" s="4" t="n"/>
    </row>
    <row r="450">
      <c r="A450" s="3" t="n">
        <v>32</v>
      </c>
      <c r="B450" s="3" t="inlineStr">
        <is>
          <t>VGV VENDIDO VERTICAL (R$ MILHÕES)</t>
        </is>
      </c>
      <c r="C450" s="3" t="inlineStr">
        <is>
          <t>Gráfico 1 / plot 1</t>
        </is>
      </c>
      <c r="D450" s="3" t="inlineStr">
        <is>
          <t>RM de Porto Alegre</t>
        </is>
      </c>
      <c r="E450" s="3" t="inlineStr">
        <is>
          <t>4T/22</t>
        </is>
      </c>
      <c r="F450" s="3" t="n">
        <v>382.5261987160035</v>
      </c>
      <c r="G450" s="3" t="n"/>
      <c r="H450" s="3" t="n">
        <v>0.005</v>
      </c>
      <c r="I450" s="3">
        <f>IF(G450="","PENDENTE",IF(AND(ISNUMBER(F450),ISNUMBER(G450)),IF(ABS(G450-F450)&lt;=H450,"IGUAL","DIVERGENTE"),IF(TRIM(G450&amp;"")=TRIM(F450&amp;""),"IGUAL","DIVERGENTE")))</f>
        <v/>
      </c>
      <c r="J450" s="3" t="n"/>
    </row>
    <row r="451">
      <c r="A451" s="4" t="n">
        <v>32</v>
      </c>
      <c r="B451" s="4" t="inlineStr">
        <is>
          <t>VGV VENDIDO VERTICAL (R$ MILHÕES)</t>
        </is>
      </c>
      <c r="C451" s="4" t="inlineStr">
        <is>
          <t>Gráfico 1 / plot 1</t>
        </is>
      </c>
      <c r="D451" s="4" t="inlineStr">
        <is>
          <t>RM de Porto Alegre</t>
        </is>
      </c>
      <c r="E451" s="4" t="inlineStr">
        <is>
          <t>1T/23</t>
        </is>
      </c>
      <c r="F451" s="4" t="n">
        <v>461.1728336692958</v>
      </c>
      <c r="G451" s="4" t="n"/>
      <c r="H451" s="4" t="n">
        <v>0.005</v>
      </c>
      <c r="I451" s="4">
        <f>IF(G451="","PENDENTE",IF(AND(ISNUMBER(F451),ISNUMBER(G451)),IF(ABS(G451-F451)&lt;=H451,"IGUAL","DIVERGENTE"),IF(TRIM(G451&amp;"")=TRIM(F451&amp;""),"IGUAL","DIVERGENTE")))</f>
        <v/>
      </c>
      <c r="J451" s="4" t="n"/>
    </row>
    <row r="452">
      <c r="A452" s="3" t="n">
        <v>32</v>
      </c>
      <c r="B452" s="3" t="inlineStr">
        <is>
          <t>VGV VENDIDO VERTICAL (R$ MILHÕES)</t>
        </is>
      </c>
      <c r="C452" s="3" t="inlineStr">
        <is>
          <t>Gráfico 1 / plot 1</t>
        </is>
      </c>
      <c r="D452" s="3" t="inlineStr">
        <is>
          <t>RM de Porto Alegre</t>
        </is>
      </c>
      <c r="E452" s="3" t="inlineStr">
        <is>
          <t>2T/23</t>
        </is>
      </c>
      <c r="F452" s="3" t="n">
        <v>362.6751109512125</v>
      </c>
      <c r="G452" s="3" t="n"/>
      <c r="H452" s="3" t="n">
        <v>0.005</v>
      </c>
      <c r="I452" s="3">
        <f>IF(G452="","PENDENTE",IF(AND(ISNUMBER(F452),ISNUMBER(G452)),IF(ABS(G452-F452)&lt;=H452,"IGUAL","DIVERGENTE"),IF(TRIM(G452&amp;"")=TRIM(F452&amp;""),"IGUAL","DIVERGENTE")))</f>
        <v/>
      </c>
      <c r="J452" s="3" t="n"/>
    </row>
    <row r="453">
      <c r="A453" s="4" t="n">
        <v>32</v>
      </c>
      <c r="B453" s="4" t="inlineStr">
        <is>
          <t>VGV VENDIDO VERTICAL (R$ MILHÕES)</t>
        </is>
      </c>
      <c r="C453" s="4" t="inlineStr">
        <is>
          <t>Gráfico 1 / plot 1</t>
        </is>
      </c>
      <c r="D453" s="4" t="inlineStr">
        <is>
          <t>RM de Porto Alegre</t>
        </is>
      </c>
      <c r="E453" s="4" t="inlineStr">
        <is>
          <t>3T/23</t>
        </is>
      </c>
      <c r="F453" s="4" t="n">
        <v>322.6928144827302</v>
      </c>
      <c r="G453" s="4" t="n"/>
      <c r="H453" s="4" t="n">
        <v>0.005</v>
      </c>
      <c r="I453" s="4">
        <f>IF(G453="","PENDENTE",IF(AND(ISNUMBER(F453),ISNUMBER(G453)),IF(ABS(G453-F453)&lt;=H453,"IGUAL","DIVERGENTE"),IF(TRIM(G453&amp;"")=TRIM(F453&amp;""),"IGUAL","DIVERGENTE")))</f>
        <v/>
      </c>
      <c r="J453" s="4" t="n"/>
    </row>
    <row r="454">
      <c r="A454" s="3" t="n">
        <v>32</v>
      </c>
      <c r="B454" s="3" t="inlineStr">
        <is>
          <t>VGV VENDIDO VERTICAL (R$ MILHÕES)</t>
        </is>
      </c>
      <c r="C454" s="3" t="inlineStr">
        <is>
          <t>Gráfico 1 / plot 1</t>
        </is>
      </c>
      <c r="D454" s="3" t="inlineStr">
        <is>
          <t>RM de Porto Alegre</t>
        </is>
      </c>
      <c r="E454" s="3" t="inlineStr">
        <is>
          <t>4T/23</t>
        </is>
      </c>
      <c r="F454" s="3" t="n">
        <v>381.6790693605855</v>
      </c>
      <c r="G454" s="3" t="n"/>
      <c r="H454" s="3" t="n">
        <v>0.005</v>
      </c>
      <c r="I454" s="3">
        <f>IF(G454="","PENDENTE",IF(AND(ISNUMBER(F454),ISNUMBER(G454)),IF(ABS(G454-F454)&lt;=H454,"IGUAL","DIVERGENTE"),IF(TRIM(G454&amp;"")=TRIM(F454&amp;""),"IGUAL","DIVERGENTE")))</f>
        <v/>
      </c>
      <c r="J454" s="3" t="n"/>
    </row>
    <row r="455">
      <c r="A455" s="4" t="n">
        <v>32</v>
      </c>
      <c r="B455" s="4" t="inlineStr">
        <is>
          <t>VGV VENDIDO VERTICAL (R$ MILHÕES)</t>
        </is>
      </c>
      <c r="C455" s="4" t="inlineStr">
        <is>
          <t>Gráfico 1 / plot 1</t>
        </is>
      </c>
      <c r="D455" s="4" t="inlineStr">
        <is>
          <t>RM de Porto Alegre</t>
        </is>
      </c>
      <c r="E455" s="4" t="inlineStr">
        <is>
          <t>1T/24</t>
        </is>
      </c>
      <c r="F455" s="4" t="n">
        <v>397.432405480369</v>
      </c>
      <c r="G455" s="4" t="n"/>
      <c r="H455" s="4" t="n">
        <v>0.005</v>
      </c>
      <c r="I455" s="4">
        <f>IF(G455="","PENDENTE",IF(AND(ISNUMBER(F455),ISNUMBER(G455)),IF(ABS(G455-F455)&lt;=H455,"IGUAL","DIVERGENTE"),IF(TRIM(G455&amp;"")=TRIM(F455&amp;""),"IGUAL","DIVERGENTE")))</f>
        <v/>
      </c>
      <c r="J455" s="4" t="n"/>
    </row>
    <row r="456">
      <c r="A456" s="3" t="n">
        <v>32</v>
      </c>
      <c r="B456" s="3" t="inlineStr">
        <is>
          <t>VGV VENDIDO VERTICAL (R$ MILHÕES)</t>
        </is>
      </c>
      <c r="C456" s="3" t="inlineStr">
        <is>
          <t>Gráfico 1 / plot 1</t>
        </is>
      </c>
      <c r="D456" s="3" t="inlineStr">
        <is>
          <t>RM de Porto Alegre</t>
        </is>
      </c>
      <c r="E456" s="3" t="inlineStr">
        <is>
          <t>2T/24</t>
        </is>
      </c>
      <c r="F456" s="3" t="n">
        <v>413.9703617499201</v>
      </c>
      <c r="G456" s="3" t="n"/>
      <c r="H456" s="3" t="n">
        <v>0.005</v>
      </c>
      <c r="I456" s="3">
        <f>IF(G456="","PENDENTE",IF(AND(ISNUMBER(F456),ISNUMBER(G456)),IF(ABS(G456-F456)&lt;=H456,"IGUAL","DIVERGENTE"),IF(TRIM(G456&amp;"")=TRIM(F456&amp;""),"IGUAL","DIVERGENTE")))</f>
        <v/>
      </c>
      <c r="J456" s="3" t="n"/>
    </row>
    <row r="457">
      <c r="A457" s="4" t="n">
        <v>32</v>
      </c>
      <c r="B457" s="4" t="inlineStr">
        <is>
          <t>VGV VENDIDO VERTICAL (R$ MILHÕES)</t>
        </is>
      </c>
      <c r="C457" s="4" t="inlineStr">
        <is>
          <t>Gráfico 1 / plot 1</t>
        </is>
      </c>
      <c r="D457" s="4" t="inlineStr">
        <is>
          <t>RM de Porto Alegre</t>
        </is>
      </c>
      <c r="E457" s="4" t="inlineStr">
        <is>
          <t>3T/24</t>
        </is>
      </c>
      <c r="F457" s="4" t="n">
        <v>552.3278343858142</v>
      </c>
      <c r="G457" s="4" t="n"/>
      <c r="H457" s="4" t="n">
        <v>0.005</v>
      </c>
      <c r="I457" s="4">
        <f>IF(G457="","PENDENTE",IF(AND(ISNUMBER(F457),ISNUMBER(G457)),IF(ABS(G457-F457)&lt;=H457,"IGUAL","DIVERGENTE"),IF(TRIM(G457&amp;"")=TRIM(F457&amp;""),"IGUAL","DIVERGENTE")))</f>
        <v/>
      </c>
      <c r="J457" s="4" t="n"/>
    </row>
    <row r="458">
      <c r="A458" s="3" t="n">
        <v>32</v>
      </c>
      <c r="B458" s="3" t="inlineStr">
        <is>
          <t>VGV VENDIDO VERTICAL (R$ MILHÕES)</t>
        </is>
      </c>
      <c r="C458" s="3" t="inlineStr">
        <is>
          <t>Gráfico 1 / plot 1</t>
        </is>
      </c>
      <c r="D458" s="3" t="inlineStr">
        <is>
          <t>RM de Porto Alegre</t>
        </is>
      </c>
      <c r="E458" s="3" t="inlineStr">
        <is>
          <t>4T/24</t>
        </is>
      </c>
      <c r="F458" s="3" t="n">
        <v>414.3122423449553</v>
      </c>
      <c r="G458" s="3" t="n"/>
      <c r="H458" s="3" t="n">
        <v>0.005</v>
      </c>
      <c r="I458" s="3">
        <f>IF(G458="","PENDENTE",IF(AND(ISNUMBER(F458),ISNUMBER(G458)),IF(ABS(G458-F458)&lt;=H458,"IGUAL","DIVERGENTE"),IF(TRIM(G458&amp;"")=TRIM(F458&amp;""),"IGUAL","DIVERGENTE")))</f>
        <v/>
      </c>
      <c r="J458" s="3" t="n"/>
    </row>
    <row r="459">
      <c r="A459" s="4" t="n">
        <v>32</v>
      </c>
      <c r="B459" s="4" t="inlineStr">
        <is>
          <t>VGV VENDIDO VERTICAL (R$ MILHÕES)</t>
        </is>
      </c>
      <c r="C459" s="4" t="inlineStr">
        <is>
          <t>Gráfico 1 / plot 1</t>
        </is>
      </c>
      <c r="D459" s="4" t="inlineStr">
        <is>
          <t>RM de Porto Alegre</t>
        </is>
      </c>
      <c r="E459" s="4" t="inlineStr">
        <is>
          <t>1T/25</t>
        </is>
      </c>
      <c r="F459" s="4" t="n">
        <v>536.896445522098</v>
      </c>
      <c r="G459" s="4" t="n"/>
      <c r="H459" s="4" t="n">
        <v>0.005</v>
      </c>
      <c r="I459" s="4">
        <f>IF(G459="","PENDENTE",IF(AND(ISNUMBER(F459),ISNUMBER(G459)),IF(ABS(G459-F459)&lt;=H459,"IGUAL","DIVERGENTE"),IF(TRIM(G459&amp;"")=TRIM(F459&amp;""),"IGUAL","DIVERGENTE")))</f>
        <v/>
      </c>
      <c r="J459" s="4" t="n"/>
    </row>
    <row r="460">
      <c r="A460" s="3" t="n">
        <v>32</v>
      </c>
      <c r="B460" s="3" t="inlineStr">
        <is>
          <t>VGV VENDIDO VERTICAL (R$ MILHÕES)</t>
        </is>
      </c>
      <c r="C460" s="3" t="inlineStr">
        <is>
          <t>Gráfico 1 / plot 1</t>
        </is>
      </c>
      <c r="D460" s="3" t="inlineStr">
        <is>
          <t>RM de Porto Alegre</t>
        </is>
      </c>
      <c r="E460" s="3" t="inlineStr">
        <is>
          <t>2T/25</t>
        </is>
      </c>
      <c r="F460" s="3" t="n">
        <v>413.397692862738</v>
      </c>
      <c r="G460" s="3" t="n"/>
      <c r="H460" s="3" t="n">
        <v>0.005</v>
      </c>
      <c r="I460" s="3">
        <f>IF(G460="","PENDENTE",IF(AND(ISNUMBER(F460),ISNUMBER(G460)),IF(ABS(G460-F460)&lt;=H460,"IGUAL","DIVERGENTE"),IF(TRIM(G460&amp;"")=TRIM(F460&amp;""),"IGUAL","DIVERGENTE")))</f>
        <v/>
      </c>
      <c r="J460" s="3" t="n"/>
    </row>
    <row r="461">
      <c r="A461" s="4" t="n">
        <v>32</v>
      </c>
      <c r="B461" s="4" t="inlineStr">
        <is>
          <t>VGV VENDIDO VERTICAL (R$ MILHÕES)</t>
        </is>
      </c>
      <c r="C461" s="4" t="inlineStr">
        <is>
          <t>Gráfico 1 / plot 1</t>
        </is>
      </c>
      <c r="D461" s="4" t="inlineStr">
        <is>
          <t>RM de Porto Alegre</t>
        </is>
      </c>
      <c r="E461" s="4" t="inlineStr">
        <is>
          <t>3T/25</t>
        </is>
      </c>
      <c r="F461" s="4" t="n">
        <v>301.0229852000082</v>
      </c>
      <c r="G461" s="4" t="n"/>
      <c r="H461" s="4" t="n">
        <v>0.005</v>
      </c>
      <c r="I461" s="4">
        <f>IF(G461="","PENDENTE",IF(AND(ISNUMBER(F461),ISNUMBER(G461)),IF(ABS(G461-F461)&lt;=H461,"IGUAL","DIVERGENTE"),IF(TRIM(G461&amp;"")=TRIM(F461&amp;""),"IGUAL","DIVERGENTE")))</f>
        <v/>
      </c>
      <c r="J461" s="4" t="n"/>
    </row>
    <row r="462">
      <c r="A462" s="3" t="n">
        <v>32</v>
      </c>
      <c r="B462" s="3" t="inlineStr">
        <is>
          <t>VGV VENDIDO VERTICAL (R$ MILHÕES)</t>
        </is>
      </c>
      <c r="C462" s="3" t="inlineStr">
        <is>
          <t>Gráfico 1 / plot 1</t>
        </is>
      </c>
      <c r="D462" s="3" t="inlineStr">
        <is>
          <t>RM de Porto Alegre</t>
        </is>
      </c>
      <c r="E462" s="3" t="inlineStr">
        <is>
          <t>4T/25</t>
        </is>
      </c>
      <c r="F462" s="3" t="n">
        <v>399.835</v>
      </c>
      <c r="G462" s="3" t="n"/>
      <c r="H462" s="3" t="n">
        <v>0.005</v>
      </c>
      <c r="I462" s="3">
        <f>IF(G462="","PENDENTE",IF(AND(ISNUMBER(F462),ISNUMBER(G462)),IF(ABS(G462-F462)&lt;=H462,"IGUAL","DIVERGENTE"),IF(TRIM(G462&amp;"")=TRIM(F462&amp;""),"IGUAL","DIVERGENTE")))</f>
        <v/>
      </c>
      <c r="J462" s="3" t="n"/>
    </row>
    <row r="463">
      <c r="A463" s="4" t="n">
        <v>32</v>
      </c>
      <c r="B463" s="4" t="inlineStr">
        <is>
          <t>VGV VENDIDO VERTICAL (R$ MILHÕES)</t>
        </is>
      </c>
      <c r="C463" s="4" t="inlineStr">
        <is>
          <t>Gráfico 2 / plot 1</t>
        </is>
      </c>
      <c r="D463" s="4" t="inlineStr">
        <is>
          <t>RM de Porto Alegre</t>
        </is>
      </c>
      <c r="E463" s="4" t="inlineStr">
        <is>
          <t>1S 2025</t>
        </is>
      </c>
      <c r="F463" s="4" t="n">
        <v>950.2941383848361</v>
      </c>
      <c r="G463" s="4" t="n"/>
      <c r="H463" s="4" t="n">
        <v>0.005</v>
      </c>
      <c r="I463" s="4">
        <f>IF(G463="","PENDENTE",IF(AND(ISNUMBER(F463),ISNUMBER(G463)),IF(ABS(G463-F463)&lt;=H463,"IGUAL","DIVERGENTE"),IF(TRIM(G463&amp;"")=TRIM(F463&amp;""),"IGUAL","DIVERGENTE")))</f>
        <v/>
      </c>
      <c r="J463" s="4" t="n"/>
    </row>
    <row r="464">
      <c r="A464" s="3" t="n">
        <v>32</v>
      </c>
      <c r="B464" s="3" t="inlineStr">
        <is>
          <t>VGV VENDIDO VERTICAL (R$ MILHÕES)</t>
        </is>
      </c>
      <c r="C464" s="3" t="inlineStr">
        <is>
          <t>Gráfico 2 / plot 1</t>
        </is>
      </c>
      <c r="D464" s="3" t="inlineStr">
        <is>
          <t>RM de Porto Alegre</t>
        </is>
      </c>
      <c r="E464" s="3" t="inlineStr">
        <is>
          <t>2S 2025</t>
        </is>
      </c>
      <c r="F464" s="3" t="n">
        <v>700.8579852000082</v>
      </c>
      <c r="G464" s="3" t="n"/>
      <c r="H464" s="3" t="n">
        <v>0.005</v>
      </c>
      <c r="I464" s="3">
        <f>IF(G464="","PENDENTE",IF(AND(ISNUMBER(F464),ISNUMBER(G464)),IF(ABS(G464-F464)&lt;=H464,"IGUAL","DIVERGENTE"),IF(TRIM(G464&amp;"")=TRIM(F464&amp;""),"IGUAL","DIVERGENTE")))</f>
        <v/>
      </c>
      <c r="J464" s="3" t="n"/>
    </row>
    <row r="465">
      <c r="A465" s="4" t="n">
        <v>32</v>
      </c>
      <c r="B465" s="4" t="inlineStr">
        <is>
          <t>VGV VENDIDO VERTICAL (R$ MILHÕES)</t>
        </is>
      </c>
      <c r="C465" s="4" t="inlineStr">
        <is>
          <t>Tabela 1</t>
        </is>
      </c>
      <c r="D465" s="4" t="inlineStr">
        <is>
          <t>2021 x 2022</t>
        </is>
      </c>
      <c r="E465" s="4" t="inlineStr">
        <is>
          <t>Coluna 2</t>
        </is>
      </c>
      <c r="F465" s="4" t="inlineStr">
        <is>
          <t>2022 x 2023</t>
        </is>
      </c>
      <c r="G465" s="4" t="n"/>
      <c r="H465" s="4" t="n"/>
      <c r="I465" s="4">
        <f>IF(G465="","PENDENTE",IF(AND(ISNUMBER(F465),ISNUMBER(G465)),IF(ABS(G465-F465)&lt;=H465,"IGUAL","DIVERGENTE"),IF(TRIM(G465&amp;"")=TRIM(F465&amp;""),"IGUAL","DIVERGENTE")))</f>
        <v/>
      </c>
      <c r="J465" s="4" t="n"/>
    </row>
    <row r="466">
      <c r="A466" s="3" t="n">
        <v>32</v>
      </c>
      <c r="B466" s="3" t="inlineStr">
        <is>
          <t>VGV VENDIDO VERTICAL (R$ MILHÕES)</t>
        </is>
      </c>
      <c r="C466" s="3" t="inlineStr">
        <is>
          <t>Tabela 1</t>
        </is>
      </c>
      <c r="D466" s="3" t="inlineStr">
        <is>
          <t>2021 x 2022</t>
        </is>
      </c>
      <c r="E466" s="3" t="inlineStr">
        <is>
          <t>Coluna 3</t>
        </is>
      </c>
      <c r="F466" s="3" t="inlineStr">
        <is>
          <t>2023 X 2024</t>
        </is>
      </c>
      <c r="G466" s="3" t="n"/>
      <c r="H466" s="3" t="n"/>
      <c r="I466" s="3">
        <f>IF(G466="","PENDENTE",IF(AND(ISNUMBER(F466),ISNUMBER(G466)),IF(ABS(G466-F466)&lt;=H466,"IGUAL","DIVERGENTE"),IF(TRIM(G466&amp;"")=TRIM(F466&amp;""),"IGUAL","DIVERGENTE")))</f>
        <v/>
      </c>
      <c r="J466" s="3" t="n"/>
    </row>
    <row r="467">
      <c r="A467" s="4" t="n">
        <v>32</v>
      </c>
      <c r="B467" s="4" t="inlineStr">
        <is>
          <t>VGV VENDIDO VERTICAL (R$ MILHÕES)</t>
        </is>
      </c>
      <c r="C467" s="4" t="inlineStr">
        <is>
          <t>Tabela 1</t>
        </is>
      </c>
      <c r="D467" s="4" t="inlineStr">
        <is>
          <t>2021 x 2022</t>
        </is>
      </c>
      <c r="E467" s="4" t="inlineStr">
        <is>
          <t>Coluna 4</t>
        </is>
      </c>
      <c r="F467" s="4" t="inlineStr">
        <is>
          <t>2024 x 2025</t>
        </is>
      </c>
      <c r="G467" s="4" t="n"/>
      <c r="H467" s="4" t="n"/>
      <c r="I467" s="4">
        <f>IF(G467="","PENDENTE",IF(AND(ISNUMBER(F467),ISNUMBER(G467)),IF(ABS(G467-F467)&lt;=H467,"IGUAL","DIVERGENTE"),IF(TRIM(G467&amp;"")=TRIM(F467&amp;""),"IGUAL","DIVERGENTE")))</f>
        <v/>
      </c>
      <c r="J467" s="4" t="n"/>
    </row>
    <row r="468">
      <c r="A468" s="3" t="n">
        <v>32</v>
      </c>
      <c r="B468" s="3" t="inlineStr">
        <is>
          <t>VGV VENDIDO VERTICAL (R$ MILHÕES)</t>
        </is>
      </c>
      <c r="C468" s="3" t="inlineStr">
        <is>
          <t>Tabela 1</t>
        </is>
      </c>
      <c r="D468" s="3" t="inlineStr">
        <is>
          <t>-9%</t>
        </is>
      </c>
      <c r="E468" s="3" t="inlineStr">
        <is>
          <t>Coluna 2</t>
        </is>
      </c>
      <c r="F468" s="3" t="inlineStr">
        <is>
          <t>-0,3%</t>
        </is>
      </c>
      <c r="G468" s="3" t="n"/>
      <c r="H468" s="3" t="n"/>
      <c r="I468" s="3">
        <f>IF(G468="","PENDENTE",IF(AND(ISNUMBER(F468),ISNUMBER(G468)),IF(ABS(G468-F468)&lt;=H468,"IGUAL","DIVERGENTE"),IF(TRIM(G468&amp;"")=TRIM(F468&amp;""),"IGUAL","DIVERGENTE")))</f>
        <v/>
      </c>
      <c r="J468" s="3" t="n"/>
    </row>
    <row r="469">
      <c r="A469" s="4" t="n">
        <v>32</v>
      </c>
      <c r="B469" s="4" t="inlineStr">
        <is>
          <t>VGV VENDIDO VERTICAL (R$ MILHÕES)</t>
        </is>
      </c>
      <c r="C469" s="4" t="inlineStr">
        <is>
          <t>Tabela 1</t>
        </is>
      </c>
      <c r="D469" s="4" t="inlineStr">
        <is>
          <t>-9%</t>
        </is>
      </c>
      <c r="E469" s="4" t="inlineStr">
        <is>
          <t>Coluna 3</t>
        </is>
      </c>
      <c r="F469" s="4" t="inlineStr">
        <is>
          <t>+16%</t>
        </is>
      </c>
      <c r="G469" s="4" t="n"/>
      <c r="H469" s="4" t="n"/>
      <c r="I469" s="4">
        <f>IF(G469="","PENDENTE",IF(AND(ISNUMBER(F469),ISNUMBER(G469)),IF(ABS(G469-F469)&lt;=H469,"IGUAL","DIVERGENTE"),IF(TRIM(G469&amp;"")=TRIM(F469&amp;""),"IGUAL","DIVERGENTE")))</f>
        <v/>
      </c>
      <c r="J469" s="4" t="n"/>
    </row>
    <row r="470">
      <c r="A470" s="3" t="n">
        <v>32</v>
      </c>
      <c r="B470" s="3" t="inlineStr">
        <is>
          <t>VGV VENDIDO VERTICAL (R$ MILHÕES)</t>
        </is>
      </c>
      <c r="C470" s="3" t="inlineStr">
        <is>
          <t>Tabela 1</t>
        </is>
      </c>
      <c r="D470" s="3" t="inlineStr">
        <is>
          <t>-9%</t>
        </is>
      </c>
      <c r="E470" s="3" t="inlineStr">
        <is>
          <t>Coluna 4</t>
        </is>
      </c>
      <c r="F470" s="3" t="inlineStr">
        <is>
          <t>-7%</t>
        </is>
      </c>
      <c r="G470" s="3" t="n"/>
      <c r="H470" s="3" t="n"/>
      <c r="I470" s="3">
        <f>IF(G470="","PENDENTE",IF(AND(ISNUMBER(F470),ISNUMBER(G470)),IF(ABS(G470-F470)&lt;=H470,"IGUAL","DIVERGENTE"),IF(TRIM(G470&amp;"")=TRIM(F470&amp;""),"IGUAL","DIVERGENTE")))</f>
        <v/>
      </c>
      <c r="J470" s="3" t="n"/>
    </row>
    <row r="471">
      <c r="A471" s="4" t="n">
        <v>33</v>
      </c>
      <c r="B471" s="4" t="inlineStr">
        <is>
          <t>VGV VENDIDO VERTICAL ACUMULADO 12 MESES</t>
        </is>
      </c>
      <c r="C471" s="4" t="inlineStr">
        <is>
          <t>Gráfico 1 / plot 1</t>
        </is>
      </c>
      <c r="D471" s="4" t="inlineStr">
        <is>
          <t>RM de Porto Alegre</t>
        </is>
      </c>
      <c r="E471" s="4" t="inlineStr">
        <is>
          <t>4T/2021</t>
        </is>
      </c>
      <c r="F471" s="4" t="n">
        <v>1676.332844417855</v>
      </c>
      <c r="G471" s="4" t="n"/>
      <c r="H471" s="4" t="n">
        <v>0.005</v>
      </c>
      <c r="I471" s="4">
        <f>IF(G471="","PENDENTE",IF(AND(ISNUMBER(F471),ISNUMBER(G471)),IF(ABS(G471-F471)&lt;=H471,"IGUAL","DIVERGENTE"),IF(TRIM(G471&amp;"")=TRIM(F471&amp;""),"IGUAL","DIVERGENTE")))</f>
        <v/>
      </c>
      <c r="J471" s="4" t="n"/>
    </row>
    <row r="472">
      <c r="A472" s="3" t="n">
        <v>33</v>
      </c>
      <c r="B472" s="3" t="inlineStr">
        <is>
          <t>VGV VENDIDO VERTICAL ACUMULADO 12 MESES</t>
        </is>
      </c>
      <c r="C472" s="3" t="inlineStr">
        <is>
          <t>Gráfico 1 / plot 1</t>
        </is>
      </c>
      <c r="D472" s="3" t="inlineStr">
        <is>
          <t>RM de Porto Alegre</t>
        </is>
      </c>
      <c r="E472" s="3" t="inlineStr">
        <is>
          <t>1T/2022</t>
        </is>
      </c>
      <c r="F472" s="3" t="n">
        <v>1603.595911838668</v>
      </c>
      <c r="G472" s="3" t="n"/>
      <c r="H472" s="3" t="n">
        <v>0.005</v>
      </c>
      <c r="I472" s="3">
        <f>IF(G472="","PENDENTE",IF(AND(ISNUMBER(F472),ISNUMBER(G472)),IF(ABS(G472-F472)&lt;=H472,"IGUAL","DIVERGENTE"),IF(TRIM(G472&amp;"")=TRIM(F472&amp;""),"IGUAL","DIVERGENTE")))</f>
        <v/>
      </c>
      <c r="J472" s="3" t="n"/>
    </row>
    <row r="473">
      <c r="A473" s="4" t="n">
        <v>33</v>
      </c>
      <c r="B473" s="4" t="inlineStr">
        <is>
          <t>VGV VENDIDO VERTICAL ACUMULADO 12 MESES</t>
        </is>
      </c>
      <c r="C473" s="4" t="inlineStr">
        <is>
          <t>Gráfico 1 / plot 1</t>
        </is>
      </c>
      <c r="D473" s="4" t="inlineStr">
        <is>
          <t>RM de Porto Alegre</t>
        </is>
      </c>
      <c r="E473" s="4" t="inlineStr">
        <is>
          <t>2T/2022</t>
        </is>
      </c>
      <c r="F473" s="4" t="n">
        <v>1654.301748604018</v>
      </c>
      <c r="G473" s="4" t="n"/>
      <c r="H473" s="4" t="n">
        <v>0.005</v>
      </c>
      <c r="I473" s="4">
        <f>IF(G473="","PENDENTE",IF(AND(ISNUMBER(F473),ISNUMBER(G473)),IF(ABS(G473-F473)&lt;=H473,"IGUAL","DIVERGENTE"),IF(TRIM(G473&amp;"")=TRIM(F473&amp;""),"IGUAL","DIVERGENTE")))</f>
        <v/>
      </c>
      <c r="J473" s="4" t="n"/>
    </row>
    <row r="474">
      <c r="A474" s="3" t="n">
        <v>33</v>
      </c>
      <c r="B474" s="3" t="inlineStr">
        <is>
          <t>VGV VENDIDO VERTICAL ACUMULADO 12 MESES</t>
        </is>
      </c>
      <c r="C474" s="3" t="inlineStr">
        <is>
          <t>Gráfico 1 / plot 1</t>
        </is>
      </c>
      <c r="D474" s="3" t="inlineStr">
        <is>
          <t>RM de Porto Alegre</t>
        </is>
      </c>
      <c r="E474" s="3" t="inlineStr">
        <is>
          <t>3T/2022</t>
        </is>
      </c>
      <c r="F474" s="3" t="n">
        <v>1592.146756078831</v>
      </c>
      <c r="G474" s="3" t="n"/>
      <c r="H474" s="3" t="n">
        <v>0.005</v>
      </c>
      <c r="I474" s="3">
        <f>IF(G474="","PENDENTE",IF(AND(ISNUMBER(F474),ISNUMBER(G474)),IF(ABS(G474-F474)&lt;=H474,"IGUAL","DIVERGENTE"),IF(TRIM(G474&amp;"")=TRIM(F474&amp;""),"IGUAL","DIVERGENTE")))</f>
        <v/>
      </c>
      <c r="J474" s="3" t="n"/>
    </row>
    <row r="475">
      <c r="A475" s="4" t="n">
        <v>33</v>
      </c>
      <c r="B475" s="4" t="inlineStr">
        <is>
          <t>VGV VENDIDO VERTICAL ACUMULADO 12 MESES</t>
        </is>
      </c>
      <c r="C475" s="4" t="inlineStr">
        <is>
          <t>Gráfico 1 / plot 1</t>
        </is>
      </c>
      <c r="D475" s="4" t="inlineStr">
        <is>
          <t>RM de Porto Alegre</t>
        </is>
      </c>
      <c r="E475" s="4" t="inlineStr">
        <is>
          <t>4T/2022</t>
        </is>
      </c>
      <c r="F475" s="4" t="n">
        <v>1533.47236299621</v>
      </c>
      <c r="G475" s="4" t="n"/>
      <c r="H475" s="4" t="n">
        <v>0.005</v>
      </c>
      <c r="I475" s="4">
        <f>IF(G475="","PENDENTE",IF(AND(ISNUMBER(F475),ISNUMBER(G475)),IF(ABS(G475-F475)&lt;=H475,"IGUAL","DIVERGENTE"),IF(TRIM(G475&amp;"")=TRIM(F475&amp;""),"IGUAL","DIVERGENTE")))</f>
        <v/>
      </c>
      <c r="J475" s="4" t="n"/>
    </row>
    <row r="476">
      <c r="A476" s="3" t="n">
        <v>33</v>
      </c>
      <c r="B476" s="3" t="inlineStr">
        <is>
          <t>VGV VENDIDO VERTICAL ACUMULADO 12 MESES</t>
        </is>
      </c>
      <c r="C476" s="3" t="inlineStr">
        <is>
          <t>Gráfico 1 / plot 1</t>
        </is>
      </c>
      <c r="D476" s="3" t="inlineStr">
        <is>
          <t>RM de Porto Alegre</t>
        </is>
      </c>
      <c r="E476" s="3" t="inlineStr">
        <is>
          <t>1T/2023</t>
        </is>
      </c>
      <c r="F476" s="3" t="n">
        <v>1515.728065438957</v>
      </c>
      <c r="G476" s="3" t="n"/>
      <c r="H476" s="3" t="n">
        <v>0.005</v>
      </c>
      <c r="I476" s="3">
        <f>IF(G476="","PENDENTE",IF(AND(ISNUMBER(F476),ISNUMBER(G476)),IF(ABS(G476-F476)&lt;=H476,"IGUAL","DIVERGENTE"),IF(TRIM(G476&amp;"")=TRIM(F476&amp;""),"IGUAL","DIVERGENTE")))</f>
        <v/>
      </c>
      <c r="J476" s="3" t="n"/>
    </row>
    <row r="477">
      <c r="A477" s="4" t="n">
        <v>33</v>
      </c>
      <c r="B477" s="4" t="inlineStr">
        <is>
          <t>VGV VENDIDO VERTICAL ACUMULADO 12 MESES</t>
        </is>
      </c>
      <c r="C477" s="4" t="inlineStr">
        <is>
          <t>Gráfico 1 / plot 1</t>
        </is>
      </c>
      <c r="D477" s="4" t="inlineStr">
        <is>
          <t>RM de Porto Alegre</t>
        </is>
      </c>
      <c r="E477" s="4" t="inlineStr">
        <is>
          <t>2T/2023</t>
        </is>
      </c>
      <c r="F477" s="4" t="n">
        <v>1506.463576063746</v>
      </c>
      <c r="G477" s="4" t="n"/>
      <c r="H477" s="4" t="n">
        <v>0.005</v>
      </c>
      <c r="I477" s="4">
        <f>IF(G477="","PENDENTE",IF(AND(ISNUMBER(F477),ISNUMBER(G477)),IF(ABS(G477-F477)&lt;=H477,"IGUAL","DIVERGENTE"),IF(TRIM(G477&amp;"")=TRIM(F477&amp;""),"IGUAL","DIVERGENTE")))</f>
        <v/>
      </c>
      <c r="J477" s="4" t="n"/>
    </row>
    <row r="478">
      <c r="A478" s="3" t="n">
        <v>33</v>
      </c>
      <c r="B478" s="3" t="inlineStr">
        <is>
          <t>VGV VENDIDO VERTICAL ACUMULADO 12 MESES</t>
        </is>
      </c>
      <c r="C478" s="3" t="inlineStr">
        <is>
          <t>Gráfico 1 / plot 1</t>
        </is>
      </c>
      <c r="D478" s="3" t="inlineStr">
        <is>
          <t>RM de Porto Alegre</t>
        </is>
      </c>
      <c r="E478" s="3" t="inlineStr">
        <is>
          <t>3T/2023</t>
        </is>
      </c>
      <c r="F478" s="3" t="n">
        <v>1529.066957819242</v>
      </c>
      <c r="G478" s="3" t="n"/>
      <c r="H478" s="3" t="n">
        <v>0.005</v>
      </c>
      <c r="I478" s="3">
        <f>IF(G478="","PENDENTE",IF(AND(ISNUMBER(F478),ISNUMBER(G478)),IF(ABS(G478-F478)&lt;=H478,"IGUAL","DIVERGENTE"),IF(TRIM(G478&amp;"")=TRIM(F478&amp;""),"IGUAL","DIVERGENTE")))</f>
        <v/>
      </c>
      <c r="J478" s="3" t="n"/>
    </row>
    <row r="479">
      <c r="A479" s="4" t="n">
        <v>33</v>
      </c>
      <c r="B479" s="4" t="inlineStr">
        <is>
          <t>VGV VENDIDO VERTICAL ACUMULADO 12 MESES</t>
        </is>
      </c>
      <c r="C479" s="4" t="inlineStr">
        <is>
          <t>Gráfico 1 / plot 1</t>
        </is>
      </c>
      <c r="D479" s="4" t="inlineStr">
        <is>
          <t>RM de Porto Alegre</t>
        </is>
      </c>
      <c r="E479" s="4" t="inlineStr">
        <is>
          <t>4T/2023</t>
        </is>
      </c>
      <c r="F479" s="4" t="n">
        <v>1528.219828463824</v>
      </c>
      <c r="G479" s="4" t="n"/>
      <c r="H479" s="4" t="n">
        <v>0.005</v>
      </c>
      <c r="I479" s="4">
        <f>IF(G479="","PENDENTE",IF(AND(ISNUMBER(F479),ISNUMBER(G479)),IF(ABS(G479-F479)&lt;=H479,"IGUAL","DIVERGENTE"),IF(TRIM(G479&amp;"")=TRIM(F479&amp;""),"IGUAL","DIVERGENTE")))</f>
        <v/>
      </c>
      <c r="J479" s="4" t="n"/>
    </row>
    <row r="480">
      <c r="A480" s="3" t="n">
        <v>33</v>
      </c>
      <c r="B480" s="3" t="inlineStr">
        <is>
          <t>VGV VENDIDO VERTICAL ACUMULADO 12 MESES</t>
        </is>
      </c>
      <c r="C480" s="3" t="inlineStr">
        <is>
          <t>Gráfico 1 / plot 1</t>
        </is>
      </c>
      <c r="D480" s="3" t="inlineStr">
        <is>
          <t>RM de Porto Alegre</t>
        </is>
      </c>
      <c r="E480" s="3" t="inlineStr">
        <is>
          <t>1T/2024</t>
        </is>
      </c>
      <c r="F480" s="3" t="n">
        <v>1464.479400274897</v>
      </c>
      <c r="G480" s="3" t="n"/>
      <c r="H480" s="3" t="n">
        <v>0.005</v>
      </c>
      <c r="I480" s="3">
        <f>IF(G480="","PENDENTE",IF(AND(ISNUMBER(F480),ISNUMBER(G480)),IF(ABS(G480-F480)&lt;=H480,"IGUAL","DIVERGENTE"),IF(TRIM(G480&amp;"")=TRIM(F480&amp;""),"IGUAL","DIVERGENTE")))</f>
        <v/>
      </c>
      <c r="J480" s="3" t="n"/>
    </row>
    <row r="481">
      <c r="A481" s="4" t="n">
        <v>33</v>
      </c>
      <c r="B481" s="4" t="inlineStr">
        <is>
          <t>VGV VENDIDO VERTICAL ACUMULADO 12 MESES</t>
        </is>
      </c>
      <c r="C481" s="4" t="inlineStr">
        <is>
          <t>Gráfico 1 / plot 1</t>
        </is>
      </c>
      <c r="D481" s="4" t="inlineStr">
        <is>
          <t>RM de Porto Alegre</t>
        </is>
      </c>
      <c r="E481" s="4" t="inlineStr">
        <is>
          <t>2T/2024</t>
        </is>
      </c>
      <c r="F481" s="4" t="n">
        <v>1515.774651073605</v>
      </c>
      <c r="G481" s="4" t="n"/>
      <c r="H481" s="4" t="n">
        <v>0.005</v>
      </c>
      <c r="I481" s="4">
        <f>IF(G481="","PENDENTE",IF(AND(ISNUMBER(F481),ISNUMBER(G481)),IF(ABS(G481-F481)&lt;=H481,"IGUAL","DIVERGENTE"),IF(TRIM(G481&amp;"")=TRIM(F481&amp;""),"IGUAL","DIVERGENTE")))</f>
        <v/>
      </c>
      <c r="J481" s="4" t="n"/>
    </row>
    <row r="482">
      <c r="A482" s="3" t="n">
        <v>33</v>
      </c>
      <c r="B482" s="3" t="inlineStr">
        <is>
          <t>VGV VENDIDO VERTICAL ACUMULADO 12 MESES</t>
        </is>
      </c>
      <c r="C482" s="3" t="inlineStr">
        <is>
          <t>Gráfico 1 / plot 1</t>
        </is>
      </c>
      <c r="D482" s="3" t="inlineStr">
        <is>
          <t>RM de Porto Alegre</t>
        </is>
      </c>
      <c r="E482" s="3" t="inlineStr">
        <is>
          <t>3T/2024</t>
        </is>
      </c>
      <c r="F482" s="3" t="n">
        <v>1745.409670976689</v>
      </c>
      <c r="G482" s="3" t="n"/>
      <c r="H482" s="3" t="n">
        <v>0.005</v>
      </c>
      <c r="I482" s="3">
        <f>IF(G482="","PENDENTE",IF(AND(ISNUMBER(F482),ISNUMBER(G482)),IF(ABS(G482-F482)&lt;=H482,"IGUAL","DIVERGENTE"),IF(TRIM(G482&amp;"")=TRIM(F482&amp;""),"IGUAL","DIVERGENTE")))</f>
        <v/>
      </c>
      <c r="J482" s="3" t="n"/>
    </row>
    <row r="483">
      <c r="A483" s="4" t="n">
        <v>33</v>
      </c>
      <c r="B483" s="4" t="inlineStr">
        <is>
          <t>VGV VENDIDO VERTICAL ACUMULADO 12 MESES</t>
        </is>
      </c>
      <c r="C483" s="4" t="inlineStr">
        <is>
          <t>Gráfico 1 / plot 1</t>
        </is>
      </c>
      <c r="D483" s="4" t="inlineStr">
        <is>
          <t>RM de Porto Alegre</t>
        </is>
      </c>
      <c r="E483" s="4" t="inlineStr">
        <is>
          <t>4T/2024</t>
        </is>
      </c>
      <c r="F483" s="4" t="n">
        <v>1778.042843961059</v>
      </c>
      <c r="G483" s="4" t="n"/>
      <c r="H483" s="4" t="n">
        <v>0.005</v>
      </c>
      <c r="I483" s="4">
        <f>IF(G483="","PENDENTE",IF(AND(ISNUMBER(F483),ISNUMBER(G483)),IF(ABS(G483-F483)&lt;=H483,"IGUAL","DIVERGENTE"),IF(TRIM(G483&amp;"")=TRIM(F483&amp;""),"IGUAL","DIVERGENTE")))</f>
        <v/>
      </c>
      <c r="J483" s="4" t="n"/>
    </row>
    <row r="484">
      <c r="A484" s="3" t="n">
        <v>33</v>
      </c>
      <c r="B484" s="3" t="inlineStr">
        <is>
          <t>VGV VENDIDO VERTICAL ACUMULADO 12 MESES</t>
        </is>
      </c>
      <c r="C484" s="3" t="inlineStr">
        <is>
          <t>Gráfico 1 / plot 1</t>
        </is>
      </c>
      <c r="D484" s="3" t="inlineStr">
        <is>
          <t>RM de Porto Alegre</t>
        </is>
      </c>
      <c r="E484" s="3" t="inlineStr">
        <is>
          <t>1T/2025</t>
        </is>
      </c>
      <c r="F484" s="3" t="n">
        <v>1917.506884002788</v>
      </c>
      <c r="G484" s="3" t="n"/>
      <c r="H484" s="3" t="n">
        <v>0.005</v>
      </c>
      <c r="I484" s="3">
        <f>IF(G484="","PENDENTE",IF(AND(ISNUMBER(F484),ISNUMBER(G484)),IF(ABS(G484-F484)&lt;=H484,"IGUAL","DIVERGENTE"),IF(TRIM(G484&amp;"")=TRIM(F484&amp;""),"IGUAL","DIVERGENTE")))</f>
        <v/>
      </c>
      <c r="J484" s="3" t="n"/>
    </row>
    <row r="485">
      <c r="A485" s="4" t="n">
        <v>33</v>
      </c>
      <c r="B485" s="4" t="inlineStr">
        <is>
          <t>VGV VENDIDO VERTICAL ACUMULADO 12 MESES</t>
        </is>
      </c>
      <c r="C485" s="4" t="inlineStr">
        <is>
          <t>Gráfico 1 / plot 1</t>
        </is>
      </c>
      <c r="D485" s="4" t="inlineStr">
        <is>
          <t>RM de Porto Alegre</t>
        </is>
      </c>
      <c r="E485" s="4" t="inlineStr">
        <is>
          <t>2T/2025</t>
        </is>
      </c>
      <c r="F485" s="4" t="n">
        <v>1916.934215115606</v>
      </c>
      <c r="G485" s="4" t="n"/>
      <c r="H485" s="4" t="n">
        <v>0.005</v>
      </c>
      <c r="I485" s="4">
        <f>IF(G485="","PENDENTE",IF(AND(ISNUMBER(F485),ISNUMBER(G485)),IF(ABS(G485-F485)&lt;=H485,"IGUAL","DIVERGENTE"),IF(TRIM(G485&amp;"")=TRIM(F485&amp;""),"IGUAL","DIVERGENTE")))</f>
        <v/>
      </c>
      <c r="J485" s="4" t="n"/>
    </row>
    <row r="486">
      <c r="A486" s="3" t="n">
        <v>33</v>
      </c>
      <c r="B486" s="3" t="inlineStr">
        <is>
          <t>VGV VENDIDO VERTICAL ACUMULADO 12 MESES</t>
        </is>
      </c>
      <c r="C486" s="3" t="inlineStr">
        <is>
          <t>Gráfico 1 / plot 1</t>
        </is>
      </c>
      <c r="D486" s="3" t="inlineStr">
        <is>
          <t>RM de Porto Alegre</t>
        </is>
      </c>
      <c r="E486" s="3" t="inlineStr">
        <is>
          <t>3T/2025</t>
        </is>
      </c>
      <c r="F486" s="3" t="n">
        <v>1665.6293659298</v>
      </c>
      <c r="G486" s="3" t="n"/>
      <c r="H486" s="3" t="n">
        <v>0.005</v>
      </c>
      <c r="I486" s="3">
        <f>IF(G486="","PENDENTE",IF(AND(ISNUMBER(F486),ISNUMBER(G486)),IF(ABS(G486-F486)&lt;=H486,"IGUAL","DIVERGENTE"),IF(TRIM(G486&amp;"")=TRIM(F486&amp;""),"IGUAL","DIVERGENTE")))</f>
        <v/>
      </c>
      <c r="J486" s="3" t="n"/>
    </row>
    <row r="487">
      <c r="A487" s="4" t="n">
        <v>33</v>
      </c>
      <c r="B487" s="4" t="inlineStr">
        <is>
          <t>VGV VENDIDO VERTICAL ACUMULADO 12 MESES</t>
        </is>
      </c>
      <c r="C487" s="4" t="inlineStr">
        <is>
          <t>Gráfico 1 / plot 1</t>
        </is>
      </c>
      <c r="D487" s="4" t="inlineStr">
        <is>
          <t>RM de Porto Alegre</t>
        </is>
      </c>
      <c r="E487" s="4" t="inlineStr">
        <is>
          <t>4T/2025</t>
        </is>
      </c>
      <c r="F487" s="4" t="n">
        <v>1651.152123584844</v>
      </c>
      <c r="G487" s="4" t="n"/>
      <c r="H487" s="4" t="n">
        <v>0.005</v>
      </c>
      <c r="I487" s="4">
        <f>IF(G487="","PENDENTE",IF(AND(ISNUMBER(F487),ISNUMBER(G487)),IF(ABS(G487-F487)&lt;=H487,"IGUAL","DIVERGENTE"),IF(TRIM(G487&amp;"")=TRIM(F487&amp;""),"IGUAL","DIVERGENTE")))</f>
        <v/>
      </c>
      <c r="J487" s="4" t="n"/>
    </row>
    <row r="488">
      <c r="A488" s="3" t="n">
        <v>33</v>
      </c>
      <c r="B488" s="3" t="inlineStr">
        <is>
          <t>VGV VENDIDO VERTICAL ACUMULADO 12 MESES</t>
        </is>
      </c>
      <c r="C488" s="3" t="inlineStr">
        <is>
          <t>Tabela 1</t>
        </is>
      </c>
      <c r="D488" s="3" t="inlineStr">
        <is>
          <t>4T21 x 4T22</t>
        </is>
      </c>
      <c r="E488" s="3" t="inlineStr">
        <is>
          <t>Coluna 2</t>
        </is>
      </c>
      <c r="F488" s="3" t="inlineStr">
        <is>
          <t>4T22 x 4T23</t>
        </is>
      </c>
      <c r="G488" s="3" t="n"/>
      <c r="H488" s="3" t="n"/>
      <c r="I488" s="3">
        <f>IF(G488="","PENDENTE",IF(AND(ISNUMBER(F488),ISNUMBER(G488)),IF(ABS(G488-F488)&lt;=H488,"IGUAL","DIVERGENTE"),IF(TRIM(G488&amp;"")=TRIM(F488&amp;""),"IGUAL","DIVERGENTE")))</f>
        <v/>
      </c>
      <c r="J488" s="3" t="n"/>
    </row>
    <row r="489">
      <c r="A489" s="4" t="n">
        <v>33</v>
      </c>
      <c r="B489" s="4" t="inlineStr">
        <is>
          <t>VGV VENDIDO VERTICAL ACUMULADO 12 MESES</t>
        </is>
      </c>
      <c r="C489" s="4" t="inlineStr">
        <is>
          <t>Tabela 1</t>
        </is>
      </c>
      <c r="D489" s="4" t="inlineStr">
        <is>
          <t>4T21 x 4T22</t>
        </is>
      </c>
      <c r="E489" s="4" t="inlineStr">
        <is>
          <t>Coluna 3</t>
        </is>
      </c>
      <c r="F489" s="4" t="inlineStr">
        <is>
          <t>4T23 X 4T24</t>
        </is>
      </c>
      <c r="G489" s="4" t="n"/>
      <c r="H489" s="4" t="n"/>
      <c r="I489" s="4">
        <f>IF(G489="","PENDENTE",IF(AND(ISNUMBER(F489),ISNUMBER(G489)),IF(ABS(G489-F489)&lt;=H489,"IGUAL","DIVERGENTE"),IF(TRIM(G489&amp;"")=TRIM(F489&amp;""),"IGUAL","DIVERGENTE")))</f>
        <v/>
      </c>
      <c r="J489" s="4" t="n"/>
    </row>
    <row r="490">
      <c r="A490" s="3" t="n">
        <v>33</v>
      </c>
      <c r="B490" s="3" t="inlineStr">
        <is>
          <t>VGV VENDIDO VERTICAL ACUMULADO 12 MESES</t>
        </is>
      </c>
      <c r="C490" s="3" t="inlineStr">
        <is>
          <t>Tabela 1</t>
        </is>
      </c>
      <c r="D490" s="3" t="inlineStr">
        <is>
          <t>4T21 x 4T22</t>
        </is>
      </c>
      <c r="E490" s="3" t="inlineStr">
        <is>
          <t>Coluna 4</t>
        </is>
      </c>
      <c r="F490" s="3" t="inlineStr">
        <is>
          <t>4T24 x 4T25</t>
        </is>
      </c>
      <c r="G490" s="3" t="n"/>
      <c r="H490" s="3" t="n"/>
      <c r="I490" s="3">
        <f>IF(G490="","PENDENTE",IF(AND(ISNUMBER(F490),ISNUMBER(G490)),IF(ABS(G490-F490)&lt;=H490,"IGUAL","DIVERGENTE"),IF(TRIM(G490&amp;"")=TRIM(F490&amp;""),"IGUAL","DIVERGENTE")))</f>
        <v/>
      </c>
      <c r="J490" s="3" t="n"/>
    </row>
    <row r="491">
      <c r="A491" s="4" t="n">
        <v>33</v>
      </c>
      <c r="B491" s="4" t="inlineStr">
        <is>
          <t>VGV VENDIDO VERTICAL ACUMULADO 12 MESES</t>
        </is>
      </c>
      <c r="C491" s="4" t="inlineStr">
        <is>
          <t>Tabela 1</t>
        </is>
      </c>
      <c r="D491" s="4" t="inlineStr">
        <is>
          <t>-9%</t>
        </is>
      </c>
      <c r="E491" s="4" t="inlineStr">
        <is>
          <t>Coluna 2</t>
        </is>
      </c>
      <c r="F491" s="4" t="inlineStr">
        <is>
          <t>-0,3%</t>
        </is>
      </c>
      <c r="G491" s="4" t="n"/>
      <c r="H491" s="4" t="n"/>
      <c r="I491" s="4">
        <f>IF(G491="","PENDENTE",IF(AND(ISNUMBER(F491),ISNUMBER(G491)),IF(ABS(G491-F491)&lt;=H491,"IGUAL","DIVERGENTE"),IF(TRIM(G491&amp;"")=TRIM(F491&amp;""),"IGUAL","DIVERGENTE")))</f>
        <v/>
      </c>
      <c r="J491" s="4" t="n"/>
    </row>
    <row r="492">
      <c r="A492" s="3" t="n">
        <v>33</v>
      </c>
      <c r="B492" s="3" t="inlineStr">
        <is>
          <t>VGV VENDIDO VERTICAL ACUMULADO 12 MESES</t>
        </is>
      </c>
      <c r="C492" s="3" t="inlineStr">
        <is>
          <t>Tabela 1</t>
        </is>
      </c>
      <c r="D492" s="3" t="inlineStr">
        <is>
          <t>-9%</t>
        </is>
      </c>
      <c r="E492" s="3" t="inlineStr">
        <is>
          <t>Coluna 3</t>
        </is>
      </c>
      <c r="F492" s="3" t="inlineStr">
        <is>
          <t>+16%</t>
        </is>
      </c>
      <c r="G492" s="3" t="n"/>
      <c r="H492" s="3" t="n"/>
      <c r="I492" s="3">
        <f>IF(G492="","PENDENTE",IF(AND(ISNUMBER(F492),ISNUMBER(G492)),IF(ABS(G492-F492)&lt;=H492,"IGUAL","DIVERGENTE"),IF(TRIM(G492&amp;"")=TRIM(F492&amp;""),"IGUAL","DIVERGENTE")))</f>
        <v/>
      </c>
      <c r="J492" s="3" t="n"/>
    </row>
    <row r="493">
      <c r="A493" s="4" t="n">
        <v>33</v>
      </c>
      <c r="B493" s="4" t="inlineStr">
        <is>
          <t>VGV VENDIDO VERTICAL ACUMULADO 12 MESES</t>
        </is>
      </c>
      <c r="C493" s="4" t="inlineStr">
        <is>
          <t>Tabela 1</t>
        </is>
      </c>
      <c r="D493" s="4" t="inlineStr">
        <is>
          <t>-9%</t>
        </is>
      </c>
      <c r="E493" s="4" t="inlineStr">
        <is>
          <t>Coluna 4</t>
        </is>
      </c>
      <c r="F493" s="4" t="inlineStr">
        <is>
          <t>-7%</t>
        </is>
      </c>
      <c r="G493" s="4" t="n"/>
      <c r="H493" s="4" t="n"/>
      <c r="I493" s="4">
        <f>IF(G493="","PENDENTE",IF(AND(ISNUMBER(F493),ISNUMBER(G493)),IF(ABS(G493-F493)&lt;=H493,"IGUAL","DIVERGENTE"),IF(TRIM(G493&amp;"")=TRIM(F493&amp;""),"IGUAL","DIVERGENTE")))</f>
        <v/>
      </c>
      <c r="J493" s="4" t="n"/>
    </row>
    <row r="494">
      <c r="A494" s="3" t="n">
        <v>35</v>
      </c>
      <c r="B494" s="3" t="inlineStr">
        <is>
          <t>OFERTA FINAL VERTICAL POR TRIMESTRE</t>
        </is>
      </c>
      <c r="C494" s="3" t="inlineStr">
        <is>
          <t>Gráfico 1 / plot 1</t>
        </is>
      </c>
      <c r="D494" s="3" t="inlineStr">
        <is>
          <t>RM de Porto Alegre</t>
        </is>
      </c>
      <c r="E494" s="3" t="inlineStr">
        <is>
          <t>4T/21</t>
        </is>
      </c>
      <c r="F494" s="3" t="n">
        <v>6818</v>
      </c>
      <c r="G494" s="3" t="n"/>
      <c r="H494" s="3" t="n">
        <v>0</v>
      </c>
      <c r="I494" s="3">
        <f>IF(G494="","PENDENTE",IF(AND(ISNUMBER(F494),ISNUMBER(G494)),IF(ABS(G494-F494)&lt;=H494,"IGUAL","DIVERGENTE"),IF(TRIM(G494&amp;"")=TRIM(F494&amp;""),"IGUAL","DIVERGENTE")))</f>
        <v/>
      </c>
      <c r="J494" s="3" t="n"/>
    </row>
    <row r="495">
      <c r="A495" s="4" t="n">
        <v>35</v>
      </c>
      <c r="B495" s="4" t="inlineStr">
        <is>
          <t>OFERTA FINAL VERTICAL POR TRIMESTRE</t>
        </is>
      </c>
      <c r="C495" s="4" t="inlineStr">
        <is>
          <t>Gráfico 1 / plot 1</t>
        </is>
      </c>
      <c r="D495" s="4" t="inlineStr">
        <is>
          <t>RM de Porto Alegre</t>
        </is>
      </c>
      <c r="E495" s="4" t="inlineStr">
        <is>
          <t>1T/22</t>
        </is>
      </c>
      <c r="F495" s="4" t="n">
        <v>6052</v>
      </c>
      <c r="G495" s="4" t="n"/>
      <c r="H495" s="4" t="n">
        <v>0</v>
      </c>
      <c r="I495" s="4">
        <f>IF(G495="","PENDENTE",IF(AND(ISNUMBER(F495),ISNUMBER(G495)),IF(ABS(G495-F495)&lt;=H495,"IGUAL","DIVERGENTE"),IF(TRIM(G495&amp;"")=TRIM(F495&amp;""),"IGUAL","DIVERGENTE")))</f>
        <v/>
      </c>
      <c r="J495" s="4" t="n"/>
    </row>
    <row r="496">
      <c r="A496" s="3" t="n">
        <v>35</v>
      </c>
      <c r="B496" s="3" t="inlineStr">
        <is>
          <t>OFERTA FINAL VERTICAL POR TRIMESTRE</t>
        </is>
      </c>
      <c r="C496" s="3" t="inlineStr">
        <is>
          <t>Gráfico 1 / plot 1</t>
        </is>
      </c>
      <c r="D496" s="3" t="inlineStr">
        <is>
          <t>RM de Porto Alegre</t>
        </is>
      </c>
      <c r="E496" s="3" t="inlineStr">
        <is>
          <t>2T/22</t>
        </is>
      </c>
      <c r="F496" s="3" t="n">
        <v>6570</v>
      </c>
      <c r="G496" s="3" t="n"/>
      <c r="H496" s="3" t="n">
        <v>0</v>
      </c>
      <c r="I496" s="3">
        <f>IF(G496="","PENDENTE",IF(AND(ISNUMBER(F496),ISNUMBER(G496)),IF(ABS(G496-F496)&lt;=H496,"IGUAL","DIVERGENTE"),IF(TRIM(G496&amp;"")=TRIM(F496&amp;""),"IGUAL","DIVERGENTE")))</f>
        <v/>
      </c>
      <c r="J496" s="3" t="n"/>
    </row>
    <row r="497">
      <c r="A497" s="4" t="n">
        <v>35</v>
      </c>
      <c r="B497" s="4" t="inlineStr">
        <is>
          <t>OFERTA FINAL VERTICAL POR TRIMESTRE</t>
        </is>
      </c>
      <c r="C497" s="4" t="inlineStr">
        <is>
          <t>Gráfico 1 / plot 1</t>
        </is>
      </c>
      <c r="D497" s="4" t="inlineStr">
        <is>
          <t>RM de Porto Alegre</t>
        </is>
      </c>
      <c r="E497" s="4" t="inlineStr">
        <is>
          <t>3T/22</t>
        </is>
      </c>
      <c r="F497" s="4" t="n">
        <v>6581</v>
      </c>
      <c r="G497" s="4" t="n"/>
      <c r="H497" s="4" t="n">
        <v>0</v>
      </c>
      <c r="I497" s="4">
        <f>IF(G497="","PENDENTE",IF(AND(ISNUMBER(F497),ISNUMBER(G497)),IF(ABS(G497-F497)&lt;=H497,"IGUAL","DIVERGENTE"),IF(TRIM(G497&amp;"")=TRIM(F497&amp;""),"IGUAL","DIVERGENTE")))</f>
        <v/>
      </c>
      <c r="J497" s="4" t="n"/>
    </row>
    <row r="498">
      <c r="A498" s="3" t="n">
        <v>35</v>
      </c>
      <c r="B498" s="3" t="inlineStr">
        <is>
          <t>OFERTA FINAL VERTICAL POR TRIMESTRE</t>
        </is>
      </c>
      <c r="C498" s="3" t="inlineStr">
        <is>
          <t>Gráfico 1 / plot 1</t>
        </is>
      </c>
      <c r="D498" s="3" t="inlineStr">
        <is>
          <t>RM de Porto Alegre</t>
        </is>
      </c>
      <c r="E498" s="3" t="inlineStr">
        <is>
          <t>4T/22</t>
        </is>
      </c>
      <c r="F498" s="3" t="n">
        <v>7117</v>
      </c>
      <c r="G498" s="3" t="n"/>
      <c r="H498" s="3" t="n">
        <v>0</v>
      </c>
      <c r="I498" s="3">
        <f>IF(G498="","PENDENTE",IF(AND(ISNUMBER(F498),ISNUMBER(G498)),IF(ABS(G498-F498)&lt;=H498,"IGUAL","DIVERGENTE"),IF(TRIM(G498&amp;"")=TRIM(F498&amp;""),"IGUAL","DIVERGENTE")))</f>
        <v/>
      </c>
      <c r="J498" s="3" t="n"/>
    </row>
    <row r="499">
      <c r="A499" s="4" t="n">
        <v>35</v>
      </c>
      <c r="B499" s="4" t="inlineStr">
        <is>
          <t>OFERTA FINAL VERTICAL POR TRIMESTRE</t>
        </is>
      </c>
      <c r="C499" s="4" t="inlineStr">
        <is>
          <t>Gráfico 1 / plot 1</t>
        </is>
      </c>
      <c r="D499" s="4" t="inlineStr">
        <is>
          <t>RM de Porto Alegre</t>
        </is>
      </c>
      <c r="E499" s="4" t="inlineStr">
        <is>
          <t>1T/23</t>
        </is>
      </c>
      <c r="F499" s="4" t="n">
        <v>7104</v>
      </c>
      <c r="G499" s="4" t="n"/>
      <c r="H499" s="4" t="n">
        <v>0</v>
      </c>
      <c r="I499" s="4">
        <f>IF(G499="","PENDENTE",IF(AND(ISNUMBER(F499),ISNUMBER(G499)),IF(ABS(G499-F499)&lt;=H499,"IGUAL","DIVERGENTE"),IF(TRIM(G499&amp;"")=TRIM(F499&amp;""),"IGUAL","DIVERGENTE")))</f>
        <v/>
      </c>
      <c r="J499" s="4" t="n"/>
    </row>
    <row r="500">
      <c r="A500" s="3" t="n">
        <v>35</v>
      </c>
      <c r="B500" s="3" t="inlineStr">
        <is>
          <t>OFERTA FINAL VERTICAL POR TRIMESTRE</t>
        </is>
      </c>
      <c r="C500" s="3" t="inlineStr">
        <is>
          <t>Gráfico 1 / plot 1</t>
        </is>
      </c>
      <c r="D500" s="3" t="inlineStr">
        <is>
          <t>RM de Porto Alegre</t>
        </is>
      </c>
      <c r="E500" s="3" t="inlineStr">
        <is>
          <t>2T/23</t>
        </is>
      </c>
      <c r="F500" s="3" t="n">
        <v>7165</v>
      </c>
      <c r="G500" s="3" t="n"/>
      <c r="H500" s="3" t="n">
        <v>0</v>
      </c>
      <c r="I500" s="3">
        <f>IF(G500="","PENDENTE",IF(AND(ISNUMBER(F500),ISNUMBER(G500)),IF(ABS(G500-F500)&lt;=H500,"IGUAL","DIVERGENTE"),IF(TRIM(G500&amp;"")=TRIM(F500&amp;""),"IGUAL","DIVERGENTE")))</f>
        <v/>
      </c>
      <c r="J500" s="3" t="n"/>
    </row>
    <row r="501">
      <c r="A501" s="4" t="n">
        <v>35</v>
      </c>
      <c r="B501" s="4" t="inlineStr">
        <is>
          <t>OFERTA FINAL VERTICAL POR TRIMESTRE</t>
        </is>
      </c>
      <c r="C501" s="4" t="inlineStr">
        <is>
          <t>Gráfico 1 / plot 1</t>
        </is>
      </c>
      <c r="D501" s="4" t="inlineStr">
        <is>
          <t>RM de Porto Alegre</t>
        </is>
      </c>
      <c r="E501" s="4" t="inlineStr">
        <is>
          <t>3T/23</t>
        </is>
      </c>
      <c r="F501" s="4" t="n">
        <v>6496</v>
      </c>
      <c r="G501" s="4" t="n"/>
      <c r="H501" s="4" t="n">
        <v>0</v>
      </c>
      <c r="I501" s="4">
        <f>IF(G501="","PENDENTE",IF(AND(ISNUMBER(F501),ISNUMBER(G501)),IF(ABS(G501-F501)&lt;=H501,"IGUAL","DIVERGENTE"),IF(TRIM(G501&amp;"")=TRIM(F501&amp;""),"IGUAL","DIVERGENTE")))</f>
        <v/>
      </c>
      <c r="J501" s="4" t="n"/>
    </row>
    <row r="502">
      <c r="A502" s="3" t="n">
        <v>35</v>
      </c>
      <c r="B502" s="3" t="inlineStr">
        <is>
          <t>OFERTA FINAL VERTICAL POR TRIMESTRE</t>
        </is>
      </c>
      <c r="C502" s="3" t="inlineStr">
        <is>
          <t>Gráfico 1 / plot 1</t>
        </is>
      </c>
      <c r="D502" s="3" t="inlineStr">
        <is>
          <t>RM de Porto Alegre</t>
        </is>
      </c>
      <c r="E502" s="3" t="inlineStr">
        <is>
          <t>4T/23</t>
        </is>
      </c>
      <c r="F502" s="3" t="n">
        <v>5745</v>
      </c>
      <c r="G502" s="3" t="n"/>
      <c r="H502" s="3" t="n">
        <v>0</v>
      </c>
      <c r="I502" s="3">
        <f>IF(G502="","PENDENTE",IF(AND(ISNUMBER(F502),ISNUMBER(G502)),IF(ABS(G502-F502)&lt;=H502,"IGUAL","DIVERGENTE"),IF(TRIM(G502&amp;"")=TRIM(F502&amp;""),"IGUAL","DIVERGENTE")))</f>
        <v/>
      </c>
      <c r="J502" s="3" t="n"/>
    </row>
    <row r="503">
      <c r="A503" s="4" t="n">
        <v>35</v>
      </c>
      <c r="B503" s="4" t="inlineStr">
        <is>
          <t>OFERTA FINAL VERTICAL POR TRIMESTRE</t>
        </is>
      </c>
      <c r="C503" s="4" t="inlineStr">
        <is>
          <t>Gráfico 1 / plot 1</t>
        </is>
      </c>
      <c r="D503" s="4" t="inlineStr">
        <is>
          <t>RM de Porto Alegre</t>
        </is>
      </c>
      <c r="E503" s="4" t="inlineStr">
        <is>
          <t>1T/24</t>
        </is>
      </c>
      <c r="F503" s="4" t="n">
        <v>5313</v>
      </c>
      <c r="G503" s="4" t="n"/>
      <c r="H503" s="4" t="n">
        <v>0</v>
      </c>
      <c r="I503" s="4">
        <f>IF(G503="","PENDENTE",IF(AND(ISNUMBER(F503),ISNUMBER(G503)),IF(ABS(G503-F503)&lt;=H503,"IGUAL","DIVERGENTE"),IF(TRIM(G503&amp;"")=TRIM(F503&amp;""),"IGUAL","DIVERGENTE")))</f>
        <v/>
      </c>
      <c r="J503" s="4" t="n"/>
    </row>
    <row r="504">
      <c r="A504" s="3" t="n">
        <v>35</v>
      </c>
      <c r="B504" s="3" t="inlineStr">
        <is>
          <t>OFERTA FINAL VERTICAL POR TRIMESTRE</t>
        </is>
      </c>
      <c r="C504" s="3" t="inlineStr">
        <is>
          <t>Gráfico 1 / plot 1</t>
        </is>
      </c>
      <c r="D504" s="3" t="inlineStr">
        <is>
          <t>RM de Porto Alegre</t>
        </is>
      </c>
      <c r="E504" s="3" t="inlineStr">
        <is>
          <t>2T/24</t>
        </is>
      </c>
      <c r="F504" s="3" t="n">
        <v>5083</v>
      </c>
      <c r="G504" s="3" t="n"/>
      <c r="H504" s="3" t="n">
        <v>0</v>
      </c>
      <c r="I504" s="3">
        <f>IF(G504="","PENDENTE",IF(AND(ISNUMBER(F504),ISNUMBER(G504)),IF(ABS(G504-F504)&lt;=H504,"IGUAL","DIVERGENTE"),IF(TRIM(G504&amp;"")=TRIM(F504&amp;""),"IGUAL","DIVERGENTE")))</f>
        <v/>
      </c>
      <c r="J504" s="3" t="n"/>
    </row>
    <row r="505">
      <c r="A505" s="4" t="n">
        <v>35</v>
      </c>
      <c r="B505" s="4" t="inlineStr">
        <is>
          <t>OFERTA FINAL VERTICAL POR TRIMESTRE</t>
        </is>
      </c>
      <c r="C505" s="4" t="inlineStr">
        <is>
          <t>Gráfico 1 / plot 1</t>
        </is>
      </c>
      <c r="D505" s="4" t="inlineStr">
        <is>
          <t>RM de Porto Alegre</t>
        </is>
      </c>
      <c r="E505" s="4" t="inlineStr">
        <is>
          <t>3T/24</t>
        </is>
      </c>
      <c r="F505" s="4" t="n">
        <v>4193</v>
      </c>
      <c r="G505" s="4" t="n"/>
      <c r="H505" s="4" t="n">
        <v>0</v>
      </c>
      <c r="I505" s="4">
        <f>IF(G505="","PENDENTE",IF(AND(ISNUMBER(F505),ISNUMBER(G505)),IF(ABS(G505-F505)&lt;=H505,"IGUAL","DIVERGENTE"),IF(TRIM(G505&amp;"")=TRIM(F505&amp;""),"IGUAL","DIVERGENTE")))</f>
        <v/>
      </c>
      <c r="J505" s="4" t="n"/>
    </row>
    <row r="506">
      <c r="A506" s="3" t="n">
        <v>35</v>
      </c>
      <c r="B506" s="3" t="inlineStr">
        <is>
          <t>OFERTA FINAL VERTICAL POR TRIMESTRE</t>
        </is>
      </c>
      <c r="C506" s="3" t="inlineStr">
        <is>
          <t>Gráfico 1 / plot 1</t>
        </is>
      </c>
      <c r="D506" s="3" t="inlineStr">
        <is>
          <t>RM de Porto Alegre</t>
        </is>
      </c>
      <c r="E506" s="3" t="inlineStr">
        <is>
          <t>4T/24</t>
        </is>
      </c>
      <c r="F506" s="3" t="n">
        <v>4695</v>
      </c>
      <c r="G506" s="3" t="n"/>
      <c r="H506" s="3" t="n">
        <v>0</v>
      </c>
      <c r="I506" s="3">
        <f>IF(G506="","PENDENTE",IF(AND(ISNUMBER(F506),ISNUMBER(G506)),IF(ABS(G506-F506)&lt;=H506,"IGUAL","DIVERGENTE"),IF(TRIM(G506&amp;"")=TRIM(F506&amp;""),"IGUAL","DIVERGENTE")))</f>
        <v/>
      </c>
      <c r="J506" s="3" t="n"/>
    </row>
    <row r="507">
      <c r="A507" s="4" t="n">
        <v>35</v>
      </c>
      <c r="B507" s="4" t="inlineStr">
        <is>
          <t>OFERTA FINAL VERTICAL POR TRIMESTRE</t>
        </is>
      </c>
      <c r="C507" s="4" t="inlineStr">
        <is>
          <t>Gráfico 1 / plot 1</t>
        </is>
      </c>
      <c r="D507" s="4" t="inlineStr">
        <is>
          <t>RM de Porto Alegre</t>
        </is>
      </c>
      <c r="E507" s="4" t="inlineStr">
        <is>
          <t>1T/25</t>
        </is>
      </c>
      <c r="F507" s="4" t="n">
        <v>4590</v>
      </c>
      <c r="G507" s="4" t="n"/>
      <c r="H507" s="4" t="n">
        <v>0</v>
      </c>
      <c r="I507" s="4">
        <f>IF(G507="","PENDENTE",IF(AND(ISNUMBER(F507),ISNUMBER(G507)),IF(ABS(G507-F507)&lt;=H507,"IGUAL","DIVERGENTE"),IF(TRIM(G507&amp;"")=TRIM(F507&amp;""),"IGUAL","DIVERGENTE")))</f>
        <v/>
      </c>
      <c r="J507" s="4" t="n"/>
    </row>
    <row r="508">
      <c r="A508" s="3" t="n">
        <v>35</v>
      </c>
      <c r="B508" s="3" t="inlineStr">
        <is>
          <t>OFERTA FINAL VERTICAL POR TRIMESTRE</t>
        </is>
      </c>
      <c r="C508" s="3" t="inlineStr">
        <is>
          <t>Gráfico 1 / plot 1</t>
        </is>
      </c>
      <c r="D508" s="3" t="inlineStr">
        <is>
          <t>RM de Porto Alegre</t>
        </is>
      </c>
      <c r="E508" s="3" t="inlineStr">
        <is>
          <t>2T/25</t>
        </is>
      </c>
      <c r="F508" s="3" t="n">
        <v>4600</v>
      </c>
      <c r="G508" s="3" t="n"/>
      <c r="H508" s="3" t="n">
        <v>0</v>
      </c>
      <c r="I508" s="3">
        <f>IF(G508="","PENDENTE",IF(AND(ISNUMBER(F508),ISNUMBER(G508)),IF(ABS(G508-F508)&lt;=H508,"IGUAL","DIVERGENTE"),IF(TRIM(G508&amp;"")=TRIM(F508&amp;""),"IGUAL","DIVERGENTE")))</f>
        <v/>
      </c>
      <c r="J508" s="3" t="n"/>
    </row>
    <row r="509">
      <c r="A509" s="4" t="n">
        <v>35</v>
      </c>
      <c r="B509" s="4" t="inlineStr">
        <is>
          <t>OFERTA FINAL VERTICAL POR TRIMESTRE</t>
        </is>
      </c>
      <c r="C509" s="4" t="inlineStr">
        <is>
          <t>Gráfico 1 / plot 1</t>
        </is>
      </c>
      <c r="D509" s="4" t="inlineStr">
        <is>
          <t>RM de Porto Alegre</t>
        </is>
      </c>
      <c r="E509" s="4" t="inlineStr">
        <is>
          <t>3T/25</t>
        </is>
      </c>
      <c r="F509" s="4" t="n">
        <v>3759</v>
      </c>
      <c r="G509" s="4" t="n"/>
      <c r="H509" s="4" t="n">
        <v>0</v>
      </c>
      <c r="I509" s="4">
        <f>IF(G509="","PENDENTE",IF(AND(ISNUMBER(F509),ISNUMBER(G509)),IF(ABS(G509-F509)&lt;=H509,"IGUAL","DIVERGENTE"),IF(TRIM(G509&amp;"")=TRIM(F509&amp;""),"IGUAL","DIVERGENTE")))</f>
        <v/>
      </c>
      <c r="J509" s="4" t="n"/>
    </row>
    <row r="510">
      <c r="A510" s="3" t="n">
        <v>35</v>
      </c>
      <c r="B510" s="3" t="inlineStr">
        <is>
          <t>OFERTA FINAL VERTICAL POR TRIMESTRE</t>
        </is>
      </c>
      <c r="C510" s="3" t="inlineStr">
        <is>
          <t>Gráfico 1 / plot 1</t>
        </is>
      </c>
      <c r="D510" s="3" t="inlineStr">
        <is>
          <t>RM de Porto Alegre</t>
        </is>
      </c>
      <c r="E510" s="3" t="inlineStr">
        <is>
          <t>4T/25</t>
        </is>
      </c>
      <c r="F510" s="3" t="n">
        <v>4850</v>
      </c>
      <c r="G510" s="3" t="n"/>
      <c r="H510" s="3" t="n">
        <v>0</v>
      </c>
      <c r="I510" s="3">
        <f>IF(G510="","PENDENTE",IF(AND(ISNUMBER(F510),ISNUMBER(G510)),IF(ABS(G510-F510)&lt;=H510,"IGUAL","DIVERGENTE"),IF(TRIM(G510&amp;"")=TRIM(F510&amp;""),"IGUAL","DIVERGENTE")))</f>
        <v/>
      </c>
      <c r="J510" s="3" t="n"/>
    </row>
    <row r="511">
      <c r="A511" s="4" t="n">
        <v>35</v>
      </c>
      <c r="B511" s="4" t="inlineStr">
        <is>
          <t>OFERTA FINAL VERTICAL POR TRIMESTRE</t>
        </is>
      </c>
      <c r="C511" s="4" t="inlineStr">
        <is>
          <t>Tabela 1</t>
        </is>
      </c>
      <c r="D511" s="4" t="inlineStr">
        <is>
          <t>2021 x 2022</t>
        </is>
      </c>
      <c r="E511" s="4" t="inlineStr">
        <is>
          <t>Coluna 2</t>
        </is>
      </c>
      <c r="F511" s="4" t="inlineStr">
        <is>
          <t>2022 x 2023</t>
        </is>
      </c>
      <c r="G511" s="4" t="n"/>
      <c r="H511" s="4" t="n"/>
      <c r="I511" s="4">
        <f>IF(G511="","PENDENTE",IF(AND(ISNUMBER(F511),ISNUMBER(G511)),IF(ABS(G511-F511)&lt;=H511,"IGUAL","DIVERGENTE"),IF(TRIM(G511&amp;"")=TRIM(F511&amp;""),"IGUAL","DIVERGENTE")))</f>
        <v/>
      </c>
      <c r="J511" s="4" t="n"/>
    </row>
    <row r="512">
      <c r="A512" s="3" t="n">
        <v>35</v>
      </c>
      <c r="B512" s="3" t="inlineStr">
        <is>
          <t>OFERTA FINAL VERTICAL POR TRIMESTRE</t>
        </is>
      </c>
      <c r="C512" s="3" t="inlineStr">
        <is>
          <t>Tabela 1</t>
        </is>
      </c>
      <c r="D512" s="3" t="inlineStr">
        <is>
          <t>2021 x 2022</t>
        </is>
      </c>
      <c r="E512" s="3" t="inlineStr">
        <is>
          <t>Coluna 3</t>
        </is>
      </c>
      <c r="F512" s="3" t="inlineStr">
        <is>
          <t>2023 X 2024</t>
        </is>
      </c>
      <c r="G512" s="3" t="n"/>
      <c r="H512" s="3" t="n"/>
      <c r="I512" s="3">
        <f>IF(G512="","PENDENTE",IF(AND(ISNUMBER(F512),ISNUMBER(G512)),IF(ABS(G512-F512)&lt;=H512,"IGUAL","DIVERGENTE"),IF(TRIM(G512&amp;"")=TRIM(F512&amp;""),"IGUAL","DIVERGENTE")))</f>
        <v/>
      </c>
      <c r="J512" s="3" t="n"/>
    </row>
    <row r="513">
      <c r="A513" s="4" t="n">
        <v>35</v>
      </c>
      <c r="B513" s="4" t="inlineStr">
        <is>
          <t>OFERTA FINAL VERTICAL POR TRIMESTRE</t>
        </is>
      </c>
      <c r="C513" s="4" t="inlineStr">
        <is>
          <t>Tabela 1</t>
        </is>
      </c>
      <c r="D513" s="4" t="inlineStr">
        <is>
          <t>2021 x 2022</t>
        </is>
      </c>
      <c r="E513" s="4" t="inlineStr">
        <is>
          <t>Coluna 4</t>
        </is>
      </c>
      <c r="F513" s="4" t="inlineStr">
        <is>
          <t>2024 x 2025</t>
        </is>
      </c>
      <c r="G513" s="4" t="n"/>
      <c r="H513" s="4" t="n"/>
      <c r="I513" s="4">
        <f>IF(G513="","PENDENTE",IF(AND(ISNUMBER(F513),ISNUMBER(G513)),IF(ABS(G513-F513)&lt;=H513,"IGUAL","DIVERGENTE"),IF(TRIM(G513&amp;"")=TRIM(F513&amp;""),"IGUAL","DIVERGENTE")))</f>
        <v/>
      </c>
      <c r="J513" s="4" t="n"/>
    </row>
    <row r="514">
      <c r="A514" s="3" t="n">
        <v>35</v>
      </c>
      <c r="B514" s="3" t="inlineStr">
        <is>
          <t>OFERTA FINAL VERTICAL POR TRIMESTRE</t>
        </is>
      </c>
      <c r="C514" s="3" t="inlineStr">
        <is>
          <t>Tabela 1</t>
        </is>
      </c>
      <c r="D514" s="3" t="inlineStr">
        <is>
          <t>+4%</t>
        </is>
      </c>
      <c r="E514" s="3" t="inlineStr">
        <is>
          <t>Coluna 2</t>
        </is>
      </c>
      <c r="F514" s="3" t="inlineStr">
        <is>
          <t>-19%</t>
        </is>
      </c>
      <c r="G514" s="3" t="n"/>
      <c r="H514" s="3" t="n"/>
      <c r="I514" s="3">
        <f>IF(G514="","PENDENTE",IF(AND(ISNUMBER(F514),ISNUMBER(G514)),IF(ABS(G514-F514)&lt;=H514,"IGUAL","DIVERGENTE"),IF(TRIM(G514&amp;"")=TRIM(F514&amp;""),"IGUAL","DIVERGENTE")))</f>
        <v/>
      </c>
      <c r="J514" s="3" t="n"/>
    </row>
    <row r="515">
      <c r="A515" s="4" t="n">
        <v>35</v>
      </c>
      <c r="B515" s="4" t="inlineStr">
        <is>
          <t>OFERTA FINAL VERTICAL POR TRIMESTRE</t>
        </is>
      </c>
      <c r="C515" s="4" t="inlineStr">
        <is>
          <t>Tabela 1</t>
        </is>
      </c>
      <c r="D515" s="4" t="inlineStr">
        <is>
          <t>+4%</t>
        </is>
      </c>
      <c r="E515" s="4" t="inlineStr">
        <is>
          <t>Coluna 3</t>
        </is>
      </c>
      <c r="F515" s="4" t="inlineStr">
        <is>
          <t>-18%</t>
        </is>
      </c>
      <c r="G515" s="4" t="n"/>
      <c r="H515" s="4" t="n"/>
      <c r="I515" s="4">
        <f>IF(G515="","PENDENTE",IF(AND(ISNUMBER(F515),ISNUMBER(G515)),IF(ABS(G515-F515)&lt;=H515,"IGUAL","DIVERGENTE"),IF(TRIM(G515&amp;"")=TRIM(F515&amp;""),"IGUAL","DIVERGENTE")))</f>
        <v/>
      </c>
      <c r="J515" s="4" t="n"/>
    </row>
    <row r="516">
      <c r="A516" s="3" t="n">
        <v>35</v>
      </c>
      <c r="B516" s="3" t="inlineStr">
        <is>
          <t>OFERTA FINAL VERTICAL POR TRIMESTRE</t>
        </is>
      </c>
      <c r="C516" s="3" t="inlineStr">
        <is>
          <t>Tabela 1</t>
        </is>
      </c>
      <c r="D516" s="3" t="inlineStr">
        <is>
          <t>+4%</t>
        </is>
      </c>
      <c r="E516" s="3" t="inlineStr">
        <is>
          <t>Coluna 4</t>
        </is>
      </c>
      <c r="F516" s="3" t="inlineStr">
        <is>
          <t>+3%</t>
        </is>
      </c>
      <c r="G516" s="3" t="n"/>
      <c r="H516" s="3" t="n"/>
      <c r="I516" s="3">
        <f>IF(G516="","PENDENTE",IF(AND(ISNUMBER(F516),ISNUMBER(G516)),IF(ABS(G516-F516)&lt;=H516,"IGUAL","DIVERGENTE"),IF(TRIM(G516&amp;"")=TRIM(F516&amp;""),"IGUAL","DIVERGENTE")))</f>
        <v/>
      </c>
      <c r="J516" s="3" t="n"/>
    </row>
    <row r="517">
      <c r="A517" s="4" t="n">
        <v>36</v>
      </c>
      <c r="B517" s="4" t="inlineStr">
        <is>
          <t>OFERTA FINAL POR TIPOLOGIA</t>
        </is>
      </c>
      <c r="C517" s="4" t="inlineStr">
        <is>
          <t>Gráfico 1 / plot 1</t>
        </is>
      </c>
      <c r="D517" s="4" t="inlineStr">
        <is>
          <t>1 dorm</t>
        </is>
      </c>
      <c r="E517" s="4" t="inlineStr">
        <is>
          <t>1S 2025</t>
        </is>
      </c>
      <c r="F517" s="4" t="n">
        <v>0.0558695652173913</v>
      </c>
      <c r="G517" s="4" t="n"/>
      <c r="H517" s="4" t="n">
        <v>0.005</v>
      </c>
      <c r="I517" s="4">
        <f>IF(G517="","PENDENTE",IF(AND(ISNUMBER(F517),ISNUMBER(G517)),IF(ABS(G517-F517)&lt;=H517,"IGUAL","DIVERGENTE"),IF(TRIM(G517&amp;"")=TRIM(F517&amp;""),"IGUAL","DIVERGENTE")))</f>
        <v/>
      </c>
      <c r="J517" s="4" t="n"/>
    </row>
    <row r="518">
      <c r="A518" s="3" t="n">
        <v>36</v>
      </c>
      <c r="B518" s="3" t="inlineStr">
        <is>
          <t>OFERTA FINAL POR TIPOLOGIA</t>
        </is>
      </c>
      <c r="C518" s="3" t="inlineStr">
        <is>
          <t>Gráfico 1 / plot 1</t>
        </is>
      </c>
      <c r="D518" s="3" t="inlineStr">
        <is>
          <t>1 dorm</t>
        </is>
      </c>
      <c r="E518" s="3" t="inlineStr">
        <is>
          <t>2S 2025</t>
        </is>
      </c>
      <c r="F518" s="3" t="n">
        <v>0.04103092783505154</v>
      </c>
      <c r="G518" s="3" t="n"/>
      <c r="H518" s="3" t="n">
        <v>0.005</v>
      </c>
      <c r="I518" s="3">
        <f>IF(G518="","PENDENTE",IF(AND(ISNUMBER(F518),ISNUMBER(G518)),IF(ABS(G518-F518)&lt;=H518,"IGUAL","DIVERGENTE"),IF(TRIM(G518&amp;"")=TRIM(F518&amp;""),"IGUAL","DIVERGENTE")))</f>
        <v/>
      </c>
      <c r="J518" s="3" t="n"/>
    </row>
    <row r="519">
      <c r="A519" s="4" t="n">
        <v>36</v>
      </c>
      <c r="B519" s="4" t="inlineStr">
        <is>
          <t>OFERTA FINAL POR TIPOLOGIA</t>
        </is>
      </c>
      <c r="C519" s="4" t="inlineStr">
        <is>
          <t>Gráfico 1 / plot 1</t>
        </is>
      </c>
      <c r="D519" s="4" t="inlineStr">
        <is>
          <t>2 dorm</t>
        </is>
      </c>
      <c r="E519" s="4" t="inlineStr">
        <is>
          <t>1S 2025</t>
        </is>
      </c>
      <c r="F519" s="4" t="n">
        <v>0.8482608695652174</v>
      </c>
      <c r="G519" s="4" t="n"/>
      <c r="H519" s="4" t="n">
        <v>0.005</v>
      </c>
      <c r="I519" s="4">
        <f>IF(G519="","PENDENTE",IF(AND(ISNUMBER(F519),ISNUMBER(G519)),IF(ABS(G519-F519)&lt;=H519,"IGUAL","DIVERGENTE"),IF(TRIM(G519&amp;"")=TRIM(F519&amp;""),"IGUAL","DIVERGENTE")))</f>
        <v/>
      </c>
      <c r="J519" s="4" t="n"/>
    </row>
    <row r="520">
      <c r="A520" s="3" t="n">
        <v>36</v>
      </c>
      <c r="B520" s="3" t="inlineStr">
        <is>
          <t>OFERTA FINAL POR TIPOLOGIA</t>
        </is>
      </c>
      <c r="C520" s="3" t="inlineStr">
        <is>
          <t>Gráfico 1 / plot 1</t>
        </is>
      </c>
      <c r="D520" s="3" t="inlineStr">
        <is>
          <t>2 dorm</t>
        </is>
      </c>
      <c r="E520" s="3" t="inlineStr">
        <is>
          <t>2S 2025</t>
        </is>
      </c>
      <c r="F520" s="3" t="n">
        <v>0.8676288659793815</v>
      </c>
      <c r="G520" s="3" t="n"/>
      <c r="H520" s="3" t="n">
        <v>0.005</v>
      </c>
      <c r="I520" s="3">
        <f>IF(G520="","PENDENTE",IF(AND(ISNUMBER(F520),ISNUMBER(G520)),IF(ABS(G520-F520)&lt;=H520,"IGUAL","DIVERGENTE"),IF(TRIM(G520&amp;"")=TRIM(F520&amp;""),"IGUAL","DIVERGENTE")))</f>
        <v/>
      </c>
      <c r="J520" s="3" t="n"/>
    </row>
    <row r="521">
      <c r="A521" s="4" t="n">
        <v>36</v>
      </c>
      <c r="B521" s="4" t="inlineStr">
        <is>
          <t>OFERTA FINAL POR TIPOLOGIA</t>
        </is>
      </c>
      <c r="C521" s="4" t="inlineStr">
        <is>
          <t>Gráfico 1 / plot 1</t>
        </is>
      </c>
      <c r="D521" s="4" t="inlineStr">
        <is>
          <t>3 dorm</t>
        </is>
      </c>
      <c r="E521" s="4" t="inlineStr">
        <is>
          <t>1S 2025</t>
        </is>
      </c>
      <c r="F521" s="4" t="n">
        <v>0.0958695652173913</v>
      </c>
      <c r="G521" s="4" t="n"/>
      <c r="H521" s="4" t="n">
        <v>0.005</v>
      </c>
      <c r="I521" s="4">
        <f>IF(G521="","PENDENTE",IF(AND(ISNUMBER(F521),ISNUMBER(G521)),IF(ABS(G521-F521)&lt;=H521,"IGUAL","DIVERGENTE"),IF(TRIM(G521&amp;"")=TRIM(F521&amp;""),"IGUAL","DIVERGENTE")))</f>
        <v/>
      </c>
      <c r="J521" s="4" t="n"/>
    </row>
    <row r="522">
      <c r="A522" s="3" t="n">
        <v>36</v>
      </c>
      <c r="B522" s="3" t="inlineStr">
        <is>
          <t>OFERTA FINAL POR TIPOLOGIA</t>
        </is>
      </c>
      <c r="C522" s="3" t="inlineStr">
        <is>
          <t>Gráfico 1 / plot 1</t>
        </is>
      </c>
      <c r="D522" s="3" t="inlineStr">
        <is>
          <t>3 dorm</t>
        </is>
      </c>
      <c r="E522" s="3" t="inlineStr">
        <is>
          <t>2S 2025</t>
        </is>
      </c>
      <c r="F522" s="3" t="n">
        <v>0.0911340206185567</v>
      </c>
      <c r="G522" s="3" t="n"/>
      <c r="H522" s="3" t="n">
        <v>0.005</v>
      </c>
      <c r="I522" s="3">
        <f>IF(G522="","PENDENTE",IF(AND(ISNUMBER(F522),ISNUMBER(G522)),IF(ABS(G522-F522)&lt;=H522,"IGUAL","DIVERGENTE"),IF(TRIM(G522&amp;"")=TRIM(F522&amp;""),"IGUAL","DIVERGENTE")))</f>
        <v/>
      </c>
      <c r="J522" s="3" t="n"/>
    </row>
    <row r="523">
      <c r="A523" s="4" t="n">
        <v>36</v>
      </c>
      <c r="B523" s="4" t="inlineStr">
        <is>
          <t>OFERTA FINAL POR TIPOLOGIA</t>
        </is>
      </c>
      <c r="C523" s="4" t="inlineStr">
        <is>
          <t>Gráfico 1 / plot 1</t>
        </is>
      </c>
      <c r="D523" s="4" t="inlineStr">
        <is>
          <t>4 dorm</t>
        </is>
      </c>
      <c r="E523" s="4" t="inlineStr">
        <is>
          <t>1S 2025</t>
        </is>
      </c>
      <c r="F523" s="4" t="n">
        <v>0</v>
      </c>
      <c r="G523" s="4" t="n"/>
      <c r="H523" s="4" t="n">
        <v>0</v>
      </c>
      <c r="I523" s="4">
        <f>IF(G523="","PENDENTE",IF(AND(ISNUMBER(F523),ISNUMBER(G523)),IF(ABS(G523-F523)&lt;=H523,"IGUAL","DIVERGENTE"),IF(TRIM(G523&amp;"")=TRIM(F523&amp;""),"IGUAL","DIVERGENTE")))</f>
        <v/>
      </c>
      <c r="J523" s="4" t="n"/>
    </row>
    <row r="524">
      <c r="A524" s="3" t="n">
        <v>36</v>
      </c>
      <c r="B524" s="3" t="inlineStr">
        <is>
          <t>OFERTA FINAL POR TIPOLOGIA</t>
        </is>
      </c>
      <c r="C524" s="3" t="inlineStr">
        <is>
          <t>Gráfico 1 / plot 1</t>
        </is>
      </c>
      <c r="D524" s="3" t="inlineStr">
        <is>
          <t>4 dorm</t>
        </is>
      </c>
      <c r="E524" s="3" t="inlineStr">
        <is>
          <t>2S 2025</t>
        </is>
      </c>
      <c r="F524" s="3" t="n">
        <v>0.0002061855670103093</v>
      </c>
      <c r="G524" s="3" t="n"/>
      <c r="H524" s="3" t="n">
        <v>0.005</v>
      </c>
      <c r="I524" s="3">
        <f>IF(G524="","PENDENTE",IF(AND(ISNUMBER(F524),ISNUMBER(G524)),IF(ABS(G524-F524)&lt;=H524,"IGUAL","DIVERGENTE"),IF(TRIM(G524&amp;"")=TRIM(F524&amp;""),"IGUAL","DIVERGENTE")))</f>
        <v/>
      </c>
      <c r="J524" s="3" t="n"/>
    </row>
    <row r="525">
      <c r="A525" s="4" t="n">
        <v>37</v>
      </c>
      <c r="B525" s="4" t="inlineStr">
        <is>
          <t>OFERTA FINAL POR PADRÃO</t>
        </is>
      </c>
      <c r="C525" s="4" t="inlineStr">
        <is>
          <t>Gráfico 1 / plot 1</t>
        </is>
      </c>
      <c r="D525" s="4" t="inlineStr">
        <is>
          <t>Compactos</t>
        </is>
      </c>
      <c r="E525" s="4" t="inlineStr">
        <is>
          <t>1S 2025</t>
        </is>
      </c>
      <c r="F525" s="4" t="n">
        <v>0.04608695652173913</v>
      </c>
      <c r="G525" s="4" t="n"/>
      <c r="H525" s="4" t="n">
        <v>0.005</v>
      </c>
      <c r="I525" s="4">
        <f>IF(G525="","PENDENTE",IF(AND(ISNUMBER(F525),ISNUMBER(G525)),IF(ABS(G525-F525)&lt;=H525,"IGUAL","DIVERGENTE"),IF(TRIM(G525&amp;"")=TRIM(F525&amp;""),"IGUAL","DIVERGENTE")))</f>
        <v/>
      </c>
      <c r="J525" s="4" t="n"/>
    </row>
    <row r="526">
      <c r="A526" s="3" t="n">
        <v>37</v>
      </c>
      <c r="B526" s="3" t="inlineStr">
        <is>
          <t>OFERTA FINAL POR PADRÃO</t>
        </is>
      </c>
      <c r="C526" s="3" t="inlineStr">
        <is>
          <t>Gráfico 1 / plot 1</t>
        </is>
      </c>
      <c r="D526" s="3" t="inlineStr">
        <is>
          <t>Compactos</t>
        </is>
      </c>
      <c r="E526" s="3" t="inlineStr">
        <is>
          <t>2S 2025</t>
        </is>
      </c>
      <c r="F526" s="3" t="n">
        <v>0.02865979381443299</v>
      </c>
      <c r="G526" s="3" t="n"/>
      <c r="H526" s="3" t="n">
        <v>0.005</v>
      </c>
      <c r="I526" s="3">
        <f>IF(G526="","PENDENTE",IF(AND(ISNUMBER(F526),ISNUMBER(G526)),IF(ABS(G526-F526)&lt;=H526,"IGUAL","DIVERGENTE"),IF(TRIM(G526&amp;"")=TRIM(F526&amp;""),"IGUAL","DIVERGENTE")))</f>
        <v/>
      </c>
      <c r="J526" s="3" t="n"/>
    </row>
    <row r="527">
      <c r="A527" s="4" t="n">
        <v>37</v>
      </c>
      <c r="B527" s="4" t="inlineStr">
        <is>
          <t>OFERTA FINAL POR PADRÃO</t>
        </is>
      </c>
      <c r="C527" s="4" t="inlineStr">
        <is>
          <t>Gráfico 1 / plot 1</t>
        </is>
      </c>
      <c r="D527" s="4" t="inlineStr">
        <is>
          <t>MCMV</t>
        </is>
      </c>
      <c r="E527" s="4" t="inlineStr">
        <is>
          <t>1S 2025</t>
        </is>
      </c>
      <c r="F527" s="4" t="n">
        <v>0.611304347826087</v>
      </c>
      <c r="G527" s="4" t="n"/>
      <c r="H527" s="4" t="n">
        <v>0.005</v>
      </c>
      <c r="I527" s="4">
        <f>IF(G527="","PENDENTE",IF(AND(ISNUMBER(F527),ISNUMBER(G527)),IF(ABS(G527-F527)&lt;=H527,"IGUAL","DIVERGENTE"),IF(TRIM(G527&amp;"")=TRIM(F527&amp;""),"IGUAL","DIVERGENTE")))</f>
        <v/>
      </c>
      <c r="J527" s="4" t="n"/>
    </row>
    <row r="528">
      <c r="A528" s="3" t="n">
        <v>37</v>
      </c>
      <c r="B528" s="3" t="inlineStr">
        <is>
          <t>OFERTA FINAL POR PADRÃO</t>
        </is>
      </c>
      <c r="C528" s="3" t="inlineStr">
        <is>
          <t>Gráfico 1 / plot 1</t>
        </is>
      </c>
      <c r="D528" s="3" t="inlineStr">
        <is>
          <t>MCMV</t>
        </is>
      </c>
      <c r="E528" s="3" t="inlineStr">
        <is>
          <t>2S 2025</t>
        </is>
      </c>
      <c r="F528" s="3" t="n">
        <v>0.694639175257732</v>
      </c>
      <c r="G528" s="3" t="n"/>
      <c r="H528" s="3" t="n">
        <v>0.005</v>
      </c>
      <c r="I528" s="3">
        <f>IF(G528="","PENDENTE",IF(AND(ISNUMBER(F528),ISNUMBER(G528)),IF(ABS(G528-F528)&lt;=H528,"IGUAL","DIVERGENTE"),IF(TRIM(G528&amp;"")=TRIM(F528&amp;""),"IGUAL","DIVERGENTE")))</f>
        <v/>
      </c>
      <c r="J528" s="3" t="n"/>
    </row>
    <row r="529">
      <c r="A529" s="4" t="n">
        <v>37</v>
      </c>
      <c r="B529" s="4" t="inlineStr">
        <is>
          <t>OFERTA FINAL POR PADRÃO</t>
        </is>
      </c>
      <c r="C529" s="4" t="inlineStr">
        <is>
          <t>Gráfico 1 / plot 1</t>
        </is>
      </c>
      <c r="D529" s="4" t="inlineStr">
        <is>
          <t>Médio Padrão</t>
        </is>
      </c>
      <c r="E529" s="4" t="inlineStr">
        <is>
          <t>1S 2025</t>
        </is>
      </c>
      <c r="F529" s="4" t="n">
        <v>0.3415217391304348</v>
      </c>
      <c r="G529" s="4" t="n"/>
      <c r="H529" s="4" t="n">
        <v>0.005</v>
      </c>
      <c r="I529" s="4">
        <f>IF(G529="","PENDENTE",IF(AND(ISNUMBER(F529),ISNUMBER(G529)),IF(ABS(G529-F529)&lt;=H529,"IGUAL","DIVERGENTE"),IF(TRIM(G529&amp;"")=TRIM(F529&amp;""),"IGUAL","DIVERGENTE")))</f>
        <v/>
      </c>
      <c r="J529" s="4" t="n"/>
    </row>
    <row r="530">
      <c r="A530" s="3" t="n">
        <v>37</v>
      </c>
      <c r="B530" s="3" t="inlineStr">
        <is>
          <t>OFERTA FINAL POR PADRÃO</t>
        </is>
      </c>
      <c r="C530" s="3" t="inlineStr">
        <is>
          <t>Gráfico 1 / plot 1</t>
        </is>
      </c>
      <c r="D530" s="3" t="inlineStr">
        <is>
          <t>Médio Padrão</t>
        </is>
      </c>
      <c r="E530" s="3" t="inlineStr">
        <is>
          <t>2S 2025</t>
        </is>
      </c>
      <c r="F530" s="3" t="n">
        <v>0.2760824742268041</v>
      </c>
      <c r="G530" s="3" t="n"/>
      <c r="H530" s="3" t="n">
        <v>0.005</v>
      </c>
      <c r="I530" s="3">
        <f>IF(G530="","PENDENTE",IF(AND(ISNUMBER(F530),ISNUMBER(G530)),IF(ABS(G530-F530)&lt;=H530,"IGUAL","DIVERGENTE"),IF(TRIM(G530&amp;"")=TRIM(F530&amp;""),"IGUAL","DIVERGENTE")))</f>
        <v/>
      </c>
      <c r="J530" s="3" t="n"/>
    </row>
    <row r="531">
      <c r="A531" s="4" t="n">
        <v>37</v>
      </c>
      <c r="B531" s="4" t="inlineStr">
        <is>
          <t>OFERTA FINAL POR PADRÃO</t>
        </is>
      </c>
      <c r="C531" s="4" t="inlineStr">
        <is>
          <t>Gráfico 1 / plot 1</t>
        </is>
      </c>
      <c r="D531" s="4" t="inlineStr">
        <is>
          <t>Luxo</t>
        </is>
      </c>
      <c r="E531" s="4" t="inlineStr">
        <is>
          <t>1S 2025</t>
        </is>
      </c>
      <c r="F531" s="4" t="n">
        <v>0.00108695652173913</v>
      </c>
      <c r="G531" s="4" t="n"/>
      <c r="H531" s="4" t="n">
        <v>0.005</v>
      </c>
      <c r="I531" s="4">
        <f>IF(G531="","PENDENTE",IF(AND(ISNUMBER(F531),ISNUMBER(G531)),IF(ABS(G531-F531)&lt;=H531,"IGUAL","DIVERGENTE"),IF(TRIM(G531&amp;"")=TRIM(F531&amp;""),"IGUAL","DIVERGENTE")))</f>
        <v/>
      </c>
      <c r="J531" s="4" t="n"/>
    </row>
    <row r="532">
      <c r="A532" s="3" t="n">
        <v>37</v>
      </c>
      <c r="B532" s="3" t="inlineStr">
        <is>
          <t>OFERTA FINAL POR PADRÃO</t>
        </is>
      </c>
      <c r="C532" s="3" t="inlineStr">
        <is>
          <t>Gráfico 1 / plot 1</t>
        </is>
      </c>
      <c r="D532" s="3" t="inlineStr">
        <is>
          <t>Luxo</t>
        </is>
      </c>
      <c r="E532" s="3" t="inlineStr">
        <is>
          <t>2S 2025</t>
        </is>
      </c>
      <c r="F532" s="3" t="n">
        <v>0.0006185567010309278</v>
      </c>
      <c r="G532" s="3" t="n"/>
      <c r="H532" s="3" t="n">
        <v>0.005</v>
      </c>
      <c r="I532" s="3">
        <f>IF(G532="","PENDENTE",IF(AND(ISNUMBER(F532),ISNUMBER(G532)),IF(ABS(G532-F532)&lt;=H532,"IGUAL","DIVERGENTE"),IF(TRIM(G532&amp;"")=TRIM(F532&amp;""),"IGUAL","DIVERGENTE")))</f>
        <v/>
      </c>
      <c r="J532" s="3" t="n"/>
    </row>
    <row r="533">
      <c r="A533" s="4" t="n">
        <v>39</v>
      </c>
      <c r="B533" s="4" t="inlineStr">
        <is>
          <t>IVV (%) POR TRIMESTRE</t>
        </is>
      </c>
      <c r="C533" s="4" t="inlineStr">
        <is>
          <t>Gráfico 1 / plot 1</t>
        </is>
      </c>
      <c r="D533" s="4" t="inlineStr">
        <is>
          <t>Vertical</t>
        </is>
      </c>
      <c r="E533" s="4" t="inlineStr">
        <is>
          <t>4T 2022</t>
        </is>
      </c>
      <c r="F533" s="4" t="n">
        <v>0.1449</v>
      </c>
      <c r="G533" s="4" t="n"/>
      <c r="H533" s="4" t="n">
        <v>0.005</v>
      </c>
      <c r="I533" s="4">
        <f>IF(G533="","PENDENTE",IF(AND(ISNUMBER(F533),ISNUMBER(G533)),IF(ABS(G533-F533)&lt;=H533,"IGUAL","DIVERGENTE"),IF(TRIM(G533&amp;"")=TRIM(F533&amp;""),"IGUAL","DIVERGENTE")))</f>
        <v/>
      </c>
      <c r="J533" s="4" t="n"/>
    </row>
    <row r="534">
      <c r="A534" s="3" t="n">
        <v>39</v>
      </c>
      <c r="B534" s="3" t="inlineStr">
        <is>
          <t>IVV (%) POR TRIMESTRE</t>
        </is>
      </c>
      <c r="C534" s="3" t="inlineStr">
        <is>
          <t>Gráfico 1 / plot 1</t>
        </is>
      </c>
      <c r="D534" s="3" t="inlineStr">
        <is>
          <t>Vertical</t>
        </is>
      </c>
      <c r="E534" s="3" t="inlineStr">
        <is>
          <t>1T 2023</t>
        </is>
      </c>
      <c r="F534" s="3" t="n">
        <v>0.1656</v>
      </c>
      <c r="G534" s="3" t="n"/>
      <c r="H534" s="3" t="n">
        <v>0.005</v>
      </c>
      <c r="I534" s="3">
        <f>IF(G534="","PENDENTE",IF(AND(ISNUMBER(F534),ISNUMBER(G534)),IF(ABS(G534-F534)&lt;=H534,"IGUAL","DIVERGENTE"),IF(TRIM(G534&amp;"")=TRIM(F534&amp;""),"IGUAL","DIVERGENTE")))</f>
        <v/>
      </c>
      <c r="J534" s="3" t="n"/>
    </row>
    <row r="535">
      <c r="A535" s="4" t="n">
        <v>39</v>
      </c>
      <c r="B535" s="4" t="inlineStr">
        <is>
          <t>IVV (%) POR TRIMESTRE</t>
        </is>
      </c>
      <c r="C535" s="4" t="inlineStr">
        <is>
          <t>Gráfico 1 / plot 1</t>
        </is>
      </c>
      <c r="D535" s="4" t="inlineStr">
        <is>
          <t>Vertical</t>
        </is>
      </c>
      <c r="E535" s="4" t="inlineStr">
        <is>
          <t>2T 2023</t>
        </is>
      </c>
      <c r="F535" s="4" t="n">
        <v>0.1273</v>
      </c>
      <c r="G535" s="4" t="n"/>
      <c r="H535" s="4" t="n">
        <v>0.005</v>
      </c>
      <c r="I535" s="4">
        <f>IF(G535="","PENDENTE",IF(AND(ISNUMBER(F535),ISNUMBER(G535)),IF(ABS(G535-F535)&lt;=H535,"IGUAL","DIVERGENTE"),IF(TRIM(G535&amp;"")=TRIM(F535&amp;""),"IGUAL","DIVERGENTE")))</f>
        <v/>
      </c>
      <c r="J535" s="4" t="n"/>
    </row>
    <row r="536">
      <c r="A536" s="3" t="n">
        <v>39</v>
      </c>
      <c r="B536" s="3" t="inlineStr">
        <is>
          <t>IVV (%) POR TRIMESTRE</t>
        </is>
      </c>
      <c r="C536" s="3" t="inlineStr">
        <is>
          <t>Gráfico 1 / plot 1</t>
        </is>
      </c>
      <c r="D536" s="3" t="inlineStr">
        <is>
          <t>Vertical</t>
        </is>
      </c>
      <c r="E536" s="3" t="inlineStr">
        <is>
          <t>3T 2023</t>
        </is>
      </c>
      <c r="F536" s="3" t="n">
        <v>0.1532</v>
      </c>
      <c r="G536" s="3" t="n"/>
      <c r="H536" s="3" t="n">
        <v>0.005</v>
      </c>
      <c r="I536" s="3">
        <f>IF(G536="","PENDENTE",IF(AND(ISNUMBER(F536),ISNUMBER(G536)),IF(ABS(G536-F536)&lt;=H536,"IGUAL","DIVERGENTE"),IF(TRIM(G536&amp;"")=TRIM(F536&amp;""),"IGUAL","DIVERGENTE")))</f>
        <v/>
      </c>
      <c r="J536" s="3" t="n"/>
    </row>
    <row r="537">
      <c r="A537" s="4" t="n">
        <v>39</v>
      </c>
      <c r="B537" s="4" t="inlineStr">
        <is>
          <t>IVV (%) POR TRIMESTRE</t>
        </is>
      </c>
      <c r="C537" s="4" t="inlineStr">
        <is>
          <t>Gráfico 1 / plot 1</t>
        </is>
      </c>
      <c r="D537" s="4" t="inlineStr">
        <is>
          <t>Vertical</t>
        </is>
      </c>
      <c r="E537" s="4" t="inlineStr">
        <is>
          <t>4T 2023</t>
        </is>
      </c>
      <c r="F537" s="4" t="n">
        <v>0.1763</v>
      </c>
      <c r="G537" s="4" t="n"/>
      <c r="H537" s="4" t="n">
        <v>0.005</v>
      </c>
      <c r="I537" s="4">
        <f>IF(G537="","PENDENTE",IF(AND(ISNUMBER(F537),ISNUMBER(G537)),IF(ABS(G537-F537)&lt;=H537,"IGUAL","DIVERGENTE"),IF(TRIM(G537&amp;"")=TRIM(F537&amp;""),"IGUAL","DIVERGENTE")))</f>
        <v/>
      </c>
      <c r="J537" s="4" t="n"/>
    </row>
    <row r="538">
      <c r="A538" s="3" t="n">
        <v>39</v>
      </c>
      <c r="B538" s="3" t="inlineStr">
        <is>
          <t>IVV (%) POR TRIMESTRE</t>
        </is>
      </c>
      <c r="C538" s="3" t="inlineStr">
        <is>
          <t>Gráfico 1 / plot 1</t>
        </is>
      </c>
      <c r="D538" s="3" t="inlineStr">
        <is>
          <t>Vertical</t>
        </is>
      </c>
      <c r="E538" s="3" t="inlineStr">
        <is>
          <t>1T 2024</t>
        </is>
      </c>
      <c r="F538" s="3" t="n">
        <v>0.2064</v>
      </c>
      <c r="G538" s="3" t="n"/>
      <c r="H538" s="3" t="n">
        <v>0.005</v>
      </c>
      <c r="I538" s="3">
        <f>IF(G538="","PENDENTE",IF(AND(ISNUMBER(F538),ISNUMBER(G538)),IF(ABS(G538-F538)&lt;=H538,"IGUAL","DIVERGENTE"),IF(TRIM(G538&amp;"")=TRIM(F538&amp;""),"IGUAL","DIVERGENTE")))</f>
        <v/>
      </c>
      <c r="J538" s="3" t="n"/>
    </row>
    <row r="539">
      <c r="A539" s="4" t="n">
        <v>39</v>
      </c>
      <c r="B539" s="4" t="inlineStr">
        <is>
          <t>IVV (%) POR TRIMESTRE</t>
        </is>
      </c>
      <c r="C539" s="4" t="inlineStr">
        <is>
          <t>Gráfico 1 / plot 1</t>
        </is>
      </c>
      <c r="D539" s="4" t="inlineStr">
        <is>
          <t>Vertical</t>
        </is>
      </c>
      <c r="E539" s="4" t="inlineStr">
        <is>
          <t>2T 2024</t>
        </is>
      </c>
      <c r="F539" s="4" t="n">
        <v>0.1946</v>
      </c>
      <c r="G539" s="4" t="n"/>
      <c r="H539" s="4" t="n">
        <v>0.005</v>
      </c>
      <c r="I539" s="4">
        <f>IF(G539="","PENDENTE",IF(AND(ISNUMBER(F539),ISNUMBER(G539)),IF(ABS(G539-F539)&lt;=H539,"IGUAL","DIVERGENTE"),IF(TRIM(G539&amp;"")=TRIM(F539&amp;""),"IGUAL","DIVERGENTE")))</f>
        <v/>
      </c>
      <c r="J539" s="4" t="n"/>
    </row>
    <row r="540">
      <c r="A540" s="3" t="n">
        <v>39</v>
      </c>
      <c r="B540" s="3" t="inlineStr">
        <is>
          <t>IVV (%) POR TRIMESTRE</t>
        </is>
      </c>
      <c r="C540" s="3" t="inlineStr">
        <is>
          <t>Gráfico 1 / plot 1</t>
        </is>
      </c>
      <c r="D540" s="3" t="inlineStr">
        <is>
          <t>Vertical</t>
        </is>
      </c>
      <c r="E540" s="3" t="inlineStr">
        <is>
          <t>3T 2024</t>
        </is>
      </c>
      <c r="F540" s="3" t="n">
        <v>0.2594</v>
      </c>
      <c r="G540" s="3" t="n"/>
      <c r="H540" s="3" t="n">
        <v>0.005</v>
      </c>
      <c r="I540" s="3">
        <f>IF(G540="","PENDENTE",IF(AND(ISNUMBER(F540),ISNUMBER(G540)),IF(ABS(G540-F540)&lt;=H540,"IGUAL","DIVERGENTE"),IF(TRIM(G540&amp;"")=TRIM(F540&amp;""),"IGUAL","DIVERGENTE")))</f>
        <v/>
      </c>
      <c r="J540" s="3" t="n"/>
    </row>
    <row r="541">
      <c r="A541" s="4" t="n">
        <v>39</v>
      </c>
      <c r="B541" s="4" t="inlineStr">
        <is>
          <t>IVV (%) POR TRIMESTRE</t>
        </is>
      </c>
      <c r="C541" s="4" t="inlineStr">
        <is>
          <t>Gráfico 1 / plot 1</t>
        </is>
      </c>
      <c r="D541" s="4" t="inlineStr">
        <is>
          <t>Vertical</t>
        </is>
      </c>
      <c r="E541" s="4" t="inlineStr">
        <is>
          <t>4T 2024</t>
        </is>
      </c>
      <c r="F541" s="4" t="n">
        <v>0.2232</v>
      </c>
      <c r="G541" s="4" t="n"/>
      <c r="H541" s="4" t="n">
        <v>0.005</v>
      </c>
      <c r="I541" s="4">
        <f>IF(G541="","PENDENTE",IF(AND(ISNUMBER(F541),ISNUMBER(G541)),IF(ABS(G541-F541)&lt;=H541,"IGUAL","DIVERGENTE"),IF(TRIM(G541&amp;"")=TRIM(F541&amp;""),"IGUAL","DIVERGENTE")))</f>
        <v/>
      </c>
      <c r="J541" s="4" t="n"/>
    </row>
    <row r="542">
      <c r="A542" s="3" t="n">
        <v>39</v>
      </c>
      <c r="B542" s="3" t="inlineStr">
        <is>
          <t>IVV (%) POR TRIMESTRE</t>
        </is>
      </c>
      <c r="C542" s="3" t="inlineStr">
        <is>
          <t>Gráfico 1 / plot 1</t>
        </is>
      </c>
      <c r="D542" s="3" t="inlineStr">
        <is>
          <t>Vertical</t>
        </is>
      </c>
      <c r="E542" s="3" t="inlineStr">
        <is>
          <t>1T 2025</t>
        </is>
      </c>
      <c r="F542" s="3" t="n">
        <v>0.2784</v>
      </c>
      <c r="G542" s="3" t="n"/>
      <c r="H542" s="3" t="n">
        <v>0.005</v>
      </c>
      <c r="I542" s="3">
        <f>IF(G542="","PENDENTE",IF(AND(ISNUMBER(F542),ISNUMBER(G542)),IF(ABS(G542-F542)&lt;=H542,"IGUAL","DIVERGENTE"),IF(TRIM(G542&amp;"")=TRIM(F542&amp;""),"IGUAL","DIVERGENTE")))</f>
        <v/>
      </c>
      <c r="J542" s="3" t="n"/>
    </row>
    <row r="543">
      <c r="A543" s="4" t="n">
        <v>39</v>
      </c>
      <c r="B543" s="4" t="inlineStr">
        <is>
          <t>IVV (%) POR TRIMESTRE</t>
        </is>
      </c>
      <c r="C543" s="4" t="inlineStr">
        <is>
          <t>Gráfico 1 / plot 1</t>
        </is>
      </c>
      <c r="D543" s="4" t="inlineStr">
        <is>
          <t>Vertical</t>
        </is>
      </c>
      <c r="E543" s="4" t="inlineStr">
        <is>
          <t>2T 2025</t>
        </is>
      </c>
      <c r="F543" s="4" t="n">
        <v>0.2081</v>
      </c>
      <c r="G543" s="4" t="n"/>
      <c r="H543" s="4" t="n">
        <v>0.005</v>
      </c>
      <c r="I543" s="4">
        <f>IF(G543="","PENDENTE",IF(AND(ISNUMBER(F543),ISNUMBER(G543)),IF(ABS(G543-F543)&lt;=H543,"IGUAL","DIVERGENTE"),IF(TRIM(G543&amp;"")=TRIM(F543&amp;""),"IGUAL","DIVERGENTE")))</f>
        <v/>
      </c>
      <c r="J543" s="4" t="n"/>
    </row>
    <row r="544">
      <c r="A544" s="3" t="n">
        <v>39</v>
      </c>
      <c r="B544" s="3" t="inlineStr">
        <is>
          <t>IVV (%) POR TRIMESTRE</t>
        </is>
      </c>
      <c r="C544" s="3" t="inlineStr">
        <is>
          <t>Gráfico 1 / plot 1</t>
        </is>
      </c>
      <c r="D544" s="3" t="inlineStr">
        <is>
          <t>Vertical</t>
        </is>
      </c>
      <c r="E544" s="3" t="inlineStr">
        <is>
          <t>3T 2025</t>
        </is>
      </c>
      <c r="F544" s="3" t="n">
        <v>0.2066</v>
      </c>
      <c r="G544" s="3" t="n"/>
      <c r="H544" s="3" t="n">
        <v>0.005</v>
      </c>
      <c r="I544" s="3">
        <f>IF(G544="","PENDENTE",IF(AND(ISNUMBER(F544),ISNUMBER(G544)),IF(ABS(G544-F544)&lt;=H544,"IGUAL","DIVERGENTE"),IF(TRIM(G544&amp;"")=TRIM(F544&amp;""),"IGUAL","DIVERGENTE")))</f>
        <v/>
      </c>
      <c r="J544" s="3" t="n"/>
    </row>
    <row r="545">
      <c r="A545" s="4" t="n">
        <v>39</v>
      </c>
      <c r="B545" s="4" t="inlineStr">
        <is>
          <t>IVV (%) POR TRIMESTRE</t>
        </is>
      </c>
      <c r="C545" s="4" t="inlineStr">
        <is>
          <t>Gráfico 1 / plot 1</t>
        </is>
      </c>
      <c r="D545" s="4" t="inlineStr">
        <is>
          <t>Vertical</t>
        </is>
      </c>
      <c r="E545" s="4" t="inlineStr">
        <is>
          <t>4T 2025</t>
        </is>
      </c>
      <c r="F545" s="4" t="n">
        <v>0.2317</v>
      </c>
      <c r="G545" s="4" t="n"/>
      <c r="H545" s="4" t="n">
        <v>0.005</v>
      </c>
      <c r="I545" s="4">
        <f>IF(G545="","PENDENTE",IF(AND(ISNUMBER(F545),ISNUMBER(G545)),IF(ABS(G545-F545)&lt;=H545,"IGUAL","DIVERGENTE"),IF(TRIM(G545&amp;"")=TRIM(F545&amp;""),"IGUAL","DIVERGENTE")))</f>
        <v/>
      </c>
      <c r="J545" s="4" t="n"/>
    </row>
    <row r="546">
      <c r="A546" s="3" t="n">
        <v>43</v>
      </c>
      <c r="B546" s="3" t="inlineStr">
        <is>
          <t>EVOLUÇÃO DOS PREÇOS R$/M² VERTICAL</t>
        </is>
      </c>
      <c r="C546" s="3" t="inlineStr">
        <is>
          <t>Gráfico 1 / plot 1</t>
        </is>
      </c>
      <c r="D546" s="3" t="inlineStr">
        <is>
          <t>Série 1</t>
        </is>
      </c>
      <c r="E546" s="3" t="inlineStr">
        <is>
          <t>4T2022</t>
        </is>
      </c>
      <c r="F546" s="3" t="n">
        <v>5358</v>
      </c>
      <c r="G546" s="3" t="n"/>
      <c r="H546" s="3" t="n">
        <v>0</v>
      </c>
      <c r="I546" s="3">
        <f>IF(G546="","PENDENTE",IF(AND(ISNUMBER(F546),ISNUMBER(G546)),IF(ABS(G546-F546)&lt;=H546,"IGUAL","DIVERGENTE"),IF(TRIM(G546&amp;"")=TRIM(F546&amp;""),"IGUAL","DIVERGENTE")))</f>
        <v/>
      </c>
      <c r="J546" s="3" t="n"/>
    </row>
    <row r="547">
      <c r="A547" s="4" t="n">
        <v>43</v>
      </c>
      <c r="B547" s="4" t="inlineStr">
        <is>
          <t>EVOLUÇÃO DOS PREÇOS R$/M² VERTICAL</t>
        </is>
      </c>
      <c r="C547" s="4" t="inlineStr">
        <is>
          <t>Gráfico 1 / plot 1</t>
        </is>
      </c>
      <c r="D547" s="4" t="inlineStr">
        <is>
          <t>Série 1</t>
        </is>
      </c>
      <c r="E547" s="4" t="inlineStr">
        <is>
          <t>1T2023</t>
        </is>
      </c>
      <c r="F547" s="4" t="n">
        <v>5611</v>
      </c>
      <c r="G547" s="4" t="n"/>
      <c r="H547" s="4" t="n">
        <v>0</v>
      </c>
      <c r="I547" s="4">
        <f>IF(G547="","PENDENTE",IF(AND(ISNUMBER(F547),ISNUMBER(G547)),IF(ABS(G547-F547)&lt;=H547,"IGUAL","DIVERGENTE"),IF(TRIM(G547&amp;"")=TRIM(F547&amp;""),"IGUAL","DIVERGENTE")))</f>
        <v/>
      </c>
      <c r="J547" s="4" t="n"/>
    </row>
    <row r="548">
      <c r="A548" s="3" t="n">
        <v>43</v>
      </c>
      <c r="B548" s="3" t="inlineStr">
        <is>
          <t>EVOLUÇÃO DOS PREÇOS R$/M² VERTICAL</t>
        </is>
      </c>
      <c r="C548" s="3" t="inlineStr">
        <is>
          <t>Gráfico 1 / plot 1</t>
        </is>
      </c>
      <c r="D548" s="3" t="inlineStr">
        <is>
          <t>Série 1</t>
        </is>
      </c>
      <c r="E548" s="3" t="inlineStr">
        <is>
          <t>2T2023</t>
        </is>
      </c>
      <c r="F548" s="3" t="n">
        <v>5655</v>
      </c>
      <c r="G548" s="3" t="n"/>
      <c r="H548" s="3" t="n">
        <v>0</v>
      </c>
      <c r="I548" s="3">
        <f>IF(G548="","PENDENTE",IF(AND(ISNUMBER(F548),ISNUMBER(G548)),IF(ABS(G548-F548)&lt;=H548,"IGUAL","DIVERGENTE"),IF(TRIM(G548&amp;"")=TRIM(F548&amp;""),"IGUAL","DIVERGENTE")))</f>
        <v/>
      </c>
      <c r="J548" s="3" t="n"/>
    </row>
    <row r="549">
      <c r="A549" s="4" t="n">
        <v>43</v>
      </c>
      <c r="B549" s="4" t="inlineStr">
        <is>
          <t>EVOLUÇÃO DOS PREÇOS R$/M² VERTICAL</t>
        </is>
      </c>
      <c r="C549" s="4" t="inlineStr">
        <is>
          <t>Gráfico 1 / plot 1</t>
        </is>
      </c>
      <c r="D549" s="4" t="inlineStr">
        <is>
          <t>Série 1</t>
        </is>
      </c>
      <c r="E549" s="4" t="inlineStr">
        <is>
          <t>3T2023</t>
        </is>
      </c>
      <c r="F549" s="4" t="n">
        <v>5672</v>
      </c>
      <c r="G549" s="4" t="n"/>
      <c r="H549" s="4" t="n">
        <v>0</v>
      </c>
      <c r="I549" s="4">
        <f>IF(G549="","PENDENTE",IF(AND(ISNUMBER(F549),ISNUMBER(G549)),IF(ABS(G549-F549)&lt;=H549,"IGUAL","DIVERGENTE"),IF(TRIM(G549&amp;"")=TRIM(F549&amp;""),"IGUAL","DIVERGENTE")))</f>
        <v/>
      </c>
      <c r="J549" s="4" t="n"/>
    </row>
    <row r="550">
      <c r="A550" s="3" t="n">
        <v>43</v>
      </c>
      <c r="B550" s="3" t="inlineStr">
        <is>
          <t>EVOLUÇÃO DOS PREÇOS R$/M² VERTICAL</t>
        </is>
      </c>
      <c r="C550" s="3" t="inlineStr">
        <is>
          <t>Gráfico 1 / plot 1</t>
        </is>
      </c>
      <c r="D550" s="3" t="inlineStr">
        <is>
          <t>Série 1</t>
        </is>
      </c>
      <c r="E550" s="3" t="inlineStr">
        <is>
          <t>4T2023</t>
        </is>
      </c>
      <c r="F550" s="3" t="n">
        <v>5660</v>
      </c>
      <c r="G550" s="3" t="n"/>
      <c r="H550" s="3" t="n">
        <v>0</v>
      </c>
      <c r="I550" s="3">
        <f>IF(G550="","PENDENTE",IF(AND(ISNUMBER(F550),ISNUMBER(G550)),IF(ABS(G550-F550)&lt;=H550,"IGUAL","DIVERGENTE"),IF(TRIM(G550&amp;"")=TRIM(F550&amp;""),"IGUAL","DIVERGENTE")))</f>
        <v/>
      </c>
      <c r="J550" s="3" t="n"/>
    </row>
    <row r="551">
      <c r="A551" s="4" t="n">
        <v>43</v>
      </c>
      <c r="B551" s="4" t="inlineStr">
        <is>
          <t>EVOLUÇÃO DOS PREÇOS R$/M² VERTICAL</t>
        </is>
      </c>
      <c r="C551" s="4" t="inlineStr">
        <is>
          <t>Gráfico 1 / plot 1</t>
        </is>
      </c>
      <c r="D551" s="4" t="inlineStr">
        <is>
          <t>Série 1</t>
        </is>
      </c>
      <c r="E551" s="4" t="inlineStr">
        <is>
          <t>1T2024</t>
        </is>
      </c>
      <c r="F551" s="4" t="n">
        <v>5791</v>
      </c>
      <c r="G551" s="4" t="n"/>
      <c r="H551" s="4" t="n">
        <v>0</v>
      </c>
      <c r="I551" s="4">
        <f>IF(G551="","PENDENTE",IF(AND(ISNUMBER(F551),ISNUMBER(G551)),IF(ABS(G551-F551)&lt;=H551,"IGUAL","DIVERGENTE"),IF(TRIM(G551&amp;"")=TRIM(F551&amp;""),"IGUAL","DIVERGENTE")))</f>
        <v/>
      </c>
      <c r="J551" s="4" t="n"/>
    </row>
    <row r="552">
      <c r="A552" s="3" t="n">
        <v>43</v>
      </c>
      <c r="B552" s="3" t="inlineStr">
        <is>
          <t>EVOLUÇÃO DOS PREÇOS R$/M² VERTICAL</t>
        </is>
      </c>
      <c r="C552" s="3" t="inlineStr">
        <is>
          <t>Gráfico 1 / plot 1</t>
        </is>
      </c>
      <c r="D552" s="3" t="inlineStr">
        <is>
          <t>Série 1</t>
        </is>
      </c>
      <c r="E552" s="3" t="inlineStr">
        <is>
          <t>2T2024</t>
        </is>
      </c>
      <c r="F552" s="3" t="n">
        <v>5962</v>
      </c>
      <c r="G552" s="3" t="n"/>
      <c r="H552" s="3" t="n">
        <v>0</v>
      </c>
      <c r="I552" s="3">
        <f>IF(G552="","PENDENTE",IF(AND(ISNUMBER(F552),ISNUMBER(G552)),IF(ABS(G552-F552)&lt;=H552,"IGUAL","DIVERGENTE"),IF(TRIM(G552&amp;"")=TRIM(F552&amp;""),"IGUAL","DIVERGENTE")))</f>
        <v/>
      </c>
      <c r="J552" s="3" t="n"/>
    </row>
    <row r="553">
      <c r="A553" s="4" t="n">
        <v>43</v>
      </c>
      <c r="B553" s="4" t="inlineStr">
        <is>
          <t>EVOLUÇÃO DOS PREÇOS R$/M² VERTICAL</t>
        </is>
      </c>
      <c r="C553" s="4" t="inlineStr">
        <is>
          <t>Gráfico 1 / plot 1</t>
        </is>
      </c>
      <c r="D553" s="4" t="inlineStr">
        <is>
          <t>Série 1</t>
        </is>
      </c>
      <c r="E553" s="4" t="inlineStr">
        <is>
          <t>3T2024</t>
        </is>
      </c>
      <c r="F553" s="4" t="n">
        <v>6054</v>
      </c>
      <c r="G553" s="4" t="n"/>
      <c r="H553" s="4" t="n">
        <v>0</v>
      </c>
      <c r="I553" s="4">
        <f>IF(G553="","PENDENTE",IF(AND(ISNUMBER(F553),ISNUMBER(G553)),IF(ABS(G553-F553)&lt;=H553,"IGUAL","DIVERGENTE"),IF(TRIM(G553&amp;"")=TRIM(F553&amp;""),"IGUAL","DIVERGENTE")))</f>
        <v/>
      </c>
      <c r="J553" s="4" t="n"/>
    </row>
    <row r="554">
      <c r="A554" s="3" t="n">
        <v>43</v>
      </c>
      <c r="B554" s="3" t="inlineStr">
        <is>
          <t>EVOLUÇÃO DOS PREÇOS R$/M² VERTICAL</t>
        </is>
      </c>
      <c r="C554" s="3" t="inlineStr">
        <is>
          <t>Gráfico 1 / plot 1</t>
        </is>
      </c>
      <c r="D554" s="3" t="inlineStr">
        <is>
          <t>Série 1</t>
        </is>
      </c>
      <c r="E554" s="3" t="inlineStr">
        <is>
          <t>4T2024</t>
        </is>
      </c>
      <c r="F554" s="3" t="n">
        <v>6194</v>
      </c>
      <c r="G554" s="3" t="n"/>
      <c r="H554" s="3" t="n">
        <v>0</v>
      </c>
      <c r="I554" s="3">
        <f>IF(G554="","PENDENTE",IF(AND(ISNUMBER(F554),ISNUMBER(G554)),IF(ABS(G554-F554)&lt;=H554,"IGUAL","DIVERGENTE"),IF(TRIM(G554&amp;"")=TRIM(F554&amp;""),"IGUAL","DIVERGENTE")))</f>
        <v/>
      </c>
      <c r="J554" s="3" t="n"/>
    </row>
    <row r="555">
      <c r="A555" s="4" t="n">
        <v>43</v>
      </c>
      <c r="B555" s="4" t="inlineStr">
        <is>
          <t>EVOLUÇÃO DOS PREÇOS R$/M² VERTICAL</t>
        </is>
      </c>
      <c r="C555" s="4" t="inlineStr">
        <is>
          <t>Gráfico 1 / plot 1</t>
        </is>
      </c>
      <c r="D555" s="4" t="inlineStr">
        <is>
          <t>Série 1</t>
        </is>
      </c>
      <c r="E555" s="4" t="inlineStr">
        <is>
          <t>1T2025</t>
        </is>
      </c>
      <c r="F555" s="4" t="n">
        <v>6510</v>
      </c>
      <c r="G555" s="4" t="n"/>
      <c r="H555" s="4" t="n">
        <v>0</v>
      </c>
      <c r="I555" s="4">
        <f>IF(G555="","PENDENTE",IF(AND(ISNUMBER(F555),ISNUMBER(G555)),IF(ABS(G555-F555)&lt;=H555,"IGUAL","DIVERGENTE"),IF(TRIM(G555&amp;"")=TRIM(F555&amp;""),"IGUAL","DIVERGENTE")))</f>
        <v/>
      </c>
      <c r="J555" s="4" t="n"/>
    </row>
    <row r="556">
      <c r="A556" s="3" t="n">
        <v>43</v>
      </c>
      <c r="B556" s="3" t="inlineStr">
        <is>
          <t>EVOLUÇÃO DOS PREÇOS R$/M² VERTICAL</t>
        </is>
      </c>
      <c r="C556" s="3" t="inlineStr">
        <is>
          <t>Gráfico 1 / plot 1</t>
        </is>
      </c>
      <c r="D556" s="3" t="inlineStr">
        <is>
          <t>Série 1</t>
        </is>
      </c>
      <c r="E556" s="3" t="inlineStr">
        <is>
          <t>2T2025</t>
        </is>
      </c>
      <c r="F556" s="3" t="n">
        <v>6849</v>
      </c>
      <c r="G556" s="3" t="n"/>
      <c r="H556" s="3" t="n">
        <v>0</v>
      </c>
      <c r="I556" s="3">
        <f>IF(G556="","PENDENTE",IF(AND(ISNUMBER(F556),ISNUMBER(G556)),IF(ABS(G556-F556)&lt;=H556,"IGUAL","DIVERGENTE"),IF(TRIM(G556&amp;"")=TRIM(F556&amp;""),"IGUAL","DIVERGENTE")))</f>
        <v/>
      </c>
      <c r="J556" s="3" t="n"/>
    </row>
    <row r="557">
      <c r="A557" s="4" t="n">
        <v>43</v>
      </c>
      <c r="B557" s="4" t="inlineStr">
        <is>
          <t>EVOLUÇÃO DOS PREÇOS R$/M² VERTICAL</t>
        </is>
      </c>
      <c r="C557" s="4" t="inlineStr">
        <is>
          <t>Gráfico 1 / plot 1</t>
        </is>
      </c>
      <c r="D557" s="4" t="inlineStr">
        <is>
          <t>Série 1</t>
        </is>
      </c>
      <c r="E557" s="4" t="inlineStr">
        <is>
          <t>3T2025</t>
        </is>
      </c>
      <c r="F557" s="4" t="n">
        <v>6900</v>
      </c>
      <c r="G557" s="4" t="n"/>
      <c r="H557" s="4" t="n">
        <v>0</v>
      </c>
      <c r="I557" s="4">
        <f>IF(G557="","PENDENTE",IF(AND(ISNUMBER(F557),ISNUMBER(G557)),IF(ABS(G557-F557)&lt;=H557,"IGUAL","DIVERGENTE"),IF(TRIM(G557&amp;"")=TRIM(F557&amp;""),"IGUAL","DIVERGENTE")))</f>
        <v/>
      </c>
      <c r="J557" s="4" t="n"/>
    </row>
    <row r="558">
      <c r="A558" s="3" t="n">
        <v>43</v>
      </c>
      <c r="B558" s="3" t="inlineStr">
        <is>
          <t>EVOLUÇÃO DOS PREÇOS R$/M² VERTICAL</t>
        </is>
      </c>
      <c r="C558" s="3" t="inlineStr">
        <is>
          <t>Gráfico 1 / plot 1</t>
        </is>
      </c>
      <c r="D558" s="3" t="inlineStr">
        <is>
          <t>Série 1</t>
        </is>
      </c>
      <c r="E558" s="3" t="inlineStr">
        <is>
          <t>4T2025</t>
        </is>
      </c>
      <c r="F558" s="3" t="n">
        <v>6745</v>
      </c>
      <c r="G558" s="3" t="n"/>
      <c r="H558" s="3" t="n">
        <v>0</v>
      </c>
      <c r="I558" s="3">
        <f>IF(G558="","PENDENTE",IF(AND(ISNUMBER(F558),ISNUMBER(G558)),IF(ABS(G558-F558)&lt;=H558,"IGUAL","DIVERGENTE"),IF(TRIM(G558&amp;"")=TRIM(F558&amp;""),"IGUAL","DIVERGENTE")))</f>
        <v/>
      </c>
      <c r="J558" s="3" t="n"/>
    </row>
    <row r="559">
      <c r="A559" s="4" t="n">
        <v>43</v>
      </c>
      <c r="B559" s="4" t="inlineStr">
        <is>
          <t>EVOLUÇÃO DOS PREÇOS R$/M² VERTICAL</t>
        </is>
      </c>
      <c r="C559" s="4" t="inlineStr">
        <is>
          <t>Gráfico 1 / plot 2</t>
        </is>
      </c>
      <c r="D559" s="4" t="inlineStr">
        <is>
          <t>Coluna1</t>
        </is>
      </c>
      <c r="E559" s="4" t="inlineStr">
        <is>
          <t>1</t>
        </is>
      </c>
      <c r="F559" s="4" t="n">
        <v>0</v>
      </c>
      <c r="G559" s="4" t="n"/>
      <c r="H559" s="4" t="n">
        <v>0</v>
      </c>
      <c r="I559" s="4">
        <f>IF(G559="","PENDENTE",IF(AND(ISNUMBER(F559),ISNUMBER(G559)),IF(ABS(G559-F559)&lt;=H559,"IGUAL","DIVERGENTE"),IF(TRIM(G559&amp;"")=TRIM(F559&amp;""),"IGUAL","DIVERGENTE")))</f>
        <v/>
      </c>
      <c r="J559" s="4" t="n"/>
    </row>
    <row r="560">
      <c r="A560" s="3" t="n">
        <v>43</v>
      </c>
      <c r="B560" s="3" t="inlineStr">
        <is>
          <t>EVOLUÇÃO DOS PREÇOS R$/M² VERTICAL</t>
        </is>
      </c>
      <c r="C560" s="3" t="inlineStr">
        <is>
          <t>Gráfico 1 / plot 2</t>
        </is>
      </c>
      <c r="D560" s="3" t="inlineStr">
        <is>
          <t>Coluna1</t>
        </is>
      </c>
      <c r="E560" s="3" t="inlineStr">
        <is>
          <t>2</t>
        </is>
      </c>
      <c r="F560" s="3" t="n">
        <v>0.04721911160880921</v>
      </c>
      <c r="G560" s="3" t="n"/>
      <c r="H560" s="3" t="n">
        <v>0.005</v>
      </c>
      <c r="I560" s="3">
        <f>IF(G560="","PENDENTE",IF(AND(ISNUMBER(F560),ISNUMBER(G560)),IF(ABS(G560-F560)&lt;=H560,"IGUAL","DIVERGENTE"),IF(TRIM(G560&amp;"")=TRIM(F560&amp;""),"IGUAL","DIVERGENTE")))</f>
        <v/>
      </c>
      <c r="J560" s="3" t="n"/>
    </row>
    <row r="561">
      <c r="A561" s="4" t="n">
        <v>43</v>
      </c>
      <c r="B561" s="4" t="inlineStr">
        <is>
          <t>EVOLUÇÃO DOS PREÇOS R$/M² VERTICAL</t>
        </is>
      </c>
      <c r="C561" s="4" t="inlineStr">
        <is>
          <t>Gráfico 1 / plot 2</t>
        </is>
      </c>
      <c r="D561" s="4" t="inlineStr">
        <is>
          <t>Coluna1</t>
        </is>
      </c>
      <c r="E561" s="4" t="inlineStr">
        <is>
          <t>3</t>
        </is>
      </c>
      <c r="F561" s="4" t="n">
        <v>0.007841739440384909</v>
      </c>
      <c r="G561" s="4" t="n"/>
      <c r="H561" s="4" t="n">
        <v>0.005</v>
      </c>
      <c r="I561" s="4">
        <f>IF(G561="","PENDENTE",IF(AND(ISNUMBER(F561),ISNUMBER(G561)),IF(ABS(G561-F561)&lt;=H561,"IGUAL","DIVERGENTE"),IF(TRIM(G561&amp;"")=TRIM(F561&amp;""),"IGUAL","DIVERGENTE")))</f>
        <v/>
      </c>
      <c r="J561" s="4" t="n"/>
    </row>
    <row r="562">
      <c r="A562" s="3" t="n">
        <v>43</v>
      </c>
      <c r="B562" s="3" t="inlineStr">
        <is>
          <t>EVOLUÇÃO DOS PREÇOS R$/M² VERTICAL</t>
        </is>
      </c>
      <c r="C562" s="3" t="inlineStr">
        <is>
          <t>Gráfico 1 / plot 2</t>
        </is>
      </c>
      <c r="D562" s="3" t="inlineStr">
        <is>
          <t>Coluna1</t>
        </is>
      </c>
      <c r="E562" s="3" t="inlineStr">
        <is>
          <t>4</t>
        </is>
      </c>
      <c r="F562" s="3" t="n">
        <v>0.003006189213085708</v>
      </c>
      <c r="G562" s="3" t="n"/>
      <c r="H562" s="3" t="n">
        <v>0.005</v>
      </c>
      <c r="I562" s="3">
        <f>IF(G562="","PENDENTE",IF(AND(ISNUMBER(F562),ISNUMBER(G562)),IF(ABS(G562-F562)&lt;=H562,"IGUAL","DIVERGENTE"),IF(TRIM(G562&amp;"")=TRIM(F562&amp;""),"IGUAL","DIVERGENTE")))</f>
        <v/>
      </c>
      <c r="J562" s="3" t="n"/>
    </row>
    <row r="563">
      <c r="A563" s="4" t="n">
        <v>43</v>
      </c>
      <c r="B563" s="4" t="inlineStr">
        <is>
          <t>EVOLUÇÃO DOS PREÇOS R$/M² VERTICAL</t>
        </is>
      </c>
      <c r="C563" s="4" t="inlineStr">
        <is>
          <t>Gráfico 1 / plot 2</t>
        </is>
      </c>
      <c r="D563" s="4" t="inlineStr">
        <is>
          <t>Coluna1</t>
        </is>
      </c>
      <c r="E563" s="4" t="inlineStr">
        <is>
          <t>5</t>
        </is>
      </c>
      <c r="F563" s="4" t="n">
        <v>-0.002115655853314524</v>
      </c>
      <c r="G563" s="4" t="n"/>
      <c r="H563" s="4" t="n">
        <v>0.005</v>
      </c>
      <c r="I563" s="4">
        <f>IF(G563="","PENDENTE",IF(AND(ISNUMBER(F563),ISNUMBER(G563)),IF(ABS(G563-F563)&lt;=H563,"IGUAL","DIVERGENTE"),IF(TRIM(G563&amp;"")=TRIM(F563&amp;""),"IGUAL","DIVERGENTE")))</f>
        <v/>
      </c>
      <c r="J563" s="4" t="n"/>
    </row>
    <row r="564">
      <c r="A564" s="3" t="n">
        <v>43</v>
      </c>
      <c r="B564" s="3" t="inlineStr">
        <is>
          <t>EVOLUÇÃO DOS PREÇOS R$/M² VERTICAL</t>
        </is>
      </c>
      <c r="C564" s="3" t="inlineStr">
        <is>
          <t>Gráfico 1 / plot 2</t>
        </is>
      </c>
      <c r="D564" s="3" t="inlineStr">
        <is>
          <t>Coluna1</t>
        </is>
      </c>
      <c r="E564" s="3" t="inlineStr">
        <is>
          <t>6</t>
        </is>
      </c>
      <c r="F564" s="3" t="n">
        <v>0.02314487632508833</v>
      </c>
      <c r="G564" s="3" t="n"/>
      <c r="H564" s="3" t="n">
        <v>0.005</v>
      </c>
      <c r="I564" s="3">
        <f>IF(G564="","PENDENTE",IF(AND(ISNUMBER(F564),ISNUMBER(G564)),IF(ABS(G564-F564)&lt;=H564,"IGUAL","DIVERGENTE"),IF(TRIM(G564&amp;"")=TRIM(F564&amp;""),"IGUAL","DIVERGENTE")))</f>
        <v/>
      </c>
      <c r="J564" s="3" t="n"/>
    </row>
    <row r="565">
      <c r="A565" s="4" t="n">
        <v>43</v>
      </c>
      <c r="B565" s="4" t="inlineStr">
        <is>
          <t>EVOLUÇÃO DOS PREÇOS R$/M² VERTICAL</t>
        </is>
      </c>
      <c r="C565" s="4" t="inlineStr">
        <is>
          <t>Gráfico 1 / plot 2</t>
        </is>
      </c>
      <c r="D565" s="4" t="inlineStr">
        <is>
          <t>Coluna1</t>
        </is>
      </c>
      <c r="E565" s="4" t="inlineStr">
        <is>
          <t>7</t>
        </is>
      </c>
      <c r="F565" s="4" t="n">
        <v>0.02952857882921767</v>
      </c>
      <c r="G565" s="4" t="n"/>
      <c r="H565" s="4" t="n">
        <v>0.005</v>
      </c>
      <c r="I565" s="4">
        <f>IF(G565="","PENDENTE",IF(AND(ISNUMBER(F565),ISNUMBER(G565)),IF(ABS(G565-F565)&lt;=H565,"IGUAL","DIVERGENTE"),IF(TRIM(G565&amp;"")=TRIM(F565&amp;""),"IGUAL","DIVERGENTE")))</f>
        <v/>
      </c>
      <c r="J565" s="4" t="n"/>
    </row>
    <row r="566">
      <c r="A566" s="3" t="n">
        <v>43</v>
      </c>
      <c r="B566" s="3" t="inlineStr">
        <is>
          <t>EVOLUÇÃO DOS PREÇOS R$/M² VERTICAL</t>
        </is>
      </c>
      <c r="C566" s="3" t="inlineStr">
        <is>
          <t>Gráfico 1 / plot 2</t>
        </is>
      </c>
      <c r="D566" s="3" t="inlineStr">
        <is>
          <t>Coluna1</t>
        </is>
      </c>
      <c r="E566" s="3" t="inlineStr">
        <is>
          <t>8</t>
        </is>
      </c>
      <c r="F566" s="3" t="n">
        <v>0.0154310634015431</v>
      </c>
      <c r="G566" s="3" t="n"/>
      <c r="H566" s="3" t="n">
        <v>0.005</v>
      </c>
      <c r="I566" s="3">
        <f>IF(G566="","PENDENTE",IF(AND(ISNUMBER(F566),ISNUMBER(G566)),IF(ABS(G566-F566)&lt;=H566,"IGUAL","DIVERGENTE"),IF(TRIM(G566&amp;"")=TRIM(F566&amp;""),"IGUAL","DIVERGENTE")))</f>
        <v/>
      </c>
      <c r="J566" s="3" t="n"/>
    </row>
    <row r="567">
      <c r="A567" s="4" t="n">
        <v>43</v>
      </c>
      <c r="B567" s="4" t="inlineStr">
        <is>
          <t>EVOLUÇÃO DOS PREÇOS R$/M² VERTICAL</t>
        </is>
      </c>
      <c r="C567" s="4" t="inlineStr">
        <is>
          <t>Gráfico 1 / plot 2</t>
        </is>
      </c>
      <c r="D567" s="4" t="inlineStr">
        <is>
          <t>Coluna1</t>
        </is>
      </c>
      <c r="E567" s="4" t="inlineStr">
        <is>
          <t>9</t>
        </is>
      </c>
      <c r="F567" s="4" t="n">
        <v>0.02312520647505778</v>
      </c>
      <c r="G567" s="4" t="n"/>
      <c r="H567" s="4" t="n">
        <v>0.005</v>
      </c>
      <c r="I567" s="4">
        <f>IF(G567="","PENDENTE",IF(AND(ISNUMBER(F567),ISNUMBER(G567)),IF(ABS(G567-F567)&lt;=H567,"IGUAL","DIVERGENTE"),IF(TRIM(G567&amp;"")=TRIM(F567&amp;""),"IGUAL","DIVERGENTE")))</f>
        <v/>
      </c>
      <c r="J567" s="4" t="n"/>
    </row>
    <row r="568">
      <c r="A568" s="3" t="n">
        <v>43</v>
      </c>
      <c r="B568" s="3" t="inlineStr">
        <is>
          <t>EVOLUÇÃO DOS PREÇOS R$/M² VERTICAL</t>
        </is>
      </c>
      <c r="C568" s="3" t="inlineStr">
        <is>
          <t>Gráfico 1 / plot 2</t>
        </is>
      </c>
      <c r="D568" s="3" t="inlineStr">
        <is>
          <t>Coluna1</t>
        </is>
      </c>
      <c r="E568" s="3" t="inlineStr">
        <is>
          <t>10</t>
        </is>
      </c>
      <c r="F568" s="3" t="n">
        <v>0.05101711333548598</v>
      </c>
      <c r="G568" s="3" t="n"/>
      <c r="H568" s="3" t="n">
        <v>0.005</v>
      </c>
      <c r="I568" s="3">
        <f>IF(G568="","PENDENTE",IF(AND(ISNUMBER(F568),ISNUMBER(G568)),IF(ABS(G568-F568)&lt;=H568,"IGUAL","DIVERGENTE"),IF(TRIM(G568&amp;"")=TRIM(F568&amp;""),"IGUAL","DIVERGENTE")))</f>
        <v/>
      </c>
      <c r="J568" s="3" t="n"/>
    </row>
    <row r="569">
      <c r="A569" s="4" t="n">
        <v>43</v>
      </c>
      <c r="B569" s="4" t="inlineStr">
        <is>
          <t>EVOLUÇÃO DOS PREÇOS R$/M² VERTICAL</t>
        </is>
      </c>
      <c r="C569" s="4" t="inlineStr">
        <is>
          <t>Gráfico 1 / plot 2</t>
        </is>
      </c>
      <c r="D569" s="4" t="inlineStr">
        <is>
          <t>Coluna1</t>
        </is>
      </c>
      <c r="E569" s="4" t="inlineStr">
        <is>
          <t>11</t>
        </is>
      </c>
      <c r="F569" s="4" t="n">
        <v>0.05207373271889404</v>
      </c>
      <c r="G569" s="4" t="n"/>
      <c r="H569" s="4" t="n">
        <v>0.005</v>
      </c>
      <c r="I569" s="4">
        <f>IF(G569="","PENDENTE",IF(AND(ISNUMBER(F569),ISNUMBER(G569)),IF(ABS(G569-F569)&lt;=H569,"IGUAL","DIVERGENTE"),IF(TRIM(G569&amp;"")=TRIM(F569&amp;""),"IGUAL","DIVERGENTE")))</f>
        <v/>
      </c>
      <c r="J569" s="4" t="n"/>
    </row>
    <row r="570">
      <c r="A570" s="3" t="n">
        <v>43</v>
      </c>
      <c r="B570" s="3" t="inlineStr">
        <is>
          <t>EVOLUÇÃO DOS PREÇOS R$/M² VERTICAL</t>
        </is>
      </c>
      <c r="C570" s="3" t="inlineStr">
        <is>
          <t>Gráfico 1 / plot 2</t>
        </is>
      </c>
      <c r="D570" s="3" t="inlineStr">
        <is>
          <t>Coluna1</t>
        </is>
      </c>
      <c r="E570" s="3" t="inlineStr">
        <is>
          <t>12</t>
        </is>
      </c>
      <c r="F570" s="3" t="n">
        <v>0.007446342531756356</v>
      </c>
      <c r="G570" s="3" t="n"/>
      <c r="H570" s="3" t="n">
        <v>0.005</v>
      </c>
      <c r="I570" s="3">
        <f>IF(G570="","PENDENTE",IF(AND(ISNUMBER(F570),ISNUMBER(G570)),IF(ABS(G570-F570)&lt;=H570,"IGUAL","DIVERGENTE"),IF(TRIM(G570&amp;"")=TRIM(F570&amp;""),"IGUAL","DIVERGENTE")))</f>
        <v/>
      </c>
      <c r="J570" s="3" t="n"/>
    </row>
    <row r="571">
      <c r="A571" s="4" t="n">
        <v>43</v>
      </c>
      <c r="B571" s="4" t="inlineStr">
        <is>
          <t>EVOLUÇÃO DOS PREÇOS R$/M² VERTICAL</t>
        </is>
      </c>
      <c r="C571" s="4" t="inlineStr">
        <is>
          <t>Gráfico 1 / plot 2</t>
        </is>
      </c>
      <c r="D571" s="4" t="inlineStr">
        <is>
          <t>Coluna1</t>
        </is>
      </c>
      <c r="E571" s="4" t="inlineStr">
        <is>
          <t>13</t>
        </is>
      </c>
      <c r="F571" s="4" t="n">
        <v>-0.02246376811594208</v>
      </c>
      <c r="G571" s="4" t="n"/>
      <c r="H571" s="4" t="n">
        <v>0.005</v>
      </c>
      <c r="I571" s="4">
        <f>IF(G571="","PENDENTE",IF(AND(ISNUMBER(F571),ISNUMBER(G571)),IF(ABS(G571-F571)&lt;=H571,"IGUAL","DIVERGENTE"),IF(TRIM(G571&amp;"")=TRIM(F571&amp;""),"IGUAL","DIVERGENTE")))</f>
        <v/>
      </c>
      <c r="J571" s="4" t="n"/>
    </row>
    <row r="572">
      <c r="A572" s="3" t="n">
        <v>44</v>
      </c>
      <c r="B572" s="3" t="inlineStr">
        <is>
          <t>1 DORMITÓRIO</t>
        </is>
      </c>
      <c r="C572" s="3" t="inlineStr">
        <is>
          <t>Gráfico 1 / plot 1</t>
        </is>
      </c>
      <c r="D572" s="3" t="inlineStr">
        <is>
          <t>Série 1</t>
        </is>
      </c>
      <c r="E572" s="3" t="inlineStr">
        <is>
          <t>4T2022</t>
        </is>
      </c>
      <c r="F572" s="3" t="n">
        <v>6708</v>
      </c>
      <c r="G572" s="3" t="n"/>
      <c r="H572" s="3" t="n">
        <v>0</v>
      </c>
      <c r="I572" s="3">
        <f>IF(G572="","PENDENTE",IF(AND(ISNUMBER(F572),ISNUMBER(G572)),IF(ABS(G572-F572)&lt;=H572,"IGUAL","DIVERGENTE"),IF(TRIM(G572&amp;"")=TRIM(F572&amp;""),"IGUAL","DIVERGENTE")))</f>
        <v/>
      </c>
      <c r="J572" s="3" t="n"/>
    </row>
    <row r="573">
      <c r="A573" s="4" t="n">
        <v>44</v>
      </c>
      <c r="B573" s="4" t="inlineStr">
        <is>
          <t>1 DORMITÓRIO</t>
        </is>
      </c>
      <c r="C573" s="4" t="inlineStr">
        <is>
          <t>Gráfico 1 / plot 1</t>
        </is>
      </c>
      <c r="D573" s="4" t="inlineStr">
        <is>
          <t>Série 1</t>
        </is>
      </c>
      <c r="E573" s="4" t="inlineStr">
        <is>
          <t>1T2023</t>
        </is>
      </c>
      <c r="F573" s="4" t="n">
        <v>6928</v>
      </c>
      <c r="G573" s="4" t="n"/>
      <c r="H573" s="4" t="n">
        <v>0</v>
      </c>
      <c r="I573" s="4">
        <f>IF(G573="","PENDENTE",IF(AND(ISNUMBER(F573),ISNUMBER(G573)),IF(ABS(G573-F573)&lt;=H573,"IGUAL","DIVERGENTE"),IF(TRIM(G573&amp;"")=TRIM(F573&amp;""),"IGUAL","DIVERGENTE")))</f>
        <v/>
      </c>
      <c r="J573" s="4" t="n"/>
    </row>
    <row r="574">
      <c r="A574" s="3" t="n">
        <v>44</v>
      </c>
      <c r="B574" s="3" t="inlineStr">
        <is>
          <t>1 DORMITÓRIO</t>
        </is>
      </c>
      <c r="C574" s="3" t="inlineStr">
        <is>
          <t>Gráfico 1 / plot 1</t>
        </is>
      </c>
      <c r="D574" s="3" t="inlineStr">
        <is>
          <t>Série 1</t>
        </is>
      </c>
      <c r="E574" s="3" t="inlineStr">
        <is>
          <t>2T2023</t>
        </is>
      </c>
      <c r="F574" s="3" t="n">
        <v>7562</v>
      </c>
      <c r="G574" s="3" t="n"/>
      <c r="H574" s="3" t="n">
        <v>0</v>
      </c>
      <c r="I574" s="3">
        <f>IF(G574="","PENDENTE",IF(AND(ISNUMBER(F574),ISNUMBER(G574)),IF(ABS(G574-F574)&lt;=H574,"IGUAL","DIVERGENTE"),IF(TRIM(G574&amp;"")=TRIM(F574&amp;""),"IGUAL","DIVERGENTE")))</f>
        <v/>
      </c>
      <c r="J574" s="3" t="n"/>
    </row>
    <row r="575">
      <c r="A575" s="4" t="n">
        <v>44</v>
      </c>
      <c r="B575" s="4" t="inlineStr">
        <is>
          <t>1 DORMITÓRIO</t>
        </is>
      </c>
      <c r="C575" s="4" t="inlineStr">
        <is>
          <t>Gráfico 1 / plot 1</t>
        </is>
      </c>
      <c r="D575" s="4" t="inlineStr">
        <is>
          <t>Série 1</t>
        </is>
      </c>
      <c r="E575" s="4" t="inlineStr">
        <is>
          <t>3T2023</t>
        </is>
      </c>
      <c r="F575" s="4" t="n">
        <v>7713</v>
      </c>
      <c r="G575" s="4" t="n"/>
      <c r="H575" s="4" t="n">
        <v>0</v>
      </c>
      <c r="I575" s="4">
        <f>IF(G575="","PENDENTE",IF(AND(ISNUMBER(F575),ISNUMBER(G575)),IF(ABS(G575-F575)&lt;=H575,"IGUAL","DIVERGENTE"),IF(TRIM(G575&amp;"")=TRIM(F575&amp;""),"IGUAL","DIVERGENTE")))</f>
        <v/>
      </c>
      <c r="J575" s="4" t="n"/>
    </row>
    <row r="576">
      <c r="A576" s="3" t="n">
        <v>44</v>
      </c>
      <c r="B576" s="3" t="inlineStr">
        <is>
          <t>1 DORMITÓRIO</t>
        </is>
      </c>
      <c r="C576" s="3" t="inlineStr">
        <is>
          <t>Gráfico 1 / plot 1</t>
        </is>
      </c>
      <c r="D576" s="3" t="inlineStr">
        <is>
          <t>Série 1</t>
        </is>
      </c>
      <c r="E576" s="3" t="inlineStr">
        <is>
          <t>4T2023</t>
        </is>
      </c>
      <c r="F576" s="3" t="n">
        <v>7534</v>
      </c>
      <c r="G576" s="3" t="n"/>
      <c r="H576" s="3" t="n">
        <v>0</v>
      </c>
      <c r="I576" s="3">
        <f>IF(G576="","PENDENTE",IF(AND(ISNUMBER(F576),ISNUMBER(G576)),IF(ABS(G576-F576)&lt;=H576,"IGUAL","DIVERGENTE"),IF(TRIM(G576&amp;"")=TRIM(F576&amp;""),"IGUAL","DIVERGENTE")))</f>
        <v/>
      </c>
      <c r="J576" s="3" t="n"/>
    </row>
    <row r="577">
      <c r="A577" s="4" t="n">
        <v>44</v>
      </c>
      <c r="B577" s="4" t="inlineStr">
        <is>
          <t>1 DORMITÓRIO</t>
        </is>
      </c>
      <c r="C577" s="4" t="inlineStr">
        <is>
          <t>Gráfico 1 / plot 1</t>
        </is>
      </c>
      <c r="D577" s="4" t="inlineStr">
        <is>
          <t>Série 1</t>
        </is>
      </c>
      <c r="E577" s="4" t="inlineStr">
        <is>
          <t>1T2024</t>
        </is>
      </c>
      <c r="F577" s="4" t="n">
        <v>7482</v>
      </c>
      <c r="G577" s="4" t="n"/>
      <c r="H577" s="4" t="n">
        <v>0</v>
      </c>
      <c r="I577" s="4">
        <f>IF(G577="","PENDENTE",IF(AND(ISNUMBER(F577),ISNUMBER(G577)),IF(ABS(G577-F577)&lt;=H577,"IGUAL","DIVERGENTE"),IF(TRIM(G577&amp;"")=TRIM(F577&amp;""),"IGUAL","DIVERGENTE")))</f>
        <v/>
      </c>
      <c r="J577" s="4" t="n"/>
    </row>
    <row r="578">
      <c r="A578" s="3" t="n">
        <v>44</v>
      </c>
      <c r="B578" s="3" t="inlineStr">
        <is>
          <t>1 DORMITÓRIO</t>
        </is>
      </c>
      <c r="C578" s="3" t="inlineStr">
        <is>
          <t>Gráfico 1 / plot 1</t>
        </is>
      </c>
      <c r="D578" s="3" t="inlineStr">
        <is>
          <t>Série 1</t>
        </is>
      </c>
      <c r="E578" s="3" t="inlineStr">
        <is>
          <t>2T2024</t>
        </is>
      </c>
      <c r="F578" s="3" t="n">
        <v>7544</v>
      </c>
      <c r="G578" s="3" t="n"/>
      <c r="H578" s="3" t="n">
        <v>0</v>
      </c>
      <c r="I578" s="3">
        <f>IF(G578="","PENDENTE",IF(AND(ISNUMBER(F578),ISNUMBER(G578)),IF(ABS(G578-F578)&lt;=H578,"IGUAL","DIVERGENTE"),IF(TRIM(G578&amp;"")=TRIM(F578&amp;""),"IGUAL","DIVERGENTE")))</f>
        <v/>
      </c>
      <c r="J578" s="3" t="n"/>
    </row>
    <row r="579">
      <c r="A579" s="4" t="n">
        <v>44</v>
      </c>
      <c r="B579" s="4" t="inlineStr">
        <is>
          <t>1 DORMITÓRIO</t>
        </is>
      </c>
      <c r="C579" s="4" t="inlineStr">
        <is>
          <t>Gráfico 1 / plot 1</t>
        </is>
      </c>
      <c r="D579" s="4" t="inlineStr">
        <is>
          <t>Série 1</t>
        </is>
      </c>
      <c r="E579" s="4" t="inlineStr">
        <is>
          <t>3T2024</t>
        </is>
      </c>
      <c r="F579" s="4" t="n">
        <v>8372</v>
      </c>
      <c r="G579" s="4" t="n"/>
      <c r="H579" s="4" t="n">
        <v>0</v>
      </c>
      <c r="I579" s="4">
        <f>IF(G579="","PENDENTE",IF(AND(ISNUMBER(F579),ISNUMBER(G579)),IF(ABS(G579-F579)&lt;=H579,"IGUAL","DIVERGENTE"),IF(TRIM(G579&amp;"")=TRIM(F579&amp;""),"IGUAL","DIVERGENTE")))</f>
        <v/>
      </c>
      <c r="J579" s="4" t="n"/>
    </row>
    <row r="580">
      <c r="A580" s="3" t="n">
        <v>44</v>
      </c>
      <c r="B580" s="3" t="inlineStr">
        <is>
          <t>1 DORMITÓRIO</t>
        </is>
      </c>
      <c r="C580" s="3" t="inlineStr">
        <is>
          <t>Gráfico 1 / plot 1</t>
        </is>
      </c>
      <c r="D580" s="3" t="inlineStr">
        <is>
          <t>Série 1</t>
        </is>
      </c>
      <c r="E580" s="3" t="inlineStr">
        <is>
          <t>4T2024</t>
        </is>
      </c>
      <c r="F580" s="3" t="n">
        <v>8411</v>
      </c>
      <c r="G580" s="3" t="n"/>
      <c r="H580" s="3" t="n">
        <v>0</v>
      </c>
      <c r="I580" s="3">
        <f>IF(G580="","PENDENTE",IF(AND(ISNUMBER(F580),ISNUMBER(G580)),IF(ABS(G580-F580)&lt;=H580,"IGUAL","DIVERGENTE"),IF(TRIM(G580&amp;"")=TRIM(F580&amp;""),"IGUAL","DIVERGENTE")))</f>
        <v/>
      </c>
      <c r="J580" s="3" t="n"/>
    </row>
    <row r="581">
      <c r="A581" s="4" t="n">
        <v>44</v>
      </c>
      <c r="B581" s="4" t="inlineStr">
        <is>
          <t>1 DORMITÓRIO</t>
        </is>
      </c>
      <c r="C581" s="4" t="inlineStr">
        <is>
          <t>Gráfico 1 / plot 1</t>
        </is>
      </c>
      <c r="D581" s="4" t="inlineStr">
        <is>
          <t>Série 1</t>
        </is>
      </c>
      <c r="E581" s="4" t="inlineStr">
        <is>
          <t>1T2025</t>
        </is>
      </c>
      <c r="F581" s="4" t="n">
        <v>9568</v>
      </c>
      <c r="G581" s="4" t="n"/>
      <c r="H581" s="4" t="n">
        <v>0</v>
      </c>
      <c r="I581" s="4">
        <f>IF(G581="","PENDENTE",IF(AND(ISNUMBER(F581),ISNUMBER(G581)),IF(ABS(G581-F581)&lt;=H581,"IGUAL","DIVERGENTE"),IF(TRIM(G581&amp;"")=TRIM(F581&amp;""),"IGUAL","DIVERGENTE")))</f>
        <v/>
      </c>
      <c r="J581" s="4" t="n"/>
    </row>
    <row r="582">
      <c r="A582" s="3" t="n">
        <v>44</v>
      </c>
      <c r="B582" s="3" t="inlineStr">
        <is>
          <t>1 DORMITÓRIO</t>
        </is>
      </c>
      <c r="C582" s="3" t="inlineStr">
        <is>
          <t>Gráfico 1 / plot 1</t>
        </is>
      </c>
      <c r="D582" s="3" t="inlineStr">
        <is>
          <t>Série 1</t>
        </is>
      </c>
      <c r="E582" s="3" t="inlineStr">
        <is>
          <t>2T2025</t>
        </is>
      </c>
      <c r="F582" s="3" t="n">
        <v>9684</v>
      </c>
      <c r="G582" s="3" t="n"/>
      <c r="H582" s="3" t="n">
        <v>0</v>
      </c>
      <c r="I582" s="3">
        <f>IF(G582="","PENDENTE",IF(AND(ISNUMBER(F582),ISNUMBER(G582)),IF(ABS(G582-F582)&lt;=H582,"IGUAL","DIVERGENTE"),IF(TRIM(G582&amp;"")=TRIM(F582&amp;""),"IGUAL","DIVERGENTE")))</f>
        <v/>
      </c>
      <c r="J582" s="3" t="n"/>
    </row>
    <row r="583">
      <c r="A583" s="4" t="n">
        <v>44</v>
      </c>
      <c r="B583" s="4" t="inlineStr">
        <is>
          <t>1 DORMITÓRIO</t>
        </is>
      </c>
      <c r="C583" s="4" t="inlineStr">
        <is>
          <t>Gráfico 1 / plot 1</t>
        </is>
      </c>
      <c r="D583" s="4" t="inlineStr">
        <is>
          <t>Série 1</t>
        </is>
      </c>
      <c r="E583" s="4" t="inlineStr">
        <is>
          <t>3T2025</t>
        </is>
      </c>
      <c r="F583" s="4" t="n">
        <v>9260</v>
      </c>
      <c r="G583" s="4" t="n"/>
      <c r="H583" s="4" t="n">
        <v>0</v>
      </c>
      <c r="I583" s="4">
        <f>IF(G583="","PENDENTE",IF(AND(ISNUMBER(F583),ISNUMBER(G583)),IF(ABS(G583-F583)&lt;=H583,"IGUAL","DIVERGENTE"),IF(TRIM(G583&amp;"")=TRIM(F583&amp;""),"IGUAL","DIVERGENTE")))</f>
        <v/>
      </c>
      <c r="J583" s="4" t="n"/>
    </row>
    <row r="584">
      <c r="A584" s="3" t="n">
        <v>44</v>
      </c>
      <c r="B584" s="3" t="inlineStr">
        <is>
          <t>1 DORMITÓRIO</t>
        </is>
      </c>
      <c r="C584" s="3" t="inlineStr">
        <is>
          <t>Gráfico 1 / plot 1</t>
        </is>
      </c>
      <c r="D584" s="3" t="inlineStr">
        <is>
          <t>Série 1</t>
        </is>
      </c>
      <c r="E584" s="3" t="inlineStr">
        <is>
          <t>4T2025</t>
        </is>
      </c>
      <c r="F584" s="3" t="n">
        <v>9545</v>
      </c>
      <c r="G584" s="3" t="n"/>
      <c r="H584" s="3" t="n">
        <v>0</v>
      </c>
      <c r="I584" s="3">
        <f>IF(G584="","PENDENTE",IF(AND(ISNUMBER(F584),ISNUMBER(G584)),IF(ABS(G584-F584)&lt;=H584,"IGUAL","DIVERGENTE"),IF(TRIM(G584&amp;"")=TRIM(F584&amp;""),"IGUAL","DIVERGENTE")))</f>
        <v/>
      </c>
      <c r="J584" s="3" t="n"/>
    </row>
    <row r="585">
      <c r="A585" s="4" t="n">
        <v>44</v>
      </c>
      <c r="B585" s="4" t="inlineStr">
        <is>
          <t>1 DORMITÓRIO</t>
        </is>
      </c>
      <c r="C585" s="4" t="inlineStr">
        <is>
          <t>Gráfico 1 / plot 2</t>
        </is>
      </c>
      <c r="D585" s="4" t="inlineStr">
        <is>
          <t>Coluna1</t>
        </is>
      </c>
      <c r="E585" s="4" t="inlineStr">
        <is>
          <t>1</t>
        </is>
      </c>
      <c r="F585" s="4" t="n">
        <v>0</v>
      </c>
      <c r="G585" s="4" t="n"/>
      <c r="H585" s="4" t="n">
        <v>0</v>
      </c>
      <c r="I585" s="4">
        <f>IF(G585="","PENDENTE",IF(AND(ISNUMBER(F585),ISNUMBER(G585)),IF(ABS(G585-F585)&lt;=H585,"IGUAL","DIVERGENTE"),IF(TRIM(G585&amp;"")=TRIM(F585&amp;""),"IGUAL","DIVERGENTE")))</f>
        <v/>
      </c>
      <c r="J585" s="4" t="n"/>
    </row>
    <row r="586">
      <c r="A586" s="3" t="n">
        <v>44</v>
      </c>
      <c r="B586" s="3" t="inlineStr">
        <is>
          <t>1 DORMITÓRIO</t>
        </is>
      </c>
      <c r="C586" s="3" t="inlineStr">
        <is>
          <t>Gráfico 1 / plot 2</t>
        </is>
      </c>
      <c r="D586" s="3" t="inlineStr">
        <is>
          <t>Coluna1</t>
        </is>
      </c>
      <c r="E586" s="3" t="inlineStr">
        <is>
          <t>2</t>
        </is>
      </c>
      <c r="F586" s="3" t="n">
        <v>0.0327966607036374</v>
      </c>
      <c r="G586" s="3" t="n"/>
      <c r="H586" s="3" t="n">
        <v>0.005</v>
      </c>
      <c r="I586" s="3">
        <f>IF(G586="","PENDENTE",IF(AND(ISNUMBER(F586),ISNUMBER(G586)),IF(ABS(G586-F586)&lt;=H586,"IGUAL","DIVERGENTE"),IF(TRIM(G586&amp;"")=TRIM(F586&amp;""),"IGUAL","DIVERGENTE")))</f>
        <v/>
      </c>
      <c r="J586" s="3" t="n"/>
    </row>
    <row r="587">
      <c r="A587" s="4" t="n">
        <v>44</v>
      </c>
      <c r="B587" s="4" t="inlineStr">
        <is>
          <t>1 DORMITÓRIO</t>
        </is>
      </c>
      <c r="C587" s="4" t="inlineStr">
        <is>
          <t>Gráfico 1 / plot 2</t>
        </is>
      </c>
      <c r="D587" s="4" t="inlineStr">
        <is>
          <t>Coluna1</t>
        </is>
      </c>
      <c r="E587" s="4" t="inlineStr">
        <is>
          <t>3</t>
        </is>
      </c>
      <c r="F587" s="4" t="n">
        <v>0.09151270207852202</v>
      </c>
      <c r="G587" s="4" t="n"/>
      <c r="H587" s="4" t="n">
        <v>0.005</v>
      </c>
      <c r="I587" s="4">
        <f>IF(G587="","PENDENTE",IF(AND(ISNUMBER(F587),ISNUMBER(G587)),IF(ABS(G587-F587)&lt;=H587,"IGUAL","DIVERGENTE"),IF(TRIM(G587&amp;"")=TRIM(F587&amp;""),"IGUAL","DIVERGENTE")))</f>
        <v/>
      </c>
      <c r="J587" s="4" t="n"/>
    </row>
    <row r="588">
      <c r="A588" s="3" t="n">
        <v>44</v>
      </c>
      <c r="B588" s="3" t="inlineStr">
        <is>
          <t>1 DORMITÓRIO</t>
        </is>
      </c>
      <c r="C588" s="3" t="inlineStr">
        <is>
          <t>Gráfico 1 / plot 2</t>
        </is>
      </c>
      <c r="D588" s="3" t="inlineStr">
        <is>
          <t>Coluna1</t>
        </is>
      </c>
      <c r="E588" s="3" t="inlineStr">
        <is>
          <t>4</t>
        </is>
      </c>
      <c r="F588" s="3" t="n">
        <v>0.01996826236445393</v>
      </c>
      <c r="G588" s="3" t="n"/>
      <c r="H588" s="3" t="n">
        <v>0.005</v>
      </c>
      <c r="I588" s="3">
        <f>IF(G588="","PENDENTE",IF(AND(ISNUMBER(F588),ISNUMBER(G588)),IF(ABS(G588-F588)&lt;=H588,"IGUAL","DIVERGENTE"),IF(TRIM(G588&amp;"")=TRIM(F588&amp;""),"IGUAL","DIVERGENTE")))</f>
        <v/>
      </c>
      <c r="J588" s="3" t="n"/>
    </row>
    <row r="589">
      <c r="A589" s="4" t="n">
        <v>44</v>
      </c>
      <c r="B589" s="4" t="inlineStr">
        <is>
          <t>1 DORMITÓRIO</t>
        </is>
      </c>
      <c r="C589" s="4" t="inlineStr">
        <is>
          <t>Gráfico 1 / plot 2</t>
        </is>
      </c>
      <c r="D589" s="4" t="inlineStr">
        <is>
          <t>Coluna1</t>
        </is>
      </c>
      <c r="E589" s="4" t="inlineStr">
        <is>
          <t>5</t>
        </is>
      </c>
      <c r="F589" s="4" t="n">
        <v>-0.02320757163230913</v>
      </c>
      <c r="G589" s="4" t="n"/>
      <c r="H589" s="4" t="n">
        <v>0.005</v>
      </c>
      <c r="I589" s="4">
        <f>IF(G589="","PENDENTE",IF(AND(ISNUMBER(F589),ISNUMBER(G589)),IF(ABS(G589-F589)&lt;=H589,"IGUAL","DIVERGENTE"),IF(TRIM(G589&amp;"")=TRIM(F589&amp;""),"IGUAL","DIVERGENTE")))</f>
        <v/>
      </c>
      <c r="J589" s="4" t="n"/>
    </row>
    <row r="590">
      <c r="A590" s="3" t="n">
        <v>44</v>
      </c>
      <c r="B590" s="3" t="inlineStr">
        <is>
          <t>1 DORMITÓRIO</t>
        </is>
      </c>
      <c r="C590" s="3" t="inlineStr">
        <is>
          <t>Gráfico 1 / plot 2</t>
        </is>
      </c>
      <c r="D590" s="3" t="inlineStr">
        <is>
          <t>Coluna1</t>
        </is>
      </c>
      <c r="E590" s="3" t="inlineStr">
        <is>
          <t>6</t>
        </is>
      </c>
      <c r="F590" s="3" t="n">
        <v>-0.006902044066896762</v>
      </c>
      <c r="G590" s="3" t="n"/>
      <c r="H590" s="3" t="n">
        <v>0.005</v>
      </c>
      <c r="I590" s="3">
        <f>IF(G590="","PENDENTE",IF(AND(ISNUMBER(F590),ISNUMBER(G590)),IF(ABS(G590-F590)&lt;=H590,"IGUAL","DIVERGENTE"),IF(TRIM(G590&amp;"")=TRIM(F590&amp;""),"IGUAL","DIVERGENTE")))</f>
        <v/>
      </c>
      <c r="J590" s="3" t="n"/>
    </row>
    <row r="591">
      <c r="A591" s="4" t="n">
        <v>44</v>
      </c>
      <c r="B591" s="4" t="inlineStr">
        <is>
          <t>1 DORMITÓRIO</t>
        </is>
      </c>
      <c r="C591" s="4" t="inlineStr">
        <is>
          <t>Gráfico 1 / plot 2</t>
        </is>
      </c>
      <c r="D591" s="4" t="inlineStr">
        <is>
          <t>Coluna1</t>
        </is>
      </c>
      <c r="E591" s="4" t="inlineStr">
        <is>
          <t>7</t>
        </is>
      </c>
      <c r="F591" s="4" t="n">
        <v>0.008286554397219925</v>
      </c>
      <c r="G591" s="4" t="n"/>
      <c r="H591" s="4" t="n">
        <v>0.005</v>
      </c>
      <c r="I591" s="4">
        <f>IF(G591="","PENDENTE",IF(AND(ISNUMBER(F591),ISNUMBER(G591)),IF(ABS(G591-F591)&lt;=H591,"IGUAL","DIVERGENTE"),IF(TRIM(G591&amp;"")=TRIM(F591&amp;""),"IGUAL","DIVERGENTE")))</f>
        <v/>
      </c>
      <c r="J591" s="4" t="n"/>
    </row>
    <row r="592">
      <c r="A592" s="3" t="n">
        <v>44</v>
      </c>
      <c r="B592" s="3" t="inlineStr">
        <is>
          <t>1 DORMITÓRIO</t>
        </is>
      </c>
      <c r="C592" s="3" t="inlineStr">
        <is>
          <t>Gráfico 1 / plot 2</t>
        </is>
      </c>
      <c r="D592" s="3" t="inlineStr">
        <is>
          <t>Coluna1</t>
        </is>
      </c>
      <c r="E592" s="3" t="inlineStr">
        <is>
          <t>8</t>
        </is>
      </c>
      <c r="F592" s="3" t="n">
        <v>0.1097560975609757</v>
      </c>
      <c r="G592" s="3" t="n"/>
      <c r="H592" s="3" t="n">
        <v>0.005</v>
      </c>
      <c r="I592" s="3">
        <f>IF(G592="","PENDENTE",IF(AND(ISNUMBER(F592),ISNUMBER(G592)),IF(ABS(G592-F592)&lt;=H592,"IGUAL","DIVERGENTE"),IF(TRIM(G592&amp;"")=TRIM(F592&amp;""),"IGUAL","DIVERGENTE")))</f>
        <v/>
      </c>
      <c r="J592" s="3" t="n"/>
    </row>
    <row r="593">
      <c r="A593" s="4" t="n">
        <v>44</v>
      </c>
      <c r="B593" s="4" t="inlineStr">
        <is>
          <t>1 DORMITÓRIO</t>
        </is>
      </c>
      <c r="C593" s="4" t="inlineStr">
        <is>
          <t>Gráfico 1 / plot 2</t>
        </is>
      </c>
      <c r="D593" s="4" t="inlineStr">
        <is>
          <t>Coluna1</t>
        </is>
      </c>
      <c r="E593" s="4" t="inlineStr">
        <is>
          <t>9</t>
        </is>
      </c>
      <c r="F593" s="4" t="n">
        <v>0.004658385093167627</v>
      </c>
      <c r="G593" s="4" t="n"/>
      <c r="H593" s="4" t="n">
        <v>0.005</v>
      </c>
      <c r="I593" s="4">
        <f>IF(G593="","PENDENTE",IF(AND(ISNUMBER(F593),ISNUMBER(G593)),IF(ABS(G593-F593)&lt;=H593,"IGUAL","DIVERGENTE"),IF(TRIM(G593&amp;"")=TRIM(F593&amp;""),"IGUAL","DIVERGENTE")))</f>
        <v/>
      </c>
      <c r="J593" s="4" t="n"/>
    </row>
    <row r="594">
      <c r="A594" s="3" t="n">
        <v>44</v>
      </c>
      <c r="B594" s="3" t="inlineStr">
        <is>
          <t>1 DORMITÓRIO</t>
        </is>
      </c>
      <c r="C594" s="3" t="inlineStr">
        <is>
          <t>Gráfico 1 / plot 2</t>
        </is>
      </c>
      <c r="D594" s="3" t="inlineStr">
        <is>
          <t>Coluna1</t>
        </is>
      </c>
      <c r="E594" s="3" t="inlineStr">
        <is>
          <t>10</t>
        </is>
      </c>
      <c r="F594" s="3" t="n">
        <v>0.1375579598145287</v>
      </c>
      <c r="G594" s="3" t="n"/>
      <c r="H594" s="3" t="n">
        <v>0.005</v>
      </c>
      <c r="I594" s="3">
        <f>IF(G594="","PENDENTE",IF(AND(ISNUMBER(F594),ISNUMBER(G594)),IF(ABS(G594-F594)&lt;=H594,"IGUAL","DIVERGENTE"),IF(TRIM(G594&amp;"")=TRIM(F594&amp;""),"IGUAL","DIVERGENTE")))</f>
        <v/>
      </c>
      <c r="J594" s="3" t="n"/>
    </row>
    <row r="595">
      <c r="A595" s="4" t="n">
        <v>44</v>
      </c>
      <c r="B595" s="4" t="inlineStr">
        <is>
          <t>1 DORMITÓRIO</t>
        </is>
      </c>
      <c r="C595" s="4" t="inlineStr">
        <is>
          <t>Gráfico 1 / plot 2</t>
        </is>
      </c>
      <c r="D595" s="4" t="inlineStr">
        <is>
          <t>Coluna1</t>
        </is>
      </c>
      <c r="E595" s="4" t="inlineStr">
        <is>
          <t>11</t>
        </is>
      </c>
      <c r="F595" s="4" t="n">
        <v>0.0121237458193979</v>
      </c>
      <c r="G595" s="4" t="n"/>
      <c r="H595" s="4" t="n">
        <v>0.005</v>
      </c>
      <c r="I595" s="4">
        <f>IF(G595="","PENDENTE",IF(AND(ISNUMBER(F595),ISNUMBER(G595)),IF(ABS(G595-F595)&lt;=H595,"IGUAL","DIVERGENTE"),IF(TRIM(G595&amp;"")=TRIM(F595&amp;""),"IGUAL","DIVERGENTE")))</f>
        <v/>
      </c>
      <c r="J595" s="4" t="n"/>
    </row>
    <row r="596">
      <c r="A596" s="3" t="n">
        <v>44</v>
      </c>
      <c r="B596" s="3" t="inlineStr">
        <is>
          <t>1 DORMITÓRIO</t>
        </is>
      </c>
      <c r="C596" s="3" t="inlineStr">
        <is>
          <t>Gráfico 1 / plot 2</t>
        </is>
      </c>
      <c r="D596" s="3" t="inlineStr">
        <is>
          <t>Coluna1</t>
        </is>
      </c>
      <c r="E596" s="3" t="inlineStr">
        <is>
          <t>12</t>
        </is>
      </c>
      <c r="F596" s="3" t="n">
        <v>-0.04378356051218502</v>
      </c>
      <c r="G596" s="3" t="n"/>
      <c r="H596" s="3" t="n">
        <v>0.005</v>
      </c>
      <c r="I596" s="3">
        <f>IF(G596="","PENDENTE",IF(AND(ISNUMBER(F596),ISNUMBER(G596)),IF(ABS(G596-F596)&lt;=H596,"IGUAL","DIVERGENTE"),IF(TRIM(G596&amp;"")=TRIM(F596&amp;""),"IGUAL","DIVERGENTE")))</f>
        <v/>
      </c>
      <c r="J596" s="3" t="n"/>
    </row>
    <row r="597">
      <c r="A597" s="4" t="n">
        <v>44</v>
      </c>
      <c r="B597" s="4" t="inlineStr">
        <is>
          <t>1 DORMITÓRIO</t>
        </is>
      </c>
      <c r="C597" s="4" t="inlineStr">
        <is>
          <t>Gráfico 1 / plot 2</t>
        </is>
      </c>
      <c r="D597" s="4" t="inlineStr">
        <is>
          <t>Coluna1</t>
        </is>
      </c>
      <c r="E597" s="4" t="inlineStr">
        <is>
          <t>13</t>
        </is>
      </c>
      <c r="F597" s="4" t="n">
        <v>0.03077753779697634</v>
      </c>
      <c r="G597" s="4" t="n"/>
      <c r="H597" s="4" t="n">
        <v>0.005</v>
      </c>
      <c r="I597" s="4">
        <f>IF(G597="","PENDENTE",IF(AND(ISNUMBER(F597),ISNUMBER(G597)),IF(ABS(G597-F597)&lt;=H597,"IGUAL","DIVERGENTE"),IF(TRIM(G597&amp;"")=TRIM(F597&amp;""),"IGUAL","DIVERGENTE")))</f>
        <v/>
      </c>
      <c r="J597" s="4" t="n"/>
    </row>
    <row r="598">
      <c r="A598" s="3" t="n">
        <v>45</v>
      </c>
      <c r="B598" s="3" t="inlineStr">
        <is>
          <t>2 DORMITÓRIOS</t>
        </is>
      </c>
      <c r="C598" s="3" t="inlineStr">
        <is>
          <t>Gráfico 1 / plot 1</t>
        </is>
      </c>
      <c r="D598" s="3" t="inlineStr">
        <is>
          <t>Série 1</t>
        </is>
      </c>
      <c r="E598" s="3" t="inlineStr">
        <is>
          <t>4T2022</t>
        </is>
      </c>
      <c r="F598" s="3" t="n">
        <v>4711</v>
      </c>
      <c r="G598" s="3" t="n"/>
      <c r="H598" s="3" t="n">
        <v>0</v>
      </c>
      <c r="I598" s="3">
        <f>IF(G598="","PENDENTE",IF(AND(ISNUMBER(F598),ISNUMBER(G598)),IF(ABS(G598-F598)&lt;=H598,"IGUAL","DIVERGENTE"),IF(TRIM(G598&amp;"")=TRIM(F598&amp;""),"IGUAL","DIVERGENTE")))</f>
        <v/>
      </c>
      <c r="J598" s="3" t="n"/>
    </row>
    <row r="599">
      <c r="A599" s="4" t="n">
        <v>45</v>
      </c>
      <c r="B599" s="4" t="inlineStr">
        <is>
          <t>2 DORMITÓRIOS</t>
        </is>
      </c>
      <c r="C599" s="4" t="inlineStr">
        <is>
          <t>Gráfico 1 / plot 1</t>
        </is>
      </c>
      <c r="D599" s="4" t="inlineStr">
        <is>
          <t>Série 1</t>
        </is>
      </c>
      <c r="E599" s="4" t="inlineStr">
        <is>
          <t>1T2023</t>
        </is>
      </c>
      <c r="F599" s="4" t="n">
        <v>4994</v>
      </c>
      <c r="G599" s="4" t="n"/>
      <c r="H599" s="4" t="n">
        <v>0</v>
      </c>
      <c r="I599" s="4">
        <f>IF(G599="","PENDENTE",IF(AND(ISNUMBER(F599),ISNUMBER(G599)),IF(ABS(G599-F599)&lt;=H599,"IGUAL","DIVERGENTE"),IF(TRIM(G599&amp;"")=TRIM(F599&amp;""),"IGUAL","DIVERGENTE")))</f>
        <v/>
      </c>
      <c r="J599" s="4" t="n"/>
    </row>
    <row r="600">
      <c r="A600" s="3" t="n">
        <v>45</v>
      </c>
      <c r="B600" s="3" t="inlineStr">
        <is>
          <t>2 DORMITÓRIOS</t>
        </is>
      </c>
      <c r="C600" s="3" t="inlineStr">
        <is>
          <t>Gráfico 1 / plot 1</t>
        </is>
      </c>
      <c r="D600" s="3" t="inlineStr">
        <is>
          <t>Série 1</t>
        </is>
      </c>
      <c r="E600" s="3" t="inlineStr">
        <is>
          <t>2T2023</t>
        </is>
      </c>
      <c r="F600" s="3" t="n">
        <v>4989</v>
      </c>
      <c r="G600" s="3" t="n"/>
      <c r="H600" s="3" t="n">
        <v>0</v>
      </c>
      <c r="I600" s="3">
        <f>IF(G600="","PENDENTE",IF(AND(ISNUMBER(F600),ISNUMBER(G600)),IF(ABS(G600-F600)&lt;=H600,"IGUAL","DIVERGENTE"),IF(TRIM(G600&amp;"")=TRIM(F600&amp;""),"IGUAL","DIVERGENTE")))</f>
        <v/>
      </c>
      <c r="J600" s="3" t="n"/>
    </row>
    <row r="601">
      <c r="A601" s="4" t="n">
        <v>45</v>
      </c>
      <c r="B601" s="4" t="inlineStr">
        <is>
          <t>2 DORMITÓRIOS</t>
        </is>
      </c>
      <c r="C601" s="4" t="inlineStr">
        <is>
          <t>Gráfico 1 / plot 1</t>
        </is>
      </c>
      <c r="D601" s="4" t="inlineStr">
        <is>
          <t>Série 1</t>
        </is>
      </c>
      <c r="E601" s="4" t="inlineStr">
        <is>
          <t>3T2023</t>
        </is>
      </c>
      <c r="F601" s="4" t="n">
        <v>4982</v>
      </c>
      <c r="G601" s="4" t="n"/>
      <c r="H601" s="4" t="n">
        <v>0</v>
      </c>
      <c r="I601" s="4">
        <f>IF(G601="","PENDENTE",IF(AND(ISNUMBER(F601),ISNUMBER(G601)),IF(ABS(G601-F601)&lt;=H601,"IGUAL","DIVERGENTE"),IF(TRIM(G601&amp;"")=TRIM(F601&amp;""),"IGUAL","DIVERGENTE")))</f>
        <v/>
      </c>
      <c r="J601" s="4" t="n"/>
    </row>
    <row r="602">
      <c r="A602" s="3" t="n">
        <v>45</v>
      </c>
      <c r="B602" s="3" t="inlineStr">
        <is>
          <t>2 DORMITÓRIOS</t>
        </is>
      </c>
      <c r="C602" s="3" t="inlineStr">
        <is>
          <t>Gráfico 1 / plot 1</t>
        </is>
      </c>
      <c r="D602" s="3" t="inlineStr">
        <is>
          <t>Série 1</t>
        </is>
      </c>
      <c r="E602" s="3" t="inlineStr">
        <is>
          <t>4T2023</t>
        </is>
      </c>
      <c r="F602" s="3" t="n">
        <v>5019</v>
      </c>
      <c r="G602" s="3" t="n"/>
      <c r="H602" s="3" t="n">
        <v>0</v>
      </c>
      <c r="I602" s="3">
        <f>IF(G602="","PENDENTE",IF(AND(ISNUMBER(F602),ISNUMBER(G602)),IF(ABS(G602-F602)&lt;=H602,"IGUAL","DIVERGENTE"),IF(TRIM(G602&amp;"")=TRIM(F602&amp;""),"IGUAL","DIVERGENTE")))</f>
        <v/>
      </c>
      <c r="J602" s="3" t="n"/>
    </row>
    <row r="603">
      <c r="A603" s="4" t="n">
        <v>45</v>
      </c>
      <c r="B603" s="4" t="inlineStr">
        <is>
          <t>2 DORMITÓRIOS</t>
        </is>
      </c>
      <c r="C603" s="4" t="inlineStr">
        <is>
          <t>Gráfico 1 / plot 1</t>
        </is>
      </c>
      <c r="D603" s="4" t="inlineStr">
        <is>
          <t>Série 1</t>
        </is>
      </c>
      <c r="E603" s="4" t="inlineStr">
        <is>
          <t>1T2024</t>
        </is>
      </c>
      <c r="F603" s="4" t="n">
        <v>5178</v>
      </c>
      <c r="G603" s="4" t="n"/>
      <c r="H603" s="4" t="n">
        <v>0</v>
      </c>
      <c r="I603" s="4">
        <f>IF(G603="","PENDENTE",IF(AND(ISNUMBER(F603),ISNUMBER(G603)),IF(ABS(G603-F603)&lt;=H603,"IGUAL","DIVERGENTE"),IF(TRIM(G603&amp;"")=TRIM(F603&amp;""),"IGUAL","DIVERGENTE")))</f>
        <v/>
      </c>
      <c r="J603" s="4" t="n"/>
    </row>
    <row r="604">
      <c r="A604" s="3" t="n">
        <v>45</v>
      </c>
      <c r="B604" s="3" t="inlineStr">
        <is>
          <t>2 DORMITÓRIOS</t>
        </is>
      </c>
      <c r="C604" s="3" t="inlineStr">
        <is>
          <t>Gráfico 1 / plot 1</t>
        </is>
      </c>
      <c r="D604" s="3" t="inlineStr">
        <is>
          <t>Série 1</t>
        </is>
      </c>
      <c r="E604" s="3" t="inlineStr">
        <is>
          <t>2T2024</t>
        </is>
      </c>
      <c r="F604" s="3" t="n">
        <v>5262</v>
      </c>
      <c r="G604" s="3" t="n"/>
      <c r="H604" s="3" t="n">
        <v>0</v>
      </c>
      <c r="I604" s="3">
        <f>IF(G604="","PENDENTE",IF(AND(ISNUMBER(F604),ISNUMBER(G604)),IF(ABS(G604-F604)&lt;=H604,"IGUAL","DIVERGENTE"),IF(TRIM(G604&amp;"")=TRIM(F604&amp;""),"IGUAL","DIVERGENTE")))</f>
        <v/>
      </c>
      <c r="J604" s="3" t="n"/>
    </row>
    <row r="605">
      <c r="A605" s="4" t="n">
        <v>45</v>
      </c>
      <c r="B605" s="4" t="inlineStr">
        <is>
          <t>2 DORMITÓRIOS</t>
        </is>
      </c>
      <c r="C605" s="4" t="inlineStr">
        <is>
          <t>Gráfico 1 / plot 1</t>
        </is>
      </c>
      <c r="D605" s="4" t="inlineStr">
        <is>
          <t>Série 1</t>
        </is>
      </c>
      <c r="E605" s="4" t="inlineStr">
        <is>
          <t>3T2024</t>
        </is>
      </c>
      <c r="F605" s="4" t="n">
        <v>5418</v>
      </c>
      <c r="G605" s="4" t="n"/>
      <c r="H605" s="4" t="n">
        <v>0</v>
      </c>
      <c r="I605" s="4">
        <f>IF(G605="","PENDENTE",IF(AND(ISNUMBER(F605),ISNUMBER(G605)),IF(ABS(G605-F605)&lt;=H605,"IGUAL","DIVERGENTE"),IF(TRIM(G605&amp;"")=TRIM(F605&amp;""),"IGUAL","DIVERGENTE")))</f>
        <v/>
      </c>
      <c r="J605" s="4" t="n"/>
    </row>
    <row r="606">
      <c r="A606" s="3" t="n">
        <v>45</v>
      </c>
      <c r="B606" s="3" t="inlineStr">
        <is>
          <t>2 DORMITÓRIOS</t>
        </is>
      </c>
      <c r="C606" s="3" t="inlineStr">
        <is>
          <t>Gráfico 1 / plot 1</t>
        </is>
      </c>
      <c r="D606" s="3" t="inlineStr">
        <is>
          <t>Série 1</t>
        </is>
      </c>
      <c r="E606" s="3" t="inlineStr">
        <is>
          <t>4T2024</t>
        </is>
      </c>
      <c r="F606" s="3" t="n">
        <v>5505</v>
      </c>
      <c r="G606" s="3" t="n"/>
      <c r="H606" s="3" t="n">
        <v>0</v>
      </c>
      <c r="I606" s="3">
        <f>IF(G606="","PENDENTE",IF(AND(ISNUMBER(F606),ISNUMBER(G606)),IF(ABS(G606-F606)&lt;=H606,"IGUAL","DIVERGENTE"),IF(TRIM(G606&amp;"")=TRIM(F606&amp;""),"IGUAL","DIVERGENTE")))</f>
        <v/>
      </c>
      <c r="J606" s="3" t="n"/>
    </row>
    <row r="607">
      <c r="A607" s="4" t="n">
        <v>45</v>
      </c>
      <c r="B607" s="4" t="inlineStr">
        <is>
          <t>2 DORMITÓRIOS</t>
        </is>
      </c>
      <c r="C607" s="4" t="inlineStr">
        <is>
          <t>Gráfico 1 / plot 1</t>
        </is>
      </c>
      <c r="D607" s="4" t="inlineStr">
        <is>
          <t>Série 1</t>
        </is>
      </c>
      <c r="E607" s="4" t="inlineStr">
        <is>
          <t>1T2025</t>
        </is>
      </c>
      <c r="F607" s="4" t="n">
        <v>5806</v>
      </c>
      <c r="G607" s="4" t="n"/>
      <c r="H607" s="4" t="n">
        <v>0</v>
      </c>
      <c r="I607" s="4">
        <f>IF(G607="","PENDENTE",IF(AND(ISNUMBER(F607),ISNUMBER(G607)),IF(ABS(G607-F607)&lt;=H607,"IGUAL","DIVERGENTE"),IF(TRIM(G607&amp;"")=TRIM(F607&amp;""),"IGUAL","DIVERGENTE")))</f>
        <v/>
      </c>
      <c r="J607" s="4" t="n"/>
    </row>
    <row r="608">
      <c r="A608" s="3" t="n">
        <v>45</v>
      </c>
      <c r="B608" s="3" t="inlineStr">
        <is>
          <t>2 DORMITÓRIOS</t>
        </is>
      </c>
      <c r="C608" s="3" t="inlineStr">
        <is>
          <t>Gráfico 1 / plot 1</t>
        </is>
      </c>
      <c r="D608" s="3" t="inlineStr">
        <is>
          <t>Série 1</t>
        </is>
      </c>
      <c r="E608" s="3" t="inlineStr">
        <is>
          <t>2T2025</t>
        </is>
      </c>
      <c r="F608" s="3" t="n">
        <v>6072</v>
      </c>
      <c r="G608" s="3" t="n"/>
      <c r="H608" s="3" t="n">
        <v>0</v>
      </c>
      <c r="I608" s="3">
        <f>IF(G608="","PENDENTE",IF(AND(ISNUMBER(F608),ISNUMBER(G608)),IF(ABS(G608-F608)&lt;=H608,"IGUAL","DIVERGENTE"),IF(TRIM(G608&amp;"")=TRIM(F608&amp;""),"IGUAL","DIVERGENTE")))</f>
        <v/>
      </c>
      <c r="J608" s="3" t="n"/>
    </row>
    <row r="609">
      <c r="A609" s="4" t="n">
        <v>45</v>
      </c>
      <c r="B609" s="4" t="inlineStr">
        <is>
          <t>2 DORMITÓRIOS</t>
        </is>
      </c>
      <c r="C609" s="4" t="inlineStr">
        <is>
          <t>Gráfico 1 / plot 1</t>
        </is>
      </c>
      <c r="D609" s="4" t="inlineStr">
        <is>
          <t>Série 1</t>
        </is>
      </c>
      <c r="E609" s="4" t="inlineStr">
        <is>
          <t>3T2025</t>
        </is>
      </c>
      <c r="F609" s="4" t="n">
        <v>6116</v>
      </c>
      <c r="G609" s="4" t="n"/>
      <c r="H609" s="4" t="n">
        <v>0</v>
      </c>
      <c r="I609" s="4">
        <f>IF(G609="","PENDENTE",IF(AND(ISNUMBER(F609),ISNUMBER(G609)),IF(ABS(G609-F609)&lt;=H609,"IGUAL","DIVERGENTE"),IF(TRIM(G609&amp;"")=TRIM(F609&amp;""),"IGUAL","DIVERGENTE")))</f>
        <v/>
      </c>
      <c r="J609" s="4" t="n"/>
    </row>
    <row r="610">
      <c r="A610" s="3" t="n">
        <v>45</v>
      </c>
      <c r="B610" s="3" t="inlineStr">
        <is>
          <t>2 DORMITÓRIOS</t>
        </is>
      </c>
      <c r="C610" s="3" t="inlineStr">
        <is>
          <t>Gráfico 1 / plot 1</t>
        </is>
      </c>
      <c r="D610" s="3" t="inlineStr">
        <is>
          <t>Série 1</t>
        </is>
      </c>
      <c r="E610" s="3" t="inlineStr">
        <is>
          <t>4T2025</t>
        </is>
      </c>
      <c r="F610" s="3" t="n">
        <v>6001</v>
      </c>
      <c r="G610" s="3" t="n"/>
      <c r="H610" s="3" t="n">
        <v>0</v>
      </c>
      <c r="I610" s="3">
        <f>IF(G610="","PENDENTE",IF(AND(ISNUMBER(F610),ISNUMBER(G610)),IF(ABS(G610-F610)&lt;=H610,"IGUAL","DIVERGENTE"),IF(TRIM(G610&amp;"")=TRIM(F610&amp;""),"IGUAL","DIVERGENTE")))</f>
        <v/>
      </c>
      <c r="J610" s="3" t="n"/>
    </row>
    <row r="611">
      <c r="A611" s="4" t="n">
        <v>45</v>
      </c>
      <c r="B611" s="4" t="inlineStr">
        <is>
          <t>2 DORMITÓRIOS</t>
        </is>
      </c>
      <c r="C611" s="4" t="inlineStr">
        <is>
          <t>Gráfico 1 / plot 2</t>
        </is>
      </c>
      <c r="D611" s="4" t="inlineStr">
        <is>
          <t>Coluna1</t>
        </is>
      </c>
      <c r="E611" s="4" t="inlineStr">
        <is>
          <t>1</t>
        </is>
      </c>
      <c r="F611" s="4" t="n">
        <v>0</v>
      </c>
      <c r="G611" s="4" t="n"/>
      <c r="H611" s="4" t="n">
        <v>0</v>
      </c>
      <c r="I611" s="4">
        <f>IF(G611="","PENDENTE",IF(AND(ISNUMBER(F611),ISNUMBER(G611)),IF(ABS(G611-F611)&lt;=H611,"IGUAL","DIVERGENTE"),IF(TRIM(G611&amp;"")=TRIM(F611&amp;""),"IGUAL","DIVERGENTE")))</f>
        <v/>
      </c>
      <c r="J611" s="4" t="n"/>
    </row>
    <row r="612">
      <c r="A612" s="3" t="n">
        <v>45</v>
      </c>
      <c r="B612" s="3" t="inlineStr">
        <is>
          <t>2 DORMITÓRIOS</t>
        </is>
      </c>
      <c r="C612" s="3" t="inlineStr">
        <is>
          <t>Gráfico 1 / plot 2</t>
        </is>
      </c>
      <c r="D612" s="3" t="inlineStr">
        <is>
          <t>Coluna1</t>
        </is>
      </c>
      <c r="E612" s="3" t="inlineStr">
        <is>
          <t>2</t>
        </is>
      </c>
      <c r="F612" s="3" t="n">
        <v>0.0600721715134791</v>
      </c>
      <c r="G612" s="3" t="n"/>
      <c r="H612" s="3" t="n">
        <v>0.005</v>
      </c>
      <c r="I612" s="3">
        <f>IF(G612="","PENDENTE",IF(AND(ISNUMBER(F612),ISNUMBER(G612)),IF(ABS(G612-F612)&lt;=H612,"IGUAL","DIVERGENTE"),IF(TRIM(G612&amp;"")=TRIM(F612&amp;""),"IGUAL","DIVERGENTE")))</f>
        <v/>
      </c>
      <c r="J612" s="3" t="n"/>
    </row>
    <row r="613">
      <c r="A613" s="4" t="n">
        <v>45</v>
      </c>
      <c r="B613" s="4" t="inlineStr">
        <is>
          <t>2 DORMITÓRIOS</t>
        </is>
      </c>
      <c r="C613" s="4" t="inlineStr">
        <is>
          <t>Gráfico 1 / plot 2</t>
        </is>
      </c>
      <c r="D613" s="4" t="inlineStr">
        <is>
          <t>Coluna1</t>
        </is>
      </c>
      <c r="E613" s="4" t="inlineStr">
        <is>
          <t>3</t>
        </is>
      </c>
      <c r="F613" s="4" t="n">
        <v>-0.001001201441730104</v>
      </c>
      <c r="G613" s="4" t="n"/>
      <c r="H613" s="4" t="n">
        <v>0.005</v>
      </c>
      <c r="I613" s="4">
        <f>IF(G613="","PENDENTE",IF(AND(ISNUMBER(F613),ISNUMBER(G613)),IF(ABS(G613-F613)&lt;=H613,"IGUAL","DIVERGENTE"),IF(TRIM(G613&amp;"")=TRIM(F613&amp;""),"IGUAL","DIVERGENTE")))</f>
        <v/>
      </c>
      <c r="J613" s="4" t="n"/>
    </row>
    <row r="614">
      <c r="A614" s="3" t="n">
        <v>45</v>
      </c>
      <c r="B614" s="3" t="inlineStr">
        <is>
          <t>2 DORMITÓRIOS</t>
        </is>
      </c>
      <c r="C614" s="3" t="inlineStr">
        <is>
          <t>Gráfico 1 / plot 2</t>
        </is>
      </c>
      <c r="D614" s="3" t="inlineStr">
        <is>
          <t>Coluna1</t>
        </is>
      </c>
      <c r="E614" s="3" t="inlineStr">
        <is>
          <t>4</t>
        </is>
      </c>
      <c r="F614" s="3" t="n">
        <v>-0.001403086790940034</v>
      </c>
      <c r="G614" s="3" t="n"/>
      <c r="H614" s="3" t="n">
        <v>0.005</v>
      </c>
      <c r="I614" s="3">
        <f>IF(G614="","PENDENTE",IF(AND(ISNUMBER(F614),ISNUMBER(G614)),IF(ABS(G614-F614)&lt;=H614,"IGUAL","DIVERGENTE"),IF(TRIM(G614&amp;"")=TRIM(F614&amp;""),"IGUAL","DIVERGENTE")))</f>
        <v/>
      </c>
      <c r="J614" s="3" t="n"/>
    </row>
    <row r="615">
      <c r="A615" s="4" t="n">
        <v>45</v>
      </c>
      <c r="B615" s="4" t="inlineStr">
        <is>
          <t>2 DORMITÓRIOS</t>
        </is>
      </c>
      <c r="C615" s="4" t="inlineStr">
        <is>
          <t>Gráfico 1 / plot 2</t>
        </is>
      </c>
      <c r="D615" s="4" t="inlineStr">
        <is>
          <t>Coluna1</t>
        </is>
      </c>
      <c r="E615" s="4" t="inlineStr">
        <is>
          <t>5</t>
        </is>
      </c>
      <c r="F615" s="4" t="n">
        <v>0.007426736250501831</v>
      </c>
      <c r="G615" s="4" t="n"/>
      <c r="H615" s="4" t="n">
        <v>0.005</v>
      </c>
      <c r="I615" s="4">
        <f>IF(G615="","PENDENTE",IF(AND(ISNUMBER(F615),ISNUMBER(G615)),IF(ABS(G615-F615)&lt;=H615,"IGUAL","DIVERGENTE"),IF(TRIM(G615&amp;"")=TRIM(F615&amp;""),"IGUAL","DIVERGENTE")))</f>
        <v/>
      </c>
      <c r="J615" s="4" t="n"/>
    </row>
    <row r="616">
      <c r="A616" s="3" t="n">
        <v>45</v>
      </c>
      <c r="B616" s="3" t="inlineStr">
        <is>
          <t>2 DORMITÓRIOS</t>
        </is>
      </c>
      <c r="C616" s="3" t="inlineStr">
        <is>
          <t>Gráfico 1 / plot 2</t>
        </is>
      </c>
      <c r="D616" s="3" t="inlineStr">
        <is>
          <t>Coluna1</t>
        </is>
      </c>
      <c r="E616" s="3" t="inlineStr">
        <is>
          <t>6</t>
        </is>
      </c>
      <c r="F616" s="3" t="n">
        <v>0.03167961745367598</v>
      </c>
      <c r="G616" s="3" t="n"/>
      <c r="H616" s="3" t="n">
        <v>0.005</v>
      </c>
      <c r="I616" s="3">
        <f>IF(G616="","PENDENTE",IF(AND(ISNUMBER(F616),ISNUMBER(G616)),IF(ABS(G616-F616)&lt;=H616,"IGUAL","DIVERGENTE"),IF(TRIM(G616&amp;"")=TRIM(F616&amp;""),"IGUAL","DIVERGENTE")))</f>
        <v/>
      </c>
      <c r="J616" s="3" t="n"/>
    </row>
    <row r="617">
      <c r="A617" s="4" t="n">
        <v>45</v>
      </c>
      <c r="B617" s="4" t="inlineStr">
        <is>
          <t>2 DORMITÓRIOS</t>
        </is>
      </c>
      <c r="C617" s="4" t="inlineStr">
        <is>
          <t>Gráfico 1 / plot 2</t>
        </is>
      </c>
      <c r="D617" s="4" t="inlineStr">
        <is>
          <t>Coluna1</t>
        </is>
      </c>
      <c r="E617" s="4" t="inlineStr">
        <is>
          <t>7</t>
        </is>
      </c>
      <c r="F617" s="4" t="n">
        <v>0.01622247972190038</v>
      </c>
      <c r="G617" s="4" t="n"/>
      <c r="H617" s="4" t="n">
        <v>0.005</v>
      </c>
      <c r="I617" s="4">
        <f>IF(G617="","PENDENTE",IF(AND(ISNUMBER(F617),ISNUMBER(G617)),IF(ABS(G617-F617)&lt;=H617,"IGUAL","DIVERGENTE"),IF(TRIM(G617&amp;"")=TRIM(F617&amp;""),"IGUAL","DIVERGENTE")))</f>
        <v/>
      </c>
      <c r="J617" s="4" t="n"/>
    </row>
    <row r="618">
      <c r="A618" s="3" t="n">
        <v>45</v>
      </c>
      <c r="B618" s="3" t="inlineStr">
        <is>
          <t>2 DORMITÓRIOS</t>
        </is>
      </c>
      <c r="C618" s="3" t="inlineStr">
        <is>
          <t>Gráfico 1 / plot 2</t>
        </is>
      </c>
      <c r="D618" s="3" t="inlineStr">
        <is>
          <t>Coluna1</t>
        </is>
      </c>
      <c r="E618" s="3" t="inlineStr">
        <is>
          <t>8</t>
        </is>
      </c>
      <c r="F618" s="3" t="n">
        <v>0.02964652223489161</v>
      </c>
      <c r="G618" s="3" t="n"/>
      <c r="H618" s="3" t="n">
        <v>0.005</v>
      </c>
      <c r="I618" s="3">
        <f>IF(G618="","PENDENTE",IF(AND(ISNUMBER(F618),ISNUMBER(G618)),IF(ABS(G618-F618)&lt;=H618,"IGUAL","DIVERGENTE"),IF(TRIM(G618&amp;"")=TRIM(F618&amp;""),"IGUAL","DIVERGENTE")))</f>
        <v/>
      </c>
      <c r="J618" s="3" t="n"/>
    </row>
    <row r="619">
      <c r="A619" s="4" t="n">
        <v>45</v>
      </c>
      <c r="B619" s="4" t="inlineStr">
        <is>
          <t>2 DORMITÓRIOS</t>
        </is>
      </c>
      <c r="C619" s="4" t="inlineStr">
        <is>
          <t>Gráfico 1 / plot 2</t>
        </is>
      </c>
      <c r="D619" s="4" t="inlineStr">
        <is>
          <t>Coluna1</t>
        </is>
      </c>
      <c r="E619" s="4" t="inlineStr">
        <is>
          <t>9</t>
        </is>
      </c>
      <c r="F619" s="4" t="n">
        <v>0.01605758582502759</v>
      </c>
      <c r="G619" s="4" t="n"/>
      <c r="H619" s="4" t="n">
        <v>0.005</v>
      </c>
      <c r="I619" s="4">
        <f>IF(G619="","PENDENTE",IF(AND(ISNUMBER(F619),ISNUMBER(G619)),IF(ABS(G619-F619)&lt;=H619,"IGUAL","DIVERGENTE"),IF(TRIM(G619&amp;"")=TRIM(F619&amp;""),"IGUAL","DIVERGENTE")))</f>
        <v/>
      </c>
      <c r="J619" s="4" t="n"/>
    </row>
    <row r="620">
      <c r="A620" s="3" t="n">
        <v>45</v>
      </c>
      <c r="B620" s="3" t="inlineStr">
        <is>
          <t>2 DORMITÓRIOS</t>
        </is>
      </c>
      <c r="C620" s="3" t="inlineStr">
        <is>
          <t>Gráfico 1 / plot 2</t>
        </is>
      </c>
      <c r="D620" s="3" t="inlineStr">
        <is>
          <t>Coluna1</t>
        </is>
      </c>
      <c r="E620" s="3" t="inlineStr">
        <is>
          <t>10</t>
        </is>
      </c>
      <c r="F620" s="3" t="n">
        <v>0.054677565849228</v>
      </c>
      <c r="G620" s="3" t="n"/>
      <c r="H620" s="3" t="n">
        <v>0.005</v>
      </c>
      <c r="I620" s="3">
        <f>IF(G620="","PENDENTE",IF(AND(ISNUMBER(F620),ISNUMBER(G620)),IF(ABS(G620-F620)&lt;=H620,"IGUAL","DIVERGENTE"),IF(TRIM(G620&amp;"")=TRIM(F620&amp;""),"IGUAL","DIVERGENTE")))</f>
        <v/>
      </c>
      <c r="J620" s="3" t="n"/>
    </row>
    <row r="621">
      <c r="A621" s="4" t="n">
        <v>45</v>
      </c>
      <c r="B621" s="4" t="inlineStr">
        <is>
          <t>2 DORMITÓRIOS</t>
        </is>
      </c>
      <c r="C621" s="4" t="inlineStr">
        <is>
          <t>Gráfico 1 / plot 2</t>
        </is>
      </c>
      <c r="D621" s="4" t="inlineStr">
        <is>
          <t>Coluna1</t>
        </is>
      </c>
      <c r="E621" s="4" t="inlineStr">
        <is>
          <t>11</t>
        </is>
      </c>
      <c r="F621" s="4" t="n">
        <v>0.04581467447468146</v>
      </c>
      <c r="G621" s="4" t="n"/>
      <c r="H621" s="4" t="n">
        <v>0.005</v>
      </c>
      <c r="I621" s="4">
        <f>IF(G621="","PENDENTE",IF(AND(ISNUMBER(F621),ISNUMBER(G621)),IF(ABS(G621-F621)&lt;=H621,"IGUAL","DIVERGENTE"),IF(TRIM(G621&amp;"")=TRIM(F621&amp;""),"IGUAL","DIVERGENTE")))</f>
        <v/>
      </c>
      <c r="J621" s="4" t="n"/>
    </row>
    <row r="622">
      <c r="A622" s="3" t="n">
        <v>45</v>
      </c>
      <c r="B622" s="3" t="inlineStr">
        <is>
          <t>2 DORMITÓRIOS</t>
        </is>
      </c>
      <c r="C622" s="3" t="inlineStr">
        <is>
          <t>Gráfico 1 / plot 2</t>
        </is>
      </c>
      <c r="D622" s="3" t="inlineStr">
        <is>
          <t>Coluna1</t>
        </is>
      </c>
      <c r="E622" s="3" t="inlineStr">
        <is>
          <t>12</t>
        </is>
      </c>
      <c r="F622" s="3" t="n">
        <v>0.007246376811594235</v>
      </c>
      <c r="G622" s="3" t="n"/>
      <c r="H622" s="3" t="n">
        <v>0.005</v>
      </c>
      <c r="I622" s="3">
        <f>IF(G622="","PENDENTE",IF(AND(ISNUMBER(F622),ISNUMBER(G622)),IF(ABS(G622-F622)&lt;=H622,"IGUAL","DIVERGENTE"),IF(TRIM(G622&amp;"")=TRIM(F622&amp;""),"IGUAL","DIVERGENTE")))</f>
        <v/>
      </c>
      <c r="J622" s="3" t="n"/>
    </row>
    <row r="623">
      <c r="A623" s="4" t="n">
        <v>45</v>
      </c>
      <c r="B623" s="4" t="inlineStr">
        <is>
          <t>2 DORMITÓRIOS</t>
        </is>
      </c>
      <c r="C623" s="4" t="inlineStr">
        <is>
          <t>Gráfico 1 / plot 2</t>
        </is>
      </c>
      <c r="D623" s="4" t="inlineStr">
        <is>
          <t>Coluna1</t>
        </is>
      </c>
      <c r="E623" s="4" t="inlineStr">
        <is>
          <t>13</t>
        </is>
      </c>
      <c r="F623" s="4" t="n">
        <v>-0.01880313930673638</v>
      </c>
      <c r="G623" s="4" t="n"/>
      <c r="H623" s="4" t="n">
        <v>0.005</v>
      </c>
      <c r="I623" s="4">
        <f>IF(G623="","PENDENTE",IF(AND(ISNUMBER(F623),ISNUMBER(G623)),IF(ABS(G623-F623)&lt;=H623,"IGUAL","DIVERGENTE"),IF(TRIM(G623&amp;"")=TRIM(F623&amp;""),"IGUAL","DIVERGENTE")))</f>
        <v/>
      </c>
      <c r="J623" s="4" t="n"/>
    </row>
    <row r="624">
      <c r="A624" s="3" t="n">
        <v>46</v>
      </c>
      <c r="B624" s="3" t="inlineStr">
        <is>
          <t>3 DORMITÓRIOS</t>
        </is>
      </c>
      <c r="C624" s="3" t="inlineStr">
        <is>
          <t>Gráfico 1 / plot 1</t>
        </is>
      </c>
      <c r="D624" s="3" t="inlineStr">
        <is>
          <t>Série 1</t>
        </is>
      </c>
      <c r="E624" s="3" t="inlineStr">
        <is>
          <t>4T2022</t>
        </is>
      </c>
      <c r="F624" s="3" t="n">
        <v>7029</v>
      </c>
      <c r="G624" s="3" t="n"/>
      <c r="H624" s="3" t="n">
        <v>0</v>
      </c>
      <c r="I624" s="3">
        <f>IF(G624="","PENDENTE",IF(AND(ISNUMBER(F624),ISNUMBER(G624)),IF(ABS(G624-F624)&lt;=H624,"IGUAL","DIVERGENTE"),IF(TRIM(G624&amp;"")=TRIM(F624&amp;""),"IGUAL","DIVERGENTE")))</f>
        <v/>
      </c>
      <c r="J624" s="3" t="n"/>
    </row>
    <row r="625">
      <c r="A625" s="4" t="n">
        <v>46</v>
      </c>
      <c r="B625" s="4" t="inlineStr">
        <is>
          <t>3 DORMITÓRIOS</t>
        </is>
      </c>
      <c r="C625" s="4" t="inlineStr">
        <is>
          <t>Gráfico 1 / plot 1</t>
        </is>
      </c>
      <c r="D625" s="4" t="inlineStr">
        <is>
          <t>Série 1</t>
        </is>
      </c>
      <c r="E625" s="4" t="inlineStr">
        <is>
          <t>1T2023</t>
        </is>
      </c>
      <c r="F625" s="4" t="n">
        <v>7069</v>
      </c>
      <c r="G625" s="4" t="n"/>
      <c r="H625" s="4" t="n">
        <v>0</v>
      </c>
      <c r="I625" s="4">
        <f>IF(G625="","PENDENTE",IF(AND(ISNUMBER(F625),ISNUMBER(G625)),IF(ABS(G625-F625)&lt;=H625,"IGUAL","DIVERGENTE"),IF(TRIM(G625&amp;"")=TRIM(F625&amp;""),"IGUAL","DIVERGENTE")))</f>
        <v/>
      </c>
      <c r="J625" s="4" t="n"/>
    </row>
    <row r="626">
      <c r="A626" s="3" t="n">
        <v>46</v>
      </c>
      <c r="B626" s="3" t="inlineStr">
        <is>
          <t>3 DORMITÓRIOS</t>
        </is>
      </c>
      <c r="C626" s="3" t="inlineStr">
        <is>
          <t>Gráfico 1 / plot 1</t>
        </is>
      </c>
      <c r="D626" s="3" t="inlineStr">
        <is>
          <t>Série 1</t>
        </is>
      </c>
      <c r="E626" s="3" t="inlineStr">
        <is>
          <t>2T2023</t>
        </is>
      </c>
      <c r="F626" s="3" t="n">
        <v>7041</v>
      </c>
      <c r="G626" s="3" t="n"/>
      <c r="H626" s="3" t="n">
        <v>0</v>
      </c>
      <c r="I626" s="3">
        <f>IF(G626="","PENDENTE",IF(AND(ISNUMBER(F626),ISNUMBER(G626)),IF(ABS(G626-F626)&lt;=H626,"IGUAL","DIVERGENTE"),IF(TRIM(G626&amp;"")=TRIM(F626&amp;""),"IGUAL","DIVERGENTE")))</f>
        <v/>
      </c>
      <c r="J626" s="3" t="n"/>
    </row>
    <row r="627">
      <c r="A627" s="4" t="n">
        <v>46</v>
      </c>
      <c r="B627" s="4" t="inlineStr">
        <is>
          <t>3 DORMITÓRIOS</t>
        </is>
      </c>
      <c r="C627" s="4" t="inlineStr">
        <is>
          <t>Gráfico 1 / plot 1</t>
        </is>
      </c>
      <c r="D627" s="4" t="inlineStr">
        <is>
          <t>Série 1</t>
        </is>
      </c>
      <c r="E627" s="4" t="inlineStr">
        <is>
          <t>3T2023</t>
        </is>
      </c>
      <c r="F627" s="4" t="n">
        <v>7100</v>
      </c>
      <c r="G627" s="4" t="n"/>
      <c r="H627" s="4" t="n">
        <v>0</v>
      </c>
      <c r="I627" s="4">
        <f>IF(G627="","PENDENTE",IF(AND(ISNUMBER(F627),ISNUMBER(G627)),IF(ABS(G627-F627)&lt;=H627,"IGUAL","DIVERGENTE"),IF(TRIM(G627&amp;"")=TRIM(F627&amp;""),"IGUAL","DIVERGENTE")))</f>
        <v/>
      </c>
      <c r="J627" s="4" t="n"/>
    </row>
    <row r="628">
      <c r="A628" s="3" t="n">
        <v>46</v>
      </c>
      <c r="B628" s="3" t="inlineStr">
        <is>
          <t>3 DORMITÓRIOS</t>
        </is>
      </c>
      <c r="C628" s="3" t="inlineStr">
        <is>
          <t>Gráfico 1 / plot 1</t>
        </is>
      </c>
      <c r="D628" s="3" t="inlineStr">
        <is>
          <t>Série 1</t>
        </is>
      </c>
      <c r="E628" s="3" t="inlineStr">
        <is>
          <t>4T2023</t>
        </is>
      </c>
      <c r="F628" s="3" t="n">
        <v>7199</v>
      </c>
      <c r="G628" s="3" t="n"/>
      <c r="H628" s="3" t="n">
        <v>0</v>
      </c>
      <c r="I628" s="3">
        <f>IF(G628="","PENDENTE",IF(AND(ISNUMBER(F628),ISNUMBER(G628)),IF(ABS(G628-F628)&lt;=H628,"IGUAL","DIVERGENTE"),IF(TRIM(G628&amp;"")=TRIM(F628&amp;""),"IGUAL","DIVERGENTE")))</f>
        <v/>
      </c>
      <c r="J628" s="3" t="n"/>
    </row>
    <row r="629">
      <c r="A629" s="4" t="n">
        <v>46</v>
      </c>
      <c r="B629" s="4" t="inlineStr">
        <is>
          <t>3 DORMITÓRIOS</t>
        </is>
      </c>
      <c r="C629" s="4" t="inlineStr">
        <is>
          <t>Gráfico 1 / plot 1</t>
        </is>
      </c>
      <c r="D629" s="4" t="inlineStr">
        <is>
          <t>Série 1</t>
        </is>
      </c>
      <c r="E629" s="4" t="inlineStr">
        <is>
          <t>1T2024</t>
        </is>
      </c>
      <c r="F629" s="4" t="n">
        <v>7455</v>
      </c>
      <c r="G629" s="4" t="n"/>
      <c r="H629" s="4" t="n">
        <v>0</v>
      </c>
      <c r="I629" s="4">
        <f>IF(G629="","PENDENTE",IF(AND(ISNUMBER(F629),ISNUMBER(G629)),IF(ABS(G629-F629)&lt;=H629,"IGUAL","DIVERGENTE"),IF(TRIM(G629&amp;"")=TRIM(F629&amp;""),"IGUAL","DIVERGENTE")))</f>
        <v/>
      </c>
      <c r="J629" s="4" t="n"/>
    </row>
    <row r="630">
      <c r="A630" s="3" t="n">
        <v>46</v>
      </c>
      <c r="B630" s="3" t="inlineStr">
        <is>
          <t>3 DORMITÓRIOS</t>
        </is>
      </c>
      <c r="C630" s="3" t="inlineStr">
        <is>
          <t>Gráfico 1 / plot 1</t>
        </is>
      </c>
      <c r="D630" s="3" t="inlineStr">
        <is>
          <t>Série 1</t>
        </is>
      </c>
      <c r="E630" s="3" t="inlineStr">
        <is>
          <t>2T2024</t>
        </is>
      </c>
      <c r="F630" s="3" t="n">
        <v>7742</v>
      </c>
      <c r="G630" s="3" t="n"/>
      <c r="H630" s="3" t="n">
        <v>0</v>
      </c>
      <c r="I630" s="3">
        <f>IF(G630="","PENDENTE",IF(AND(ISNUMBER(F630),ISNUMBER(G630)),IF(ABS(G630-F630)&lt;=H630,"IGUAL","DIVERGENTE"),IF(TRIM(G630&amp;"")=TRIM(F630&amp;""),"IGUAL","DIVERGENTE")))</f>
        <v/>
      </c>
      <c r="J630" s="3" t="n"/>
    </row>
    <row r="631">
      <c r="A631" s="4" t="n">
        <v>46</v>
      </c>
      <c r="B631" s="4" t="inlineStr">
        <is>
          <t>3 DORMITÓRIOS</t>
        </is>
      </c>
      <c r="C631" s="4" t="inlineStr">
        <is>
          <t>Gráfico 1 / plot 1</t>
        </is>
      </c>
      <c r="D631" s="4" t="inlineStr">
        <is>
          <t>Série 1</t>
        </is>
      </c>
      <c r="E631" s="4" t="inlineStr">
        <is>
          <t>3T2024</t>
        </is>
      </c>
      <c r="F631" s="4" t="n">
        <v>7477</v>
      </c>
      <c r="G631" s="4" t="n"/>
      <c r="H631" s="4" t="n">
        <v>0</v>
      </c>
      <c r="I631" s="4">
        <f>IF(G631="","PENDENTE",IF(AND(ISNUMBER(F631),ISNUMBER(G631)),IF(ABS(G631-F631)&lt;=H631,"IGUAL","DIVERGENTE"),IF(TRIM(G631&amp;"")=TRIM(F631&amp;""),"IGUAL","DIVERGENTE")))</f>
        <v/>
      </c>
      <c r="J631" s="4" t="n"/>
    </row>
    <row r="632">
      <c r="A632" s="3" t="n">
        <v>46</v>
      </c>
      <c r="B632" s="3" t="inlineStr">
        <is>
          <t>3 DORMITÓRIOS</t>
        </is>
      </c>
      <c r="C632" s="3" t="inlineStr">
        <is>
          <t>Gráfico 1 / plot 1</t>
        </is>
      </c>
      <c r="D632" s="3" t="inlineStr">
        <is>
          <t>Série 1</t>
        </is>
      </c>
      <c r="E632" s="3" t="inlineStr">
        <is>
          <t>4T2024</t>
        </is>
      </c>
      <c r="F632" s="3" t="n">
        <v>7793</v>
      </c>
      <c r="G632" s="3" t="n"/>
      <c r="H632" s="3" t="n">
        <v>0</v>
      </c>
      <c r="I632" s="3">
        <f>IF(G632="","PENDENTE",IF(AND(ISNUMBER(F632),ISNUMBER(G632)),IF(ABS(G632-F632)&lt;=H632,"IGUAL","DIVERGENTE"),IF(TRIM(G632&amp;"")=TRIM(F632&amp;""),"IGUAL","DIVERGENTE")))</f>
        <v/>
      </c>
      <c r="J632" s="3" t="n"/>
    </row>
    <row r="633">
      <c r="A633" s="4" t="n">
        <v>46</v>
      </c>
      <c r="B633" s="4" t="inlineStr">
        <is>
          <t>3 DORMITÓRIOS</t>
        </is>
      </c>
      <c r="C633" s="4" t="inlineStr">
        <is>
          <t>Gráfico 1 / plot 1</t>
        </is>
      </c>
      <c r="D633" s="4" t="inlineStr">
        <is>
          <t>Série 1</t>
        </is>
      </c>
      <c r="E633" s="4" t="inlineStr">
        <is>
          <t>1T2025</t>
        </is>
      </c>
      <c r="F633" s="4" t="n">
        <v>7975</v>
      </c>
      <c r="G633" s="4" t="n"/>
      <c r="H633" s="4" t="n">
        <v>0</v>
      </c>
      <c r="I633" s="4">
        <f>IF(G633="","PENDENTE",IF(AND(ISNUMBER(F633),ISNUMBER(G633)),IF(ABS(G633-F633)&lt;=H633,"IGUAL","DIVERGENTE"),IF(TRIM(G633&amp;"")=TRIM(F633&amp;""),"IGUAL","DIVERGENTE")))</f>
        <v/>
      </c>
      <c r="J633" s="4" t="n"/>
    </row>
    <row r="634">
      <c r="A634" s="3" t="n">
        <v>46</v>
      </c>
      <c r="B634" s="3" t="inlineStr">
        <is>
          <t>3 DORMITÓRIOS</t>
        </is>
      </c>
      <c r="C634" s="3" t="inlineStr">
        <is>
          <t>Gráfico 1 / plot 1</t>
        </is>
      </c>
      <c r="D634" s="3" t="inlineStr">
        <is>
          <t>Série 1</t>
        </is>
      </c>
      <c r="E634" s="3" t="inlineStr">
        <is>
          <t>2T2025</t>
        </is>
      </c>
      <c r="F634" s="3" t="n">
        <v>9239</v>
      </c>
      <c r="G634" s="3" t="n"/>
      <c r="H634" s="3" t="n">
        <v>0</v>
      </c>
      <c r="I634" s="3">
        <f>IF(G634="","PENDENTE",IF(AND(ISNUMBER(F634),ISNUMBER(G634)),IF(ABS(G634-F634)&lt;=H634,"IGUAL","DIVERGENTE"),IF(TRIM(G634&amp;"")=TRIM(F634&amp;""),"IGUAL","DIVERGENTE")))</f>
        <v/>
      </c>
      <c r="J634" s="3" t="n"/>
    </row>
    <row r="635">
      <c r="A635" s="4" t="n">
        <v>46</v>
      </c>
      <c r="B635" s="4" t="inlineStr">
        <is>
          <t>3 DORMITÓRIOS</t>
        </is>
      </c>
      <c r="C635" s="4" t="inlineStr">
        <is>
          <t>Gráfico 1 / plot 1</t>
        </is>
      </c>
      <c r="D635" s="4" t="inlineStr">
        <is>
          <t>Série 1</t>
        </is>
      </c>
      <c r="E635" s="4" t="inlineStr">
        <is>
          <t>3T2025</t>
        </is>
      </c>
      <c r="F635" s="4" t="n">
        <v>9370</v>
      </c>
      <c r="G635" s="4" t="n"/>
      <c r="H635" s="4" t="n">
        <v>0</v>
      </c>
      <c r="I635" s="4">
        <f>IF(G635="","PENDENTE",IF(AND(ISNUMBER(F635),ISNUMBER(G635)),IF(ABS(G635-F635)&lt;=H635,"IGUAL","DIVERGENTE"),IF(TRIM(G635&amp;"")=TRIM(F635&amp;""),"IGUAL","DIVERGENTE")))</f>
        <v/>
      </c>
      <c r="J635" s="4" t="n"/>
    </row>
    <row r="636">
      <c r="A636" s="3" t="n">
        <v>46</v>
      </c>
      <c r="B636" s="3" t="inlineStr">
        <is>
          <t>3 DORMITÓRIOS</t>
        </is>
      </c>
      <c r="C636" s="3" t="inlineStr">
        <is>
          <t>Gráfico 1 / plot 1</t>
        </is>
      </c>
      <c r="D636" s="3" t="inlineStr">
        <is>
          <t>Série 1</t>
        </is>
      </c>
      <c r="E636" s="3" t="inlineStr">
        <is>
          <t>4T2025</t>
        </is>
      </c>
      <c r="F636" s="3" t="n">
        <v>9455</v>
      </c>
      <c r="G636" s="3" t="n"/>
      <c r="H636" s="3" t="n">
        <v>0</v>
      </c>
      <c r="I636" s="3">
        <f>IF(G636="","PENDENTE",IF(AND(ISNUMBER(F636),ISNUMBER(G636)),IF(ABS(G636-F636)&lt;=H636,"IGUAL","DIVERGENTE"),IF(TRIM(G636&amp;"")=TRIM(F636&amp;""),"IGUAL","DIVERGENTE")))</f>
        <v/>
      </c>
      <c r="J636" s="3" t="n"/>
    </row>
    <row r="637">
      <c r="A637" s="4" t="n">
        <v>46</v>
      </c>
      <c r="B637" s="4" t="inlineStr">
        <is>
          <t>3 DORMITÓRIOS</t>
        </is>
      </c>
      <c r="C637" s="4" t="inlineStr">
        <is>
          <t>Gráfico 1 / plot 2</t>
        </is>
      </c>
      <c r="D637" s="4" t="inlineStr">
        <is>
          <t>Coluna1</t>
        </is>
      </c>
      <c r="E637" s="4" t="inlineStr">
        <is>
          <t>1</t>
        </is>
      </c>
      <c r="F637" s="4" t="n">
        <v>0</v>
      </c>
      <c r="G637" s="4" t="n"/>
      <c r="H637" s="4" t="n">
        <v>0</v>
      </c>
      <c r="I637" s="4">
        <f>IF(G637="","PENDENTE",IF(AND(ISNUMBER(F637),ISNUMBER(G637)),IF(ABS(G637-F637)&lt;=H637,"IGUAL","DIVERGENTE"),IF(TRIM(G637&amp;"")=TRIM(F637&amp;""),"IGUAL","DIVERGENTE")))</f>
        <v/>
      </c>
      <c r="J637" s="4" t="n"/>
    </row>
    <row r="638">
      <c r="A638" s="3" t="n">
        <v>46</v>
      </c>
      <c r="B638" s="3" t="inlineStr">
        <is>
          <t>3 DORMITÓRIOS</t>
        </is>
      </c>
      <c r="C638" s="3" t="inlineStr">
        <is>
          <t>Gráfico 1 / plot 2</t>
        </is>
      </c>
      <c r="D638" s="3" t="inlineStr">
        <is>
          <t>Coluna1</t>
        </is>
      </c>
      <c r="E638" s="3" t="inlineStr">
        <is>
          <t>2</t>
        </is>
      </c>
      <c r="F638" s="3" t="n">
        <v>0.005690709916062131</v>
      </c>
      <c r="G638" s="3" t="n"/>
      <c r="H638" s="3" t="n">
        <v>0.005</v>
      </c>
      <c r="I638" s="3">
        <f>IF(G638="","PENDENTE",IF(AND(ISNUMBER(F638),ISNUMBER(G638)),IF(ABS(G638-F638)&lt;=H638,"IGUAL","DIVERGENTE"),IF(TRIM(G638&amp;"")=TRIM(F638&amp;""),"IGUAL","DIVERGENTE")))</f>
        <v/>
      </c>
      <c r="J638" s="3" t="n"/>
    </row>
    <row r="639">
      <c r="A639" s="4" t="n">
        <v>46</v>
      </c>
      <c r="B639" s="4" t="inlineStr">
        <is>
          <t>3 DORMITÓRIOS</t>
        </is>
      </c>
      <c r="C639" s="4" t="inlineStr">
        <is>
          <t>Gráfico 1 / plot 2</t>
        </is>
      </c>
      <c r="D639" s="4" t="inlineStr">
        <is>
          <t>Coluna1</t>
        </is>
      </c>
      <c r="E639" s="4" t="inlineStr">
        <is>
          <t>3</t>
        </is>
      </c>
      <c r="F639" s="4" t="n">
        <v>-0.003960956288018069</v>
      </c>
      <c r="G639" s="4" t="n"/>
      <c r="H639" s="4" t="n">
        <v>0.005</v>
      </c>
      <c r="I639" s="4">
        <f>IF(G639="","PENDENTE",IF(AND(ISNUMBER(F639),ISNUMBER(G639)),IF(ABS(G639-F639)&lt;=H639,"IGUAL","DIVERGENTE"),IF(TRIM(G639&amp;"")=TRIM(F639&amp;""),"IGUAL","DIVERGENTE")))</f>
        <v/>
      </c>
      <c r="J639" s="4" t="n"/>
    </row>
    <row r="640">
      <c r="A640" s="3" t="n">
        <v>46</v>
      </c>
      <c r="B640" s="3" t="inlineStr">
        <is>
          <t>3 DORMITÓRIOS</t>
        </is>
      </c>
      <c r="C640" s="3" t="inlineStr">
        <is>
          <t>Gráfico 1 / plot 2</t>
        </is>
      </c>
      <c r="D640" s="3" t="inlineStr">
        <is>
          <t>Coluna1</t>
        </is>
      </c>
      <c r="E640" s="3" t="inlineStr">
        <is>
          <t>4</t>
        </is>
      </c>
      <c r="F640" s="3" t="n">
        <v>0.00837949154949591</v>
      </c>
      <c r="G640" s="3" t="n"/>
      <c r="H640" s="3" t="n">
        <v>0.005</v>
      </c>
      <c r="I640" s="3">
        <f>IF(G640="","PENDENTE",IF(AND(ISNUMBER(F640),ISNUMBER(G640)),IF(ABS(G640-F640)&lt;=H640,"IGUAL","DIVERGENTE"),IF(TRIM(G640&amp;"")=TRIM(F640&amp;""),"IGUAL","DIVERGENTE")))</f>
        <v/>
      </c>
      <c r="J640" s="3" t="n"/>
    </row>
    <row r="641">
      <c r="A641" s="4" t="n">
        <v>46</v>
      </c>
      <c r="B641" s="4" t="inlineStr">
        <is>
          <t>3 DORMITÓRIOS</t>
        </is>
      </c>
      <c r="C641" s="4" t="inlineStr">
        <is>
          <t>Gráfico 1 / plot 2</t>
        </is>
      </c>
      <c r="D641" s="4" t="inlineStr">
        <is>
          <t>Coluna1</t>
        </is>
      </c>
      <c r="E641" s="4" t="inlineStr">
        <is>
          <t>5</t>
        </is>
      </c>
      <c r="F641" s="4" t="n">
        <v>0.01394366197183095</v>
      </c>
      <c r="G641" s="4" t="n"/>
      <c r="H641" s="4" t="n">
        <v>0.005</v>
      </c>
      <c r="I641" s="4">
        <f>IF(G641="","PENDENTE",IF(AND(ISNUMBER(F641),ISNUMBER(G641)),IF(ABS(G641-F641)&lt;=H641,"IGUAL","DIVERGENTE"),IF(TRIM(G641&amp;"")=TRIM(F641&amp;""),"IGUAL","DIVERGENTE")))</f>
        <v/>
      </c>
      <c r="J641" s="4" t="n"/>
    </row>
    <row r="642">
      <c r="A642" s="3" t="n">
        <v>46</v>
      </c>
      <c r="B642" s="3" t="inlineStr">
        <is>
          <t>3 DORMITÓRIOS</t>
        </is>
      </c>
      <c r="C642" s="3" t="inlineStr">
        <is>
          <t>Gráfico 1 / plot 2</t>
        </is>
      </c>
      <c r="D642" s="3" t="inlineStr">
        <is>
          <t>Coluna1</t>
        </is>
      </c>
      <c r="E642" s="3" t="inlineStr">
        <is>
          <t>6</t>
        </is>
      </c>
      <c r="F642" s="3" t="n">
        <v>0.03556049451312693</v>
      </c>
      <c r="G642" s="3" t="n"/>
      <c r="H642" s="3" t="n">
        <v>0.005</v>
      </c>
      <c r="I642" s="3">
        <f>IF(G642="","PENDENTE",IF(AND(ISNUMBER(F642),ISNUMBER(G642)),IF(ABS(G642-F642)&lt;=H642,"IGUAL","DIVERGENTE"),IF(TRIM(G642&amp;"")=TRIM(F642&amp;""),"IGUAL","DIVERGENTE")))</f>
        <v/>
      </c>
      <c r="J642" s="3" t="n"/>
    </row>
    <row r="643">
      <c r="A643" s="4" t="n">
        <v>46</v>
      </c>
      <c r="B643" s="4" t="inlineStr">
        <is>
          <t>3 DORMITÓRIOS</t>
        </is>
      </c>
      <c r="C643" s="4" t="inlineStr">
        <is>
          <t>Gráfico 1 / plot 2</t>
        </is>
      </c>
      <c r="D643" s="4" t="inlineStr">
        <is>
          <t>Coluna1</t>
        </is>
      </c>
      <c r="E643" s="4" t="inlineStr">
        <is>
          <t>7</t>
        </is>
      </c>
      <c r="F643" s="4" t="n">
        <v>0.03849765258215965</v>
      </c>
      <c r="G643" s="4" t="n"/>
      <c r="H643" s="4" t="n">
        <v>0.005</v>
      </c>
      <c r="I643" s="4">
        <f>IF(G643="","PENDENTE",IF(AND(ISNUMBER(F643),ISNUMBER(G643)),IF(ABS(G643-F643)&lt;=H643,"IGUAL","DIVERGENTE"),IF(TRIM(G643&amp;"")=TRIM(F643&amp;""),"IGUAL","DIVERGENTE")))</f>
        <v/>
      </c>
      <c r="J643" s="4" t="n"/>
    </row>
    <row r="644">
      <c r="A644" s="3" t="n">
        <v>46</v>
      </c>
      <c r="B644" s="3" t="inlineStr">
        <is>
          <t>3 DORMITÓRIOS</t>
        </is>
      </c>
      <c r="C644" s="3" t="inlineStr">
        <is>
          <t>Gráfico 1 / plot 2</t>
        </is>
      </c>
      <c r="D644" s="3" t="inlineStr">
        <is>
          <t>Coluna1</t>
        </is>
      </c>
      <c r="E644" s="3" t="inlineStr">
        <is>
          <t>8</t>
        </is>
      </c>
      <c r="F644" s="3" t="n">
        <v>-0.03422888142598812</v>
      </c>
      <c r="G644" s="3" t="n"/>
      <c r="H644" s="3" t="n">
        <v>0.005</v>
      </c>
      <c r="I644" s="3">
        <f>IF(G644="","PENDENTE",IF(AND(ISNUMBER(F644),ISNUMBER(G644)),IF(ABS(G644-F644)&lt;=H644,"IGUAL","DIVERGENTE"),IF(TRIM(G644&amp;"")=TRIM(F644&amp;""),"IGUAL","DIVERGENTE")))</f>
        <v/>
      </c>
      <c r="J644" s="3" t="n"/>
    </row>
    <row r="645">
      <c r="A645" s="4" t="n">
        <v>46</v>
      </c>
      <c r="B645" s="4" t="inlineStr">
        <is>
          <t>3 DORMITÓRIOS</t>
        </is>
      </c>
      <c r="C645" s="4" t="inlineStr">
        <is>
          <t>Gráfico 1 / plot 2</t>
        </is>
      </c>
      <c r="D645" s="4" t="inlineStr">
        <is>
          <t>Coluna1</t>
        </is>
      </c>
      <c r="E645" s="4" t="inlineStr">
        <is>
          <t>9</t>
        </is>
      </c>
      <c r="F645" s="4" t="n">
        <v>0.04226293968169048</v>
      </c>
      <c r="G645" s="4" t="n"/>
      <c r="H645" s="4" t="n">
        <v>0.005</v>
      </c>
      <c r="I645" s="4">
        <f>IF(G645="","PENDENTE",IF(AND(ISNUMBER(F645),ISNUMBER(G645)),IF(ABS(G645-F645)&lt;=H645,"IGUAL","DIVERGENTE"),IF(TRIM(G645&amp;"")=TRIM(F645&amp;""),"IGUAL","DIVERGENTE")))</f>
        <v/>
      </c>
      <c r="J645" s="4" t="n"/>
    </row>
    <row r="646">
      <c r="A646" s="3" t="n">
        <v>46</v>
      </c>
      <c r="B646" s="3" t="inlineStr">
        <is>
          <t>3 DORMITÓRIOS</t>
        </is>
      </c>
      <c r="C646" s="3" t="inlineStr">
        <is>
          <t>Gráfico 1 / plot 2</t>
        </is>
      </c>
      <c r="D646" s="3" t="inlineStr">
        <is>
          <t>Coluna1</t>
        </is>
      </c>
      <c r="E646" s="3" t="inlineStr">
        <is>
          <t>10</t>
        </is>
      </c>
      <c r="F646" s="3" t="n">
        <v>0.02335429231361474</v>
      </c>
      <c r="G646" s="3" t="n"/>
      <c r="H646" s="3" t="n">
        <v>0.005</v>
      </c>
      <c r="I646" s="3">
        <f>IF(G646="","PENDENTE",IF(AND(ISNUMBER(F646),ISNUMBER(G646)),IF(ABS(G646-F646)&lt;=H646,"IGUAL","DIVERGENTE"),IF(TRIM(G646&amp;"")=TRIM(F646&amp;""),"IGUAL","DIVERGENTE")))</f>
        <v/>
      </c>
      <c r="J646" s="3" t="n"/>
    </row>
    <row r="647">
      <c r="A647" s="4" t="n">
        <v>46</v>
      </c>
      <c r="B647" s="4" t="inlineStr">
        <is>
          <t>3 DORMITÓRIOS</t>
        </is>
      </c>
      <c r="C647" s="4" t="inlineStr">
        <is>
          <t>Gráfico 1 / plot 2</t>
        </is>
      </c>
      <c r="D647" s="4" t="inlineStr">
        <is>
          <t>Coluna1</t>
        </is>
      </c>
      <c r="E647" s="4" t="inlineStr">
        <is>
          <t>11</t>
        </is>
      </c>
      <c r="F647" s="4" t="n">
        <v>0.1584952978056426</v>
      </c>
      <c r="G647" s="4" t="n"/>
      <c r="H647" s="4" t="n">
        <v>0.005</v>
      </c>
      <c r="I647" s="4">
        <f>IF(G647="","PENDENTE",IF(AND(ISNUMBER(F647),ISNUMBER(G647)),IF(ABS(G647-F647)&lt;=H647,"IGUAL","DIVERGENTE"),IF(TRIM(G647&amp;"")=TRIM(F647&amp;""),"IGUAL","DIVERGENTE")))</f>
        <v/>
      </c>
      <c r="J647" s="4" t="n"/>
    </row>
    <row r="648">
      <c r="A648" s="3" t="n">
        <v>46</v>
      </c>
      <c r="B648" s="3" t="inlineStr">
        <is>
          <t>3 DORMITÓRIOS</t>
        </is>
      </c>
      <c r="C648" s="3" t="inlineStr">
        <is>
          <t>Gráfico 1 / plot 2</t>
        </is>
      </c>
      <c r="D648" s="3" t="inlineStr">
        <is>
          <t>Coluna1</t>
        </is>
      </c>
      <c r="E648" s="3" t="inlineStr">
        <is>
          <t>12</t>
        </is>
      </c>
      <c r="F648" s="3" t="n">
        <v>0.01417902370386415</v>
      </c>
      <c r="G648" s="3" t="n"/>
      <c r="H648" s="3" t="n">
        <v>0.005</v>
      </c>
      <c r="I648" s="3">
        <f>IF(G648="","PENDENTE",IF(AND(ISNUMBER(F648),ISNUMBER(G648)),IF(ABS(G648-F648)&lt;=H648,"IGUAL","DIVERGENTE"),IF(TRIM(G648&amp;"")=TRIM(F648&amp;""),"IGUAL","DIVERGENTE")))</f>
        <v/>
      </c>
      <c r="J648" s="3" t="n"/>
    </row>
    <row r="649">
      <c r="A649" s="4" t="n">
        <v>46</v>
      </c>
      <c r="B649" s="4" t="inlineStr">
        <is>
          <t>3 DORMITÓRIOS</t>
        </is>
      </c>
      <c r="C649" s="4" t="inlineStr">
        <is>
          <t>Gráfico 1 / plot 2</t>
        </is>
      </c>
      <c r="D649" s="4" t="inlineStr">
        <is>
          <t>Coluna1</t>
        </is>
      </c>
      <c r="E649" s="4" t="inlineStr">
        <is>
          <t>13</t>
        </is>
      </c>
      <c r="F649" s="4" t="n">
        <v>0.009071504802561359</v>
      </c>
      <c r="G649" s="4" t="n"/>
      <c r="H649" s="4" t="n">
        <v>0.005</v>
      </c>
      <c r="I649" s="4">
        <f>IF(G649="","PENDENTE",IF(AND(ISNUMBER(F649),ISNUMBER(G649)),IF(ABS(G649-F649)&lt;=H649,"IGUAL","DIVERGENTE"),IF(TRIM(G649&amp;"")=TRIM(F649&amp;""),"IGUAL","DIVERGENTE")))</f>
        <v/>
      </c>
      <c r="J649" s="4" t="n"/>
    </row>
    <row r="650">
      <c r="A650" s="3" t="n">
        <v>47</v>
      </c>
      <c r="B650" s="3" t="inlineStr">
        <is>
          <t>4 DORMITÓRIOS</t>
        </is>
      </c>
      <c r="C650" s="3" t="inlineStr">
        <is>
          <t>Gráfico 1 / plot 1</t>
        </is>
      </c>
      <c r="D650" s="3" t="inlineStr">
        <is>
          <t>Série 1</t>
        </is>
      </c>
      <c r="E650" s="3" t="inlineStr">
        <is>
          <t>4T2022</t>
        </is>
      </c>
      <c r="F650" s="3" t="n">
        <v>12132</v>
      </c>
      <c r="G650" s="3" t="n"/>
      <c r="H650" s="3" t="n">
        <v>0</v>
      </c>
      <c r="I650" s="3">
        <f>IF(G650="","PENDENTE",IF(AND(ISNUMBER(F650),ISNUMBER(G650)),IF(ABS(G650-F650)&lt;=H650,"IGUAL","DIVERGENTE"),IF(TRIM(G650&amp;"")=TRIM(F650&amp;""),"IGUAL","DIVERGENTE")))</f>
        <v/>
      </c>
      <c r="J650" s="3" t="n"/>
    </row>
    <row r="651">
      <c r="A651" s="4" t="n">
        <v>47</v>
      </c>
      <c r="B651" s="4" t="inlineStr">
        <is>
          <t>4 DORMITÓRIOS</t>
        </is>
      </c>
      <c r="C651" s="4" t="inlineStr">
        <is>
          <t>Gráfico 1 / plot 1</t>
        </is>
      </c>
      <c r="D651" s="4" t="inlineStr">
        <is>
          <t>Série 1</t>
        </is>
      </c>
      <c r="E651" s="4" t="inlineStr">
        <is>
          <t>1T2023</t>
        </is>
      </c>
      <c r="F651" s="4" t="n">
        <v>13630</v>
      </c>
      <c r="G651" s="4" t="n"/>
      <c r="H651" s="4" t="n">
        <v>0</v>
      </c>
      <c r="I651" s="4">
        <f>IF(G651="","PENDENTE",IF(AND(ISNUMBER(F651),ISNUMBER(G651)),IF(ABS(G651-F651)&lt;=H651,"IGUAL","DIVERGENTE"),IF(TRIM(G651&amp;"")=TRIM(F651&amp;""),"IGUAL","DIVERGENTE")))</f>
        <v/>
      </c>
      <c r="J651" s="4" t="n"/>
    </row>
    <row r="652">
      <c r="A652" s="3" t="n">
        <v>47</v>
      </c>
      <c r="B652" s="3" t="inlineStr">
        <is>
          <t>4 DORMITÓRIOS</t>
        </is>
      </c>
      <c r="C652" s="3" t="inlineStr">
        <is>
          <t>Gráfico 1 / plot 1</t>
        </is>
      </c>
      <c r="D652" s="3" t="inlineStr">
        <is>
          <t>Série 1</t>
        </is>
      </c>
      <c r="E652" s="3" t="inlineStr">
        <is>
          <t>2T2023</t>
        </is>
      </c>
      <c r="F652" s="3" t="n">
        <v>12733</v>
      </c>
      <c r="G652" s="3" t="n"/>
      <c r="H652" s="3" t="n">
        <v>0</v>
      </c>
      <c r="I652" s="3">
        <f>IF(G652="","PENDENTE",IF(AND(ISNUMBER(F652),ISNUMBER(G652)),IF(ABS(G652-F652)&lt;=H652,"IGUAL","DIVERGENTE"),IF(TRIM(G652&amp;"")=TRIM(F652&amp;""),"IGUAL","DIVERGENTE")))</f>
        <v/>
      </c>
      <c r="J652" s="3" t="n"/>
    </row>
    <row r="653">
      <c r="A653" s="4" t="n">
        <v>47</v>
      </c>
      <c r="B653" s="4" t="inlineStr">
        <is>
          <t>4 DORMITÓRIOS</t>
        </is>
      </c>
      <c r="C653" s="4" t="inlineStr">
        <is>
          <t>Gráfico 1 / plot 1</t>
        </is>
      </c>
      <c r="D653" s="4" t="inlineStr">
        <is>
          <t>Série 1</t>
        </is>
      </c>
      <c r="E653" s="4" t="inlineStr">
        <is>
          <t>3T2023</t>
        </is>
      </c>
      <c r="F653" s="4" t="n">
        <v>12748</v>
      </c>
      <c r="G653" s="4" t="n"/>
      <c r="H653" s="4" t="n">
        <v>0</v>
      </c>
      <c r="I653" s="4">
        <f>IF(G653="","PENDENTE",IF(AND(ISNUMBER(F653),ISNUMBER(G653)),IF(ABS(G653-F653)&lt;=H653,"IGUAL","DIVERGENTE"),IF(TRIM(G653&amp;"")=TRIM(F653&amp;""),"IGUAL","DIVERGENTE")))</f>
        <v/>
      </c>
      <c r="J653" s="4" t="n"/>
    </row>
    <row r="654">
      <c r="A654" s="3" t="n">
        <v>47</v>
      </c>
      <c r="B654" s="3" t="inlineStr">
        <is>
          <t>4 DORMITÓRIOS</t>
        </is>
      </c>
      <c r="C654" s="3" t="inlineStr">
        <is>
          <t>Gráfico 1 / plot 1</t>
        </is>
      </c>
      <c r="D654" s="3" t="inlineStr">
        <is>
          <t>Série 1</t>
        </is>
      </c>
      <c r="E654" s="3" t="inlineStr">
        <is>
          <t>4T2023</t>
        </is>
      </c>
      <c r="F654" s="3" t="n">
        <v>9636</v>
      </c>
      <c r="G654" s="3" t="n"/>
      <c r="H654" s="3" t="n">
        <v>0</v>
      </c>
      <c r="I654" s="3">
        <f>IF(G654="","PENDENTE",IF(AND(ISNUMBER(F654),ISNUMBER(G654)),IF(ABS(G654-F654)&lt;=H654,"IGUAL","DIVERGENTE"),IF(TRIM(G654&amp;"")=TRIM(F654&amp;""),"IGUAL","DIVERGENTE")))</f>
        <v/>
      </c>
      <c r="J654" s="3" t="n"/>
    </row>
    <row r="655">
      <c r="A655" s="4" t="n">
        <v>47</v>
      </c>
      <c r="B655" s="4" t="inlineStr">
        <is>
          <t>4 DORMITÓRIOS</t>
        </is>
      </c>
      <c r="C655" s="4" t="inlineStr">
        <is>
          <t>Gráfico 1 / plot 1</t>
        </is>
      </c>
      <c r="D655" s="4" t="inlineStr">
        <is>
          <t>Série 1</t>
        </is>
      </c>
      <c r="E655" s="4" t="inlineStr">
        <is>
          <t>1T2024</t>
        </is>
      </c>
      <c r="F655" s="4" t="n">
        <v>9947</v>
      </c>
      <c r="G655" s="4" t="n"/>
      <c r="H655" s="4" t="n">
        <v>0</v>
      </c>
      <c r="I655" s="4">
        <f>IF(G655="","PENDENTE",IF(AND(ISNUMBER(F655),ISNUMBER(G655)),IF(ABS(G655-F655)&lt;=H655,"IGUAL","DIVERGENTE"),IF(TRIM(G655&amp;"")=TRIM(F655&amp;""),"IGUAL","DIVERGENTE")))</f>
        <v/>
      </c>
      <c r="J655" s="4" t="n"/>
    </row>
    <row r="656">
      <c r="A656" s="3" t="n">
        <v>47</v>
      </c>
      <c r="B656" s="3" t="inlineStr">
        <is>
          <t>4 DORMITÓRIOS</t>
        </is>
      </c>
      <c r="C656" s="3" t="inlineStr">
        <is>
          <t>Gráfico 1 / plot 1</t>
        </is>
      </c>
      <c r="D656" s="3" t="inlineStr">
        <is>
          <t>Série 1</t>
        </is>
      </c>
      <c r="E656" s="3" t="inlineStr">
        <is>
          <t>2T2024</t>
        </is>
      </c>
      <c r="F656" s="3" t="n">
        <v>9995</v>
      </c>
      <c r="G656" s="3" t="n"/>
      <c r="H656" s="3" t="n">
        <v>0</v>
      </c>
      <c r="I656" s="3">
        <f>IF(G656="","PENDENTE",IF(AND(ISNUMBER(F656),ISNUMBER(G656)),IF(ABS(G656-F656)&lt;=H656,"IGUAL","DIVERGENTE"),IF(TRIM(G656&amp;"")=TRIM(F656&amp;""),"IGUAL","DIVERGENTE")))</f>
        <v/>
      </c>
      <c r="J656" s="3" t="n"/>
    </row>
    <row r="657">
      <c r="A657" s="4" t="n">
        <v>47</v>
      </c>
      <c r="B657" s="4" t="inlineStr">
        <is>
          <t>4 DORMITÓRIOS</t>
        </is>
      </c>
      <c r="C657" s="4" t="inlineStr">
        <is>
          <t>Gráfico 1 / plot 1</t>
        </is>
      </c>
      <c r="D657" s="4" t="inlineStr">
        <is>
          <t>Série 1</t>
        </is>
      </c>
      <c r="E657" s="4" t="inlineStr">
        <is>
          <t>3T2024</t>
        </is>
      </c>
      <c r="F657" s="4" t="n">
        <v>10134</v>
      </c>
      <c r="G657" s="4" t="n"/>
      <c r="H657" s="4" t="n">
        <v>0</v>
      </c>
      <c r="I657" s="4">
        <f>IF(G657="","PENDENTE",IF(AND(ISNUMBER(F657),ISNUMBER(G657)),IF(ABS(G657-F657)&lt;=H657,"IGUAL","DIVERGENTE"),IF(TRIM(G657&amp;"")=TRIM(F657&amp;""),"IGUAL","DIVERGENTE")))</f>
        <v/>
      </c>
      <c r="J657" s="4" t="n"/>
    </row>
    <row r="658">
      <c r="A658" s="3" t="n">
        <v>47</v>
      </c>
      <c r="B658" s="3" t="inlineStr">
        <is>
          <t>4 DORMITÓRIOS</t>
        </is>
      </c>
      <c r="C658" s="3" t="inlineStr">
        <is>
          <t>Gráfico 1 / plot 1</t>
        </is>
      </c>
      <c r="D658" s="3" t="inlineStr">
        <is>
          <t>Série 1</t>
        </is>
      </c>
      <c r="E658" s="3" t="inlineStr">
        <is>
          <t>4T2024</t>
        </is>
      </c>
      <c r="F658" s="3" t="n"/>
      <c r="G658" s="3" t="n"/>
      <c r="H658" s="3" t="n">
        <v>0.005</v>
      </c>
      <c r="I658" s="3">
        <f>IF(G658="","PENDENTE",IF(AND(ISNUMBER(F658),ISNUMBER(G658)),IF(ABS(G658-F658)&lt;=H658,"IGUAL","DIVERGENTE"),IF(TRIM(G658&amp;"")=TRIM(F658&amp;""),"IGUAL","DIVERGENTE")))</f>
        <v/>
      </c>
      <c r="J658" s="3" t="n"/>
    </row>
    <row r="659">
      <c r="A659" s="4" t="n">
        <v>47</v>
      </c>
      <c r="B659" s="4" t="inlineStr">
        <is>
          <t>4 DORMITÓRIOS</t>
        </is>
      </c>
      <c r="C659" s="4" t="inlineStr">
        <is>
          <t>Gráfico 1 / plot 1</t>
        </is>
      </c>
      <c r="D659" s="4" t="inlineStr">
        <is>
          <t>Série 1</t>
        </is>
      </c>
      <c r="E659" s="4" t="inlineStr">
        <is>
          <t>1T2025</t>
        </is>
      </c>
      <c r="F659" s="4" t="n"/>
      <c r="G659" s="4" t="n"/>
      <c r="H659" s="4" t="n">
        <v>0.005</v>
      </c>
      <c r="I659" s="4">
        <f>IF(G659="","PENDENTE",IF(AND(ISNUMBER(F659),ISNUMBER(G659)),IF(ABS(G659-F659)&lt;=H659,"IGUAL","DIVERGENTE"),IF(TRIM(G659&amp;"")=TRIM(F659&amp;""),"IGUAL","DIVERGENTE")))</f>
        <v/>
      </c>
      <c r="J659" s="4" t="n"/>
    </row>
    <row r="660">
      <c r="A660" s="3" t="n">
        <v>47</v>
      </c>
      <c r="B660" s="3" t="inlineStr">
        <is>
          <t>4 DORMITÓRIOS</t>
        </is>
      </c>
      <c r="C660" s="3" t="inlineStr">
        <is>
          <t>Gráfico 1 / plot 1</t>
        </is>
      </c>
      <c r="D660" s="3" t="inlineStr">
        <is>
          <t>Série 1</t>
        </is>
      </c>
      <c r="E660" s="3" t="inlineStr">
        <is>
          <t>2T2025</t>
        </is>
      </c>
      <c r="F660" s="3" t="n"/>
      <c r="G660" s="3" t="n"/>
      <c r="H660" s="3" t="n">
        <v>0.005</v>
      </c>
      <c r="I660" s="3">
        <f>IF(G660="","PENDENTE",IF(AND(ISNUMBER(F660),ISNUMBER(G660)),IF(ABS(G660-F660)&lt;=H660,"IGUAL","DIVERGENTE"),IF(TRIM(G660&amp;"")=TRIM(F660&amp;""),"IGUAL","DIVERGENTE")))</f>
        <v/>
      </c>
      <c r="J660" s="3" t="n"/>
    </row>
    <row r="661">
      <c r="A661" s="4" t="n">
        <v>47</v>
      </c>
      <c r="B661" s="4" t="inlineStr">
        <is>
          <t>4 DORMITÓRIOS</t>
        </is>
      </c>
      <c r="C661" s="4" t="inlineStr">
        <is>
          <t>Gráfico 1 / plot 1</t>
        </is>
      </c>
      <c r="D661" s="4" t="inlineStr">
        <is>
          <t>Série 1</t>
        </is>
      </c>
      <c r="E661" s="4" t="inlineStr">
        <is>
          <t>3T2025</t>
        </is>
      </c>
      <c r="F661" s="4" t="n"/>
      <c r="G661" s="4" t="n"/>
      <c r="H661" s="4" t="n">
        <v>0.005</v>
      </c>
      <c r="I661" s="4">
        <f>IF(G661="","PENDENTE",IF(AND(ISNUMBER(F661),ISNUMBER(G661)),IF(ABS(G661-F661)&lt;=H661,"IGUAL","DIVERGENTE"),IF(TRIM(G661&amp;"")=TRIM(F661&amp;""),"IGUAL","DIVERGENTE")))</f>
        <v/>
      </c>
      <c r="J661" s="4" t="n"/>
    </row>
    <row r="662">
      <c r="A662" s="3" t="n">
        <v>47</v>
      </c>
      <c r="B662" s="3" t="inlineStr">
        <is>
          <t>4 DORMITÓRIOS</t>
        </is>
      </c>
      <c r="C662" s="3" t="inlineStr">
        <is>
          <t>Gráfico 1 / plot 1</t>
        </is>
      </c>
      <c r="D662" s="3" t="inlineStr">
        <is>
          <t>Série 1</t>
        </is>
      </c>
      <c r="E662" s="3" t="inlineStr">
        <is>
          <t>4T2025</t>
        </is>
      </c>
      <c r="F662" s="3" t="n"/>
      <c r="G662" s="3" t="n"/>
      <c r="H662" s="3" t="n">
        <v>0.005</v>
      </c>
      <c r="I662" s="3">
        <f>IF(G662="","PENDENTE",IF(AND(ISNUMBER(F662),ISNUMBER(G662)),IF(ABS(G662-F662)&lt;=H662,"IGUAL","DIVERGENTE"),IF(TRIM(G662&amp;"")=TRIM(F662&amp;""),"IGUAL","DIVERGENTE")))</f>
        <v/>
      </c>
      <c r="J662" s="3" t="n"/>
    </row>
    <row r="663">
      <c r="A663" s="4" t="n">
        <v>47</v>
      </c>
      <c r="B663" s="4" t="inlineStr">
        <is>
          <t>4 DORMITÓRIOS</t>
        </is>
      </c>
      <c r="C663" s="4" t="inlineStr">
        <is>
          <t>Gráfico 1 / plot 2</t>
        </is>
      </c>
      <c r="D663" s="4" t="inlineStr">
        <is>
          <t>Coluna1</t>
        </is>
      </c>
      <c r="E663" s="4" t="inlineStr">
        <is>
          <t>1</t>
        </is>
      </c>
      <c r="F663" s="4" t="n">
        <v>0</v>
      </c>
      <c r="G663" s="4" t="n"/>
      <c r="H663" s="4" t="n">
        <v>0</v>
      </c>
      <c r="I663" s="4">
        <f>IF(G663="","PENDENTE",IF(AND(ISNUMBER(F663),ISNUMBER(G663)),IF(ABS(G663-F663)&lt;=H663,"IGUAL","DIVERGENTE"),IF(TRIM(G663&amp;"")=TRIM(F663&amp;""),"IGUAL","DIVERGENTE")))</f>
        <v/>
      </c>
      <c r="J663" s="4" t="n"/>
    </row>
    <row r="664">
      <c r="A664" s="3" t="n">
        <v>47</v>
      </c>
      <c r="B664" s="3" t="inlineStr">
        <is>
          <t>4 DORMITÓRIOS</t>
        </is>
      </c>
      <c r="C664" s="3" t="inlineStr">
        <is>
          <t>Gráfico 1 / plot 2</t>
        </is>
      </c>
      <c r="D664" s="3" t="inlineStr">
        <is>
          <t>Coluna1</t>
        </is>
      </c>
      <c r="E664" s="3" t="inlineStr">
        <is>
          <t>2</t>
        </is>
      </c>
      <c r="F664" s="3" t="n">
        <v>0.1234751071546323</v>
      </c>
      <c r="G664" s="3" t="n"/>
      <c r="H664" s="3" t="n">
        <v>0.005</v>
      </c>
      <c r="I664" s="3">
        <f>IF(G664="","PENDENTE",IF(AND(ISNUMBER(F664),ISNUMBER(G664)),IF(ABS(G664-F664)&lt;=H664,"IGUAL","DIVERGENTE"),IF(TRIM(G664&amp;"")=TRIM(F664&amp;""),"IGUAL","DIVERGENTE")))</f>
        <v/>
      </c>
      <c r="J664" s="3" t="n"/>
    </row>
    <row r="665">
      <c r="A665" s="4" t="n">
        <v>47</v>
      </c>
      <c r="B665" s="4" t="inlineStr">
        <is>
          <t>4 DORMITÓRIOS</t>
        </is>
      </c>
      <c r="C665" s="4" t="inlineStr">
        <is>
          <t>Gráfico 1 / plot 2</t>
        </is>
      </c>
      <c r="D665" s="4" t="inlineStr">
        <is>
          <t>Coluna1</t>
        </is>
      </c>
      <c r="E665" s="4" t="inlineStr">
        <is>
          <t>3</t>
        </is>
      </c>
      <c r="F665" s="4" t="n">
        <v>-0.06581071166544383</v>
      </c>
      <c r="G665" s="4" t="n"/>
      <c r="H665" s="4" t="n">
        <v>0.005</v>
      </c>
      <c r="I665" s="4">
        <f>IF(G665="","PENDENTE",IF(AND(ISNUMBER(F665),ISNUMBER(G665)),IF(ABS(G665-F665)&lt;=H665,"IGUAL","DIVERGENTE"),IF(TRIM(G665&amp;"")=TRIM(F665&amp;""),"IGUAL","DIVERGENTE")))</f>
        <v/>
      </c>
      <c r="J665" s="4" t="n"/>
    </row>
    <row r="666">
      <c r="A666" s="3" t="n">
        <v>47</v>
      </c>
      <c r="B666" s="3" t="inlineStr">
        <is>
          <t>4 DORMITÓRIOS</t>
        </is>
      </c>
      <c r="C666" s="3" t="inlineStr">
        <is>
          <t>Gráfico 1 / plot 2</t>
        </is>
      </c>
      <c r="D666" s="3" t="inlineStr">
        <is>
          <t>Coluna1</t>
        </is>
      </c>
      <c r="E666" s="3" t="inlineStr">
        <is>
          <t>4</t>
        </is>
      </c>
      <c r="F666" s="3" t="n">
        <v>0.001178041309982003</v>
      </c>
      <c r="G666" s="3" t="n"/>
      <c r="H666" s="3" t="n">
        <v>0.005</v>
      </c>
      <c r="I666" s="3">
        <f>IF(G666="","PENDENTE",IF(AND(ISNUMBER(F666),ISNUMBER(G666)),IF(ABS(G666-F666)&lt;=H666,"IGUAL","DIVERGENTE"),IF(TRIM(G666&amp;"")=TRIM(F666&amp;""),"IGUAL","DIVERGENTE")))</f>
        <v/>
      </c>
      <c r="J666" s="3" t="n"/>
    </row>
    <row r="667">
      <c r="A667" s="4" t="n">
        <v>47</v>
      </c>
      <c r="B667" s="4" t="inlineStr">
        <is>
          <t>4 DORMITÓRIOS</t>
        </is>
      </c>
      <c r="C667" s="4" t="inlineStr">
        <is>
          <t>Gráfico 1 / plot 2</t>
        </is>
      </c>
      <c r="D667" s="4" t="inlineStr">
        <is>
          <t>Coluna1</t>
        </is>
      </c>
      <c r="E667" s="4" t="inlineStr">
        <is>
          <t>5</t>
        </is>
      </c>
      <c r="F667" s="4" t="n">
        <v>-0.2441167241920301</v>
      </c>
      <c r="G667" s="4" t="n"/>
      <c r="H667" s="4" t="n">
        <v>0.005</v>
      </c>
      <c r="I667" s="4">
        <f>IF(G667="","PENDENTE",IF(AND(ISNUMBER(F667),ISNUMBER(G667)),IF(ABS(G667-F667)&lt;=H667,"IGUAL","DIVERGENTE"),IF(TRIM(G667&amp;"")=TRIM(F667&amp;""),"IGUAL","DIVERGENTE")))</f>
        <v/>
      </c>
      <c r="J667" s="4" t="n"/>
    </row>
    <row r="668">
      <c r="A668" s="3" t="n">
        <v>47</v>
      </c>
      <c r="B668" s="3" t="inlineStr">
        <is>
          <t>4 DORMITÓRIOS</t>
        </is>
      </c>
      <c r="C668" s="3" t="inlineStr">
        <is>
          <t>Gráfico 1 / plot 2</t>
        </is>
      </c>
      <c r="D668" s="3" t="inlineStr">
        <is>
          <t>Coluna1</t>
        </is>
      </c>
      <c r="E668" s="3" t="inlineStr">
        <is>
          <t>6</t>
        </is>
      </c>
      <c r="F668" s="3" t="n">
        <v>0.03227480282274797</v>
      </c>
      <c r="G668" s="3" t="n"/>
      <c r="H668" s="3" t="n">
        <v>0.005</v>
      </c>
      <c r="I668" s="3">
        <f>IF(G668="","PENDENTE",IF(AND(ISNUMBER(F668),ISNUMBER(G668)),IF(ABS(G668-F668)&lt;=H668,"IGUAL","DIVERGENTE"),IF(TRIM(G668&amp;"")=TRIM(F668&amp;""),"IGUAL","DIVERGENTE")))</f>
        <v/>
      </c>
      <c r="J668" s="3" t="n"/>
    </row>
    <row r="669">
      <c r="A669" s="4" t="n">
        <v>47</v>
      </c>
      <c r="B669" s="4" t="inlineStr">
        <is>
          <t>4 DORMITÓRIOS</t>
        </is>
      </c>
      <c r="C669" s="4" t="inlineStr">
        <is>
          <t>Gráfico 1 / plot 2</t>
        </is>
      </c>
      <c r="D669" s="4" t="inlineStr">
        <is>
          <t>Coluna1</t>
        </is>
      </c>
      <c r="E669" s="4" t="inlineStr">
        <is>
          <t>7</t>
        </is>
      </c>
      <c r="F669" s="4" t="n">
        <v>0.004825575550417183</v>
      </c>
      <c r="G669" s="4" t="n"/>
      <c r="H669" s="4" t="n">
        <v>0.005</v>
      </c>
      <c r="I669" s="4">
        <f>IF(G669="","PENDENTE",IF(AND(ISNUMBER(F669),ISNUMBER(G669)),IF(ABS(G669-F669)&lt;=H669,"IGUAL","DIVERGENTE"),IF(TRIM(G669&amp;"")=TRIM(F669&amp;""),"IGUAL","DIVERGENTE")))</f>
        <v/>
      </c>
      <c r="J669" s="4" t="n"/>
    </row>
    <row r="670">
      <c r="A670" s="3" t="n">
        <v>47</v>
      </c>
      <c r="B670" s="3" t="inlineStr">
        <is>
          <t>4 DORMITÓRIOS</t>
        </is>
      </c>
      <c r="C670" s="3" t="inlineStr">
        <is>
          <t>Gráfico 1 / plot 2</t>
        </is>
      </c>
      <c r="D670" s="3" t="inlineStr">
        <is>
          <t>Coluna1</t>
        </is>
      </c>
      <c r="E670" s="3" t="inlineStr">
        <is>
          <t>8</t>
        </is>
      </c>
      <c r="F670" s="3" t="n">
        <v>0.01390695347673843</v>
      </c>
      <c r="G670" s="3" t="n"/>
      <c r="H670" s="3" t="n">
        <v>0.005</v>
      </c>
      <c r="I670" s="3">
        <f>IF(G670="","PENDENTE",IF(AND(ISNUMBER(F670),ISNUMBER(G670)),IF(ABS(G670-F670)&lt;=H670,"IGUAL","DIVERGENTE"),IF(TRIM(G670&amp;"")=TRIM(F670&amp;""),"IGUAL","DIVERGENTE")))</f>
        <v/>
      </c>
      <c r="J670" s="3" t="n"/>
    </row>
    <row r="671">
      <c r="A671" s="4" t="n">
        <v>47</v>
      </c>
      <c r="B671" s="4" t="inlineStr">
        <is>
          <t>4 DORMITÓRIOS</t>
        </is>
      </c>
      <c r="C671" s="4" t="inlineStr">
        <is>
          <t>Gráfico 1 / plot 2</t>
        </is>
      </c>
      <c r="D671" s="4" t="inlineStr">
        <is>
          <t>Coluna1</t>
        </is>
      </c>
      <c r="E671" s="4" t="inlineStr">
        <is>
          <t>9</t>
        </is>
      </c>
      <c r="F671" s="4" t="n">
        <v>-1</v>
      </c>
      <c r="G671" s="4" t="n"/>
      <c r="H671" s="4" t="n">
        <v>0</v>
      </c>
      <c r="I671" s="4">
        <f>IF(G671="","PENDENTE",IF(AND(ISNUMBER(F671),ISNUMBER(G671)),IF(ABS(G671-F671)&lt;=H671,"IGUAL","DIVERGENTE"),IF(TRIM(G671&amp;"")=TRIM(F671&amp;""),"IGUAL","DIVERGENTE")))</f>
        <v/>
      </c>
      <c r="J671" s="4" t="n"/>
    </row>
    <row r="672">
      <c r="A672" s="3" t="n">
        <v>47</v>
      </c>
      <c r="B672" s="3" t="inlineStr">
        <is>
          <t>4 DORMITÓRIOS</t>
        </is>
      </c>
      <c r="C672" s="3" t="inlineStr">
        <is>
          <t>Gráfico 1 / plot 2</t>
        </is>
      </c>
      <c r="D672" s="3" t="inlineStr">
        <is>
          <t>Coluna1</t>
        </is>
      </c>
      <c r="E672" s="3" t="inlineStr">
        <is>
          <t>10</t>
        </is>
      </c>
      <c r="F672" s="3" t="n">
        <v>0</v>
      </c>
      <c r="G672" s="3" t="n"/>
      <c r="H672" s="3" t="n">
        <v>0</v>
      </c>
      <c r="I672" s="3">
        <f>IF(G672="","PENDENTE",IF(AND(ISNUMBER(F672),ISNUMBER(G672)),IF(ABS(G672-F672)&lt;=H672,"IGUAL","DIVERGENTE"),IF(TRIM(G672&amp;"")=TRIM(F672&amp;""),"IGUAL","DIVERGENTE")))</f>
        <v/>
      </c>
      <c r="J672" s="3" t="n"/>
    </row>
    <row r="673">
      <c r="A673" s="4" t="n">
        <v>47</v>
      </c>
      <c r="B673" s="4" t="inlineStr">
        <is>
          <t>4 DORMITÓRIOS</t>
        </is>
      </c>
      <c r="C673" s="4" t="inlineStr">
        <is>
          <t>Gráfico 1 / plot 2</t>
        </is>
      </c>
      <c r="D673" s="4" t="inlineStr">
        <is>
          <t>Coluna1</t>
        </is>
      </c>
      <c r="E673" s="4" t="inlineStr">
        <is>
          <t>11</t>
        </is>
      </c>
      <c r="F673" s="4" t="n">
        <v>0</v>
      </c>
      <c r="G673" s="4" t="n"/>
      <c r="H673" s="4" t="n">
        <v>0</v>
      </c>
      <c r="I673" s="4">
        <f>IF(G673="","PENDENTE",IF(AND(ISNUMBER(F673),ISNUMBER(G673)),IF(ABS(G673-F673)&lt;=H673,"IGUAL","DIVERGENTE"),IF(TRIM(G673&amp;"")=TRIM(F673&amp;""),"IGUAL","DIVERGENTE")))</f>
        <v/>
      </c>
      <c r="J673" s="4" t="n"/>
    </row>
    <row r="674">
      <c r="A674" s="3" t="n">
        <v>47</v>
      </c>
      <c r="B674" s="3" t="inlineStr">
        <is>
          <t>4 DORMITÓRIOS</t>
        </is>
      </c>
      <c r="C674" s="3" t="inlineStr">
        <is>
          <t>Gráfico 1 / plot 2</t>
        </is>
      </c>
      <c r="D674" s="3" t="inlineStr">
        <is>
          <t>Coluna1</t>
        </is>
      </c>
      <c r="E674" s="3" t="inlineStr">
        <is>
          <t>12</t>
        </is>
      </c>
      <c r="F674" s="3" t="n">
        <v>0</v>
      </c>
      <c r="G674" s="3" t="n"/>
      <c r="H674" s="3" t="n">
        <v>0</v>
      </c>
      <c r="I674" s="3">
        <f>IF(G674="","PENDENTE",IF(AND(ISNUMBER(F674),ISNUMBER(G674)),IF(ABS(G674-F674)&lt;=H674,"IGUAL","DIVERGENTE"),IF(TRIM(G674&amp;"")=TRIM(F674&amp;""),"IGUAL","DIVERGENTE")))</f>
        <v/>
      </c>
      <c r="J674" s="3" t="n"/>
    </row>
    <row r="675">
      <c r="A675" s="4" t="n">
        <v>47</v>
      </c>
      <c r="B675" s="4" t="inlineStr">
        <is>
          <t>4 DORMITÓRIOS</t>
        </is>
      </c>
      <c r="C675" s="4" t="inlineStr">
        <is>
          <t>Gráfico 1 / plot 2</t>
        </is>
      </c>
      <c r="D675" s="4" t="inlineStr">
        <is>
          <t>Coluna1</t>
        </is>
      </c>
      <c r="E675" s="4" t="inlineStr">
        <is>
          <t>13</t>
        </is>
      </c>
      <c r="F675" s="4" t="n">
        <v>0</v>
      </c>
      <c r="G675" s="4" t="n"/>
      <c r="H675" s="4" t="n">
        <v>0</v>
      </c>
      <c r="I675" s="4">
        <f>IF(G675="","PENDENTE",IF(AND(ISNUMBER(F675),ISNUMBER(G675)),IF(ABS(G675-F675)&lt;=H675,"IGUAL","DIVERGENTE"),IF(TRIM(G675&amp;"")=TRIM(F675&amp;""),"IGUAL","DIVERGENTE")))</f>
        <v/>
      </c>
      <c r="J675" s="4" t="n"/>
    </row>
    <row r="676">
      <c r="A676" s="3" t="n">
        <v>49</v>
      </c>
      <c r="B676" s="3" t="inlineStr">
        <is>
          <t>TICKET MÉDIO (R$ Mil) POR PADRÃO RESIDENCIAL</t>
        </is>
      </c>
      <c r="C676" s="3" t="inlineStr">
        <is>
          <t>Gráfico 1 / plot 1</t>
        </is>
      </c>
      <c r="D676" s="3" t="inlineStr">
        <is>
          <t>Preço Médio</t>
        </is>
      </c>
      <c r="E676" s="3" t="inlineStr">
        <is>
          <t>Compacto</t>
        </is>
      </c>
      <c r="F676" s="3" t="n">
        <v>294.949</v>
      </c>
      <c r="G676" s="3" t="n"/>
      <c r="H676" s="3" t="n">
        <v>0.005</v>
      </c>
      <c r="I676" s="3">
        <f>IF(G676="","PENDENTE",IF(AND(ISNUMBER(F676),ISNUMBER(G676)),IF(ABS(G676-F676)&lt;=H676,"IGUAL","DIVERGENTE"),IF(TRIM(G676&amp;"")=TRIM(F676&amp;""),"IGUAL","DIVERGENTE")))</f>
        <v/>
      </c>
      <c r="J676" s="3" t="n"/>
    </row>
    <row r="677">
      <c r="A677" s="4" t="n">
        <v>49</v>
      </c>
      <c r="B677" s="4" t="inlineStr">
        <is>
          <t>TICKET MÉDIO (R$ Mil) POR PADRÃO RESIDENCIAL</t>
        </is>
      </c>
      <c r="C677" s="4" t="inlineStr">
        <is>
          <t>Gráfico 1 / plot 1</t>
        </is>
      </c>
      <c r="D677" s="4" t="inlineStr">
        <is>
          <t>Preço Médio</t>
        </is>
      </c>
      <c r="E677" s="4" t="inlineStr">
        <is>
          <t xml:space="preserve">Econômico </t>
        </is>
      </c>
      <c r="F677" s="4" t="n">
        <v>243.908</v>
      </c>
      <c r="G677" s="4" t="n"/>
      <c r="H677" s="4" t="n">
        <v>0.005</v>
      </c>
      <c r="I677" s="4">
        <f>IF(G677="","PENDENTE",IF(AND(ISNUMBER(F677),ISNUMBER(G677)),IF(ABS(G677-F677)&lt;=H677,"IGUAL","DIVERGENTE"),IF(TRIM(G677&amp;"")=TRIM(F677&amp;""),"IGUAL","DIVERGENTE")))</f>
        <v/>
      </c>
      <c r="J677" s="4" t="n"/>
    </row>
    <row r="678">
      <c r="A678" s="3" t="n">
        <v>49</v>
      </c>
      <c r="B678" s="3" t="inlineStr">
        <is>
          <t>TICKET MÉDIO (R$ Mil) POR PADRÃO RESIDENCIAL</t>
        </is>
      </c>
      <c r="C678" s="3" t="inlineStr">
        <is>
          <t>Gráfico 1 / plot 1</t>
        </is>
      </c>
      <c r="D678" s="3" t="inlineStr">
        <is>
          <t>Preço Médio</t>
        </is>
      </c>
      <c r="E678" s="3" t="inlineStr">
        <is>
          <t>Standard</t>
        </is>
      </c>
      <c r="F678" s="3" t="n">
        <v>374.766</v>
      </c>
      <c r="G678" s="3" t="n"/>
      <c r="H678" s="3" t="n">
        <v>0.005</v>
      </c>
      <c r="I678" s="3">
        <f>IF(G678="","PENDENTE",IF(AND(ISNUMBER(F678),ISNUMBER(G678)),IF(ABS(G678-F678)&lt;=H678,"IGUAL","DIVERGENTE"),IF(TRIM(G678&amp;"")=TRIM(F678&amp;""),"IGUAL","DIVERGENTE")))</f>
        <v/>
      </c>
      <c r="J678" s="3" t="n"/>
    </row>
    <row r="679">
      <c r="A679" s="4" t="n">
        <v>49</v>
      </c>
      <c r="B679" s="4" t="inlineStr">
        <is>
          <t>TICKET MÉDIO (R$ Mil) POR PADRÃO RESIDENCIAL</t>
        </is>
      </c>
      <c r="C679" s="4" t="inlineStr">
        <is>
          <t>Gráfico 1 / plot 1</t>
        </is>
      </c>
      <c r="D679" s="4" t="inlineStr">
        <is>
          <t>Preço Médio</t>
        </is>
      </c>
      <c r="E679" s="4" t="inlineStr">
        <is>
          <t>Médio</t>
        </is>
      </c>
      <c r="F679" s="4" t="n">
        <v>844.699</v>
      </c>
      <c r="G679" s="4" t="n"/>
      <c r="H679" s="4" t="n">
        <v>0.005</v>
      </c>
      <c r="I679" s="4">
        <f>IF(G679="","PENDENTE",IF(AND(ISNUMBER(F679),ISNUMBER(G679)),IF(ABS(G679-F679)&lt;=H679,"IGUAL","DIVERGENTE"),IF(TRIM(G679&amp;"")=TRIM(F679&amp;""),"IGUAL","DIVERGENTE")))</f>
        <v/>
      </c>
      <c r="J679" s="4" t="n"/>
    </row>
    <row r="680">
      <c r="A680" s="3" t="n">
        <v>49</v>
      </c>
      <c r="B680" s="3" t="inlineStr">
        <is>
          <t>TICKET MÉDIO (R$ Mil) POR PADRÃO RESIDENCIAL</t>
        </is>
      </c>
      <c r="C680" s="3" t="inlineStr">
        <is>
          <t>Gráfico 1 / plot 1</t>
        </is>
      </c>
      <c r="D680" s="3" t="inlineStr">
        <is>
          <t>Preço Médio</t>
        </is>
      </c>
      <c r="E680" s="3" t="inlineStr">
        <is>
          <t>Alto</t>
        </is>
      </c>
      <c r="F680" s="3" t="n">
        <v>1482.603</v>
      </c>
      <c r="G680" s="3" t="n"/>
      <c r="H680" s="3" t="n">
        <v>0.005</v>
      </c>
      <c r="I680" s="3">
        <f>IF(G680="","PENDENTE",IF(AND(ISNUMBER(F680),ISNUMBER(G680)),IF(ABS(G680-F680)&lt;=H680,"IGUAL","DIVERGENTE"),IF(TRIM(G680&amp;"")=TRIM(F680&amp;""),"IGUAL","DIVERGENTE")))</f>
        <v/>
      </c>
      <c r="J680" s="3" t="n"/>
    </row>
    <row r="681">
      <c r="A681" s="4" t="n">
        <v>49</v>
      </c>
      <c r="B681" s="4" t="inlineStr">
        <is>
          <t>TICKET MÉDIO (R$ Mil) POR PADRÃO RESIDENCIAL</t>
        </is>
      </c>
      <c r="C681" s="4" t="inlineStr">
        <is>
          <t>Gráfico 1 / plot 1</t>
        </is>
      </c>
      <c r="D681" s="4" t="inlineStr">
        <is>
          <t>Preço Médio</t>
        </is>
      </c>
      <c r="E681" s="4" t="inlineStr">
        <is>
          <t>Luxo</t>
        </is>
      </c>
      <c r="F681" s="4" t="n">
        <v>3005.325</v>
      </c>
      <c r="G681" s="4" t="n"/>
      <c r="H681" s="4" t="n">
        <v>0.005</v>
      </c>
      <c r="I681" s="4">
        <f>IF(G681="","PENDENTE",IF(AND(ISNUMBER(F681),ISNUMBER(G681)),IF(ABS(G681-F681)&lt;=H681,"IGUAL","DIVERGENTE"),IF(TRIM(G681&amp;"")=TRIM(F681&amp;""),"IGUAL","DIVERGENTE")))</f>
        <v/>
      </c>
      <c r="J681" s="4" t="n"/>
    </row>
    <row r="682">
      <c r="A682" s="3" t="n">
        <v>49</v>
      </c>
      <c r="B682" s="3" t="inlineStr">
        <is>
          <t>TICKET MÉDIO (R$ Mil) POR PADRÃO RESIDENCIAL</t>
        </is>
      </c>
      <c r="C682" s="3" t="inlineStr">
        <is>
          <t>Gráfico 1 / plot 1</t>
        </is>
      </c>
      <c r="D682" s="3" t="inlineStr">
        <is>
          <t>Preço Médio</t>
        </is>
      </c>
      <c r="E682" s="3" t="inlineStr">
        <is>
          <t>Super Luxo</t>
        </is>
      </c>
      <c r="F682" s="3" t="n">
        <v>0</v>
      </c>
      <c r="G682" s="3" t="n"/>
      <c r="H682" s="3" t="n">
        <v>0</v>
      </c>
      <c r="I682" s="3">
        <f>IF(G682="","PENDENTE",IF(AND(ISNUMBER(F682),ISNUMBER(G682)),IF(ABS(G682-F682)&lt;=H682,"IGUAL","DIVERGENTE"),IF(TRIM(G682&amp;"")=TRIM(F682&amp;""),"IGUAL","DIVERGENTE")))</f>
        <v/>
      </c>
      <c r="J682" s="3" t="n"/>
    </row>
    <row r="683">
      <c r="A683" s="4" t="n">
        <v>49</v>
      </c>
      <c r="B683" s="4" t="inlineStr">
        <is>
          <t>TICKET MÉDIO (R$ Mil) POR PADRÃO RESIDENCIAL</t>
        </is>
      </c>
      <c r="C683" s="4" t="inlineStr">
        <is>
          <t>Gráfico 1 / plot 2</t>
        </is>
      </c>
      <c r="D683" s="4" t="inlineStr">
        <is>
          <t>Média Geral</t>
        </is>
      </c>
      <c r="E683" s="4" t="inlineStr">
        <is>
          <t>Compacto</t>
        </is>
      </c>
      <c r="F683" s="4" t="n">
        <v>353.546</v>
      </c>
      <c r="G683" s="4" t="n"/>
      <c r="H683" s="4" t="n">
        <v>0.005</v>
      </c>
      <c r="I683" s="4">
        <f>IF(G683="","PENDENTE",IF(AND(ISNUMBER(F683),ISNUMBER(G683)),IF(ABS(G683-F683)&lt;=H683,"IGUAL","DIVERGENTE"),IF(TRIM(G683&amp;"")=TRIM(F683&amp;""),"IGUAL","DIVERGENTE")))</f>
        <v/>
      </c>
      <c r="J683" s="4" t="n"/>
    </row>
    <row r="684">
      <c r="A684" s="3" t="n">
        <v>49</v>
      </c>
      <c r="B684" s="3" t="inlineStr">
        <is>
          <t>TICKET MÉDIO (R$ Mil) POR PADRÃO RESIDENCIAL</t>
        </is>
      </c>
      <c r="C684" s="3" t="inlineStr">
        <is>
          <t>Gráfico 1 / plot 2</t>
        </is>
      </c>
      <c r="D684" s="3" t="inlineStr">
        <is>
          <t>Média Geral</t>
        </is>
      </c>
      <c r="E684" s="3" t="inlineStr">
        <is>
          <t xml:space="preserve">Econômico </t>
        </is>
      </c>
      <c r="F684" s="3" t="n">
        <v>353.546</v>
      </c>
      <c r="G684" s="3" t="n"/>
      <c r="H684" s="3" t="n">
        <v>0.005</v>
      </c>
      <c r="I684" s="3">
        <f>IF(G684="","PENDENTE",IF(AND(ISNUMBER(F684),ISNUMBER(G684)),IF(ABS(G684-F684)&lt;=H684,"IGUAL","DIVERGENTE"),IF(TRIM(G684&amp;"")=TRIM(F684&amp;""),"IGUAL","DIVERGENTE")))</f>
        <v/>
      </c>
      <c r="J684" s="3" t="n"/>
    </row>
    <row r="685">
      <c r="A685" s="4" t="n">
        <v>49</v>
      </c>
      <c r="B685" s="4" t="inlineStr">
        <is>
          <t>TICKET MÉDIO (R$ Mil) POR PADRÃO RESIDENCIAL</t>
        </is>
      </c>
      <c r="C685" s="4" t="inlineStr">
        <is>
          <t>Gráfico 1 / plot 2</t>
        </is>
      </c>
      <c r="D685" s="4" t="inlineStr">
        <is>
          <t>Média Geral</t>
        </is>
      </c>
      <c r="E685" s="4" t="inlineStr">
        <is>
          <t>Standard</t>
        </is>
      </c>
      <c r="F685" s="4" t="n">
        <v>353.546</v>
      </c>
      <c r="G685" s="4" t="n"/>
      <c r="H685" s="4" t="n">
        <v>0.005</v>
      </c>
      <c r="I685" s="4">
        <f>IF(G685="","PENDENTE",IF(AND(ISNUMBER(F685),ISNUMBER(G685)),IF(ABS(G685-F685)&lt;=H685,"IGUAL","DIVERGENTE"),IF(TRIM(G685&amp;"")=TRIM(F685&amp;""),"IGUAL","DIVERGENTE")))</f>
        <v/>
      </c>
      <c r="J685" s="4" t="n"/>
    </row>
    <row r="686">
      <c r="A686" s="3" t="n">
        <v>49</v>
      </c>
      <c r="B686" s="3" t="inlineStr">
        <is>
          <t>TICKET MÉDIO (R$ Mil) POR PADRÃO RESIDENCIAL</t>
        </is>
      </c>
      <c r="C686" s="3" t="inlineStr">
        <is>
          <t>Gráfico 1 / plot 2</t>
        </is>
      </c>
      <c r="D686" s="3" t="inlineStr">
        <is>
          <t>Média Geral</t>
        </is>
      </c>
      <c r="E686" s="3" t="inlineStr">
        <is>
          <t>Médio</t>
        </is>
      </c>
      <c r="F686" s="3" t="n">
        <v>353.546</v>
      </c>
      <c r="G686" s="3" t="n"/>
      <c r="H686" s="3" t="n">
        <v>0.005</v>
      </c>
      <c r="I686" s="3">
        <f>IF(G686="","PENDENTE",IF(AND(ISNUMBER(F686),ISNUMBER(G686)),IF(ABS(G686-F686)&lt;=H686,"IGUAL","DIVERGENTE"),IF(TRIM(G686&amp;"")=TRIM(F686&amp;""),"IGUAL","DIVERGENTE")))</f>
        <v/>
      </c>
      <c r="J686" s="3" t="n"/>
    </row>
    <row r="687">
      <c r="A687" s="4" t="n">
        <v>49</v>
      </c>
      <c r="B687" s="4" t="inlineStr">
        <is>
          <t>TICKET MÉDIO (R$ Mil) POR PADRÃO RESIDENCIAL</t>
        </is>
      </c>
      <c r="C687" s="4" t="inlineStr">
        <is>
          <t>Gráfico 1 / plot 2</t>
        </is>
      </c>
      <c r="D687" s="4" t="inlineStr">
        <is>
          <t>Média Geral</t>
        </is>
      </c>
      <c r="E687" s="4" t="inlineStr">
        <is>
          <t>Alto</t>
        </is>
      </c>
      <c r="F687" s="4" t="n">
        <v>353.546</v>
      </c>
      <c r="G687" s="4" t="n"/>
      <c r="H687" s="4" t="n">
        <v>0.005</v>
      </c>
      <c r="I687" s="4">
        <f>IF(G687="","PENDENTE",IF(AND(ISNUMBER(F687),ISNUMBER(G687)),IF(ABS(G687-F687)&lt;=H687,"IGUAL","DIVERGENTE"),IF(TRIM(G687&amp;"")=TRIM(F687&amp;""),"IGUAL","DIVERGENTE")))</f>
        <v/>
      </c>
      <c r="J687" s="4" t="n"/>
    </row>
    <row r="688">
      <c r="A688" s="3" t="n">
        <v>49</v>
      </c>
      <c r="B688" s="3" t="inlineStr">
        <is>
          <t>TICKET MÉDIO (R$ Mil) POR PADRÃO RESIDENCIAL</t>
        </is>
      </c>
      <c r="C688" s="3" t="inlineStr">
        <is>
          <t>Gráfico 1 / plot 2</t>
        </is>
      </c>
      <c r="D688" s="3" t="inlineStr">
        <is>
          <t>Média Geral</t>
        </is>
      </c>
      <c r="E688" s="3" t="inlineStr">
        <is>
          <t>Luxo</t>
        </is>
      </c>
      <c r="F688" s="3" t="n">
        <v>353.546</v>
      </c>
      <c r="G688" s="3" t="n"/>
      <c r="H688" s="3" t="n">
        <v>0.005</v>
      </c>
      <c r="I688" s="3">
        <f>IF(G688="","PENDENTE",IF(AND(ISNUMBER(F688),ISNUMBER(G688)),IF(ABS(G688-F688)&lt;=H688,"IGUAL","DIVERGENTE"),IF(TRIM(G688&amp;"")=TRIM(F688&amp;""),"IGUAL","DIVERGENTE")))</f>
        <v/>
      </c>
      <c r="J688" s="3" t="n"/>
    </row>
    <row r="689">
      <c r="A689" s="4" t="n">
        <v>49</v>
      </c>
      <c r="B689" s="4" t="inlineStr">
        <is>
          <t>TICKET MÉDIO (R$ Mil) POR PADRÃO RESIDENCIAL</t>
        </is>
      </c>
      <c r="C689" s="4" t="inlineStr">
        <is>
          <t>Gráfico 1 / plot 2</t>
        </is>
      </c>
      <c r="D689" s="4" t="inlineStr">
        <is>
          <t>Média Geral</t>
        </is>
      </c>
      <c r="E689" s="4" t="inlineStr">
        <is>
          <t>Super Luxo</t>
        </is>
      </c>
      <c r="F689" s="4" t="n">
        <v>353.546</v>
      </c>
      <c r="G689" s="4" t="n"/>
      <c r="H689" s="4" t="n">
        <v>0.005</v>
      </c>
      <c r="I689" s="4">
        <f>IF(G689="","PENDENTE",IF(AND(ISNUMBER(F689),ISNUMBER(G689)),IF(ABS(G689-F689)&lt;=H689,"IGUAL","DIVERGENTE"),IF(TRIM(G689&amp;"")=TRIM(F689&amp;""),"IGUAL","DIVERGENTE")))</f>
        <v/>
      </c>
      <c r="J689" s="4" t="n"/>
    </row>
    <row r="690">
      <c r="A690" s="3" t="n">
        <v>50</v>
      </c>
      <c r="B690" s="3" t="inlineStr">
        <is>
          <t>PREÇO MÉDIO M²/PRIVATIVO POR PADRÃO RESIDENCIAL</t>
        </is>
      </c>
      <c r="C690" s="3" t="inlineStr">
        <is>
          <t>Gráfico 1 / plot 1</t>
        </is>
      </c>
      <c r="D690" s="3" t="inlineStr">
        <is>
          <t>R$/m²</t>
        </is>
      </c>
      <c r="E690" s="3" t="inlineStr">
        <is>
          <t>Compacto</t>
        </is>
      </c>
      <c r="F690" s="3" t="n">
        <v>10594</v>
      </c>
      <c r="G690" s="3" t="n"/>
      <c r="H690" s="3" t="n">
        <v>0</v>
      </c>
      <c r="I690" s="3">
        <f>IF(G690="","PENDENTE",IF(AND(ISNUMBER(F690),ISNUMBER(G690)),IF(ABS(G690-F690)&lt;=H690,"IGUAL","DIVERGENTE"),IF(TRIM(G690&amp;"")=TRIM(F690&amp;""),"IGUAL","DIVERGENTE")))</f>
        <v/>
      </c>
      <c r="J690" s="3" t="n"/>
    </row>
    <row r="691">
      <c r="A691" s="4" t="n">
        <v>50</v>
      </c>
      <c r="B691" s="4" t="inlineStr">
        <is>
          <t>PREÇO MÉDIO M²/PRIVATIVO POR PADRÃO RESIDENCIAL</t>
        </is>
      </c>
      <c r="C691" s="4" t="inlineStr">
        <is>
          <t>Gráfico 1 / plot 1</t>
        </is>
      </c>
      <c r="D691" s="4" t="inlineStr">
        <is>
          <t>R$/m²</t>
        </is>
      </c>
      <c r="E691" s="4" t="inlineStr">
        <is>
          <t>Econômico</t>
        </is>
      </c>
      <c r="F691" s="4" t="n">
        <v>5347</v>
      </c>
      <c r="G691" s="4" t="n"/>
      <c r="H691" s="4" t="n">
        <v>0</v>
      </c>
      <c r="I691" s="4">
        <f>IF(G691="","PENDENTE",IF(AND(ISNUMBER(F691),ISNUMBER(G691)),IF(ABS(G691-F691)&lt;=H691,"IGUAL","DIVERGENTE"),IF(TRIM(G691&amp;"")=TRIM(F691&amp;""),"IGUAL","DIVERGENTE")))</f>
        <v/>
      </c>
      <c r="J691" s="4" t="n"/>
    </row>
    <row r="692">
      <c r="A692" s="3" t="n">
        <v>50</v>
      </c>
      <c r="B692" s="3" t="inlineStr">
        <is>
          <t>PREÇO MÉDIO M²/PRIVATIVO POR PADRÃO RESIDENCIAL</t>
        </is>
      </c>
      <c r="C692" s="3" t="inlineStr">
        <is>
          <t>Gráfico 1 / plot 1</t>
        </is>
      </c>
      <c r="D692" s="3" t="inlineStr">
        <is>
          <t>R$/m²</t>
        </is>
      </c>
      <c r="E692" s="3" t="inlineStr">
        <is>
          <t>Standard</t>
        </is>
      </c>
      <c r="F692" s="3" t="n">
        <v>6839</v>
      </c>
      <c r="G692" s="3" t="n"/>
      <c r="H692" s="3" t="n">
        <v>0</v>
      </c>
      <c r="I692" s="3">
        <f>IF(G692="","PENDENTE",IF(AND(ISNUMBER(F692),ISNUMBER(G692)),IF(ABS(G692-F692)&lt;=H692,"IGUAL","DIVERGENTE"),IF(TRIM(G692&amp;"")=TRIM(F692&amp;""),"IGUAL","DIVERGENTE")))</f>
        <v/>
      </c>
      <c r="J692" s="3" t="n"/>
    </row>
    <row r="693">
      <c r="A693" s="4" t="n">
        <v>50</v>
      </c>
      <c r="B693" s="4" t="inlineStr">
        <is>
          <t>PREÇO MÉDIO M²/PRIVATIVO POR PADRÃO RESIDENCIAL</t>
        </is>
      </c>
      <c r="C693" s="4" t="inlineStr">
        <is>
          <t>Gráfico 1 / plot 1</t>
        </is>
      </c>
      <c r="D693" s="4" t="inlineStr">
        <is>
          <t>R$/m²</t>
        </is>
      </c>
      <c r="E693" s="4" t="inlineStr">
        <is>
          <t>Médio</t>
        </is>
      </c>
      <c r="F693" s="4" t="n">
        <v>9294</v>
      </c>
      <c r="G693" s="4" t="n"/>
      <c r="H693" s="4" t="n">
        <v>0</v>
      </c>
      <c r="I693" s="4">
        <f>IF(G693="","PENDENTE",IF(AND(ISNUMBER(F693),ISNUMBER(G693)),IF(ABS(G693-F693)&lt;=H693,"IGUAL","DIVERGENTE"),IF(TRIM(G693&amp;"")=TRIM(F693&amp;""),"IGUAL","DIVERGENTE")))</f>
        <v/>
      </c>
      <c r="J693" s="4" t="n"/>
    </row>
    <row r="694">
      <c r="A694" s="3" t="n">
        <v>50</v>
      </c>
      <c r="B694" s="3" t="inlineStr">
        <is>
          <t>PREÇO MÉDIO M²/PRIVATIVO POR PADRÃO RESIDENCIAL</t>
        </is>
      </c>
      <c r="C694" s="3" t="inlineStr">
        <is>
          <t>Gráfico 1 / plot 1</t>
        </is>
      </c>
      <c r="D694" s="3" t="inlineStr">
        <is>
          <t>R$/m²</t>
        </is>
      </c>
      <c r="E694" s="3" t="inlineStr">
        <is>
          <t>Alto</t>
        </is>
      </c>
      <c r="F694" s="3" t="n">
        <v>11526</v>
      </c>
      <c r="G694" s="3" t="n"/>
      <c r="H694" s="3" t="n">
        <v>0</v>
      </c>
      <c r="I694" s="3">
        <f>IF(G694="","PENDENTE",IF(AND(ISNUMBER(F694),ISNUMBER(G694)),IF(ABS(G694-F694)&lt;=H694,"IGUAL","DIVERGENTE"),IF(TRIM(G694&amp;"")=TRIM(F694&amp;""),"IGUAL","DIVERGENTE")))</f>
        <v/>
      </c>
      <c r="J694" s="3" t="n"/>
    </row>
    <row r="695">
      <c r="A695" s="4" t="n">
        <v>50</v>
      </c>
      <c r="B695" s="4" t="inlineStr">
        <is>
          <t>PREÇO MÉDIO M²/PRIVATIVO POR PADRÃO RESIDENCIAL</t>
        </is>
      </c>
      <c r="C695" s="4" t="inlineStr">
        <is>
          <t>Gráfico 1 / plot 1</t>
        </is>
      </c>
      <c r="D695" s="4" t="inlineStr">
        <is>
          <t>R$/m²</t>
        </is>
      </c>
      <c r="E695" s="4" t="inlineStr">
        <is>
          <t>Luxo</t>
        </is>
      </c>
      <c r="F695" s="4" t="n">
        <v>13477</v>
      </c>
      <c r="G695" s="4" t="n"/>
      <c r="H695" s="4" t="n">
        <v>0</v>
      </c>
      <c r="I695" s="4">
        <f>IF(G695="","PENDENTE",IF(AND(ISNUMBER(F695),ISNUMBER(G695)),IF(ABS(G695-F695)&lt;=H695,"IGUAL","DIVERGENTE"),IF(TRIM(G695&amp;"")=TRIM(F695&amp;""),"IGUAL","DIVERGENTE")))</f>
        <v/>
      </c>
      <c r="J695" s="4" t="n"/>
    </row>
    <row r="696">
      <c r="A696" s="3" t="n">
        <v>50</v>
      </c>
      <c r="B696" s="3" t="inlineStr">
        <is>
          <t>PREÇO MÉDIO M²/PRIVATIVO POR PADRÃO RESIDENCIAL</t>
        </is>
      </c>
      <c r="C696" s="3" t="inlineStr">
        <is>
          <t>Gráfico 1 / plot 1</t>
        </is>
      </c>
      <c r="D696" s="3" t="inlineStr">
        <is>
          <t>R$/m²</t>
        </is>
      </c>
      <c r="E696" s="3" t="inlineStr">
        <is>
          <t>Super Luxo</t>
        </is>
      </c>
      <c r="F696" s="3" t="n">
        <v>0</v>
      </c>
      <c r="G696" s="3" t="n"/>
      <c r="H696" s="3" t="n">
        <v>0</v>
      </c>
      <c r="I696" s="3">
        <f>IF(G696="","PENDENTE",IF(AND(ISNUMBER(F696),ISNUMBER(G696)),IF(ABS(G696-F696)&lt;=H696,"IGUAL","DIVERGENTE"),IF(TRIM(G696&amp;"")=TRIM(F696&amp;""),"IGUAL","DIVERGENTE")))</f>
        <v/>
      </c>
      <c r="J696" s="3" t="n"/>
    </row>
    <row r="697">
      <c r="A697" s="4" t="n">
        <v>50</v>
      </c>
      <c r="B697" s="4" t="inlineStr">
        <is>
          <t>PREÇO MÉDIO M²/PRIVATIVO POR PADRÃO RESIDENCIAL</t>
        </is>
      </c>
      <c r="C697" s="4" t="inlineStr">
        <is>
          <t>Gráfico 1 / plot 2</t>
        </is>
      </c>
      <c r="D697" s="4" t="inlineStr">
        <is>
          <t>Média R$/m²</t>
        </is>
      </c>
      <c r="E697" s="4" t="inlineStr">
        <is>
          <t>Compacto</t>
        </is>
      </c>
      <c r="F697" s="4" t="n">
        <v>6745</v>
      </c>
      <c r="G697" s="4" t="n"/>
      <c r="H697" s="4" t="n">
        <v>0</v>
      </c>
      <c r="I697" s="4">
        <f>IF(G697="","PENDENTE",IF(AND(ISNUMBER(F697),ISNUMBER(G697)),IF(ABS(G697-F697)&lt;=H697,"IGUAL","DIVERGENTE"),IF(TRIM(G697&amp;"")=TRIM(F697&amp;""),"IGUAL","DIVERGENTE")))</f>
        <v/>
      </c>
      <c r="J697" s="4" t="n"/>
    </row>
    <row r="698">
      <c r="A698" s="3" t="n">
        <v>50</v>
      </c>
      <c r="B698" s="3" t="inlineStr">
        <is>
          <t>PREÇO MÉDIO M²/PRIVATIVO POR PADRÃO RESIDENCIAL</t>
        </is>
      </c>
      <c r="C698" s="3" t="inlineStr">
        <is>
          <t>Gráfico 1 / plot 2</t>
        </is>
      </c>
      <c r="D698" s="3" t="inlineStr">
        <is>
          <t>Média R$/m²</t>
        </is>
      </c>
      <c r="E698" s="3" t="inlineStr">
        <is>
          <t>Econômico</t>
        </is>
      </c>
      <c r="F698" s="3" t="n">
        <v>6745</v>
      </c>
      <c r="G698" s="3" t="n"/>
      <c r="H698" s="3" t="n">
        <v>0</v>
      </c>
      <c r="I698" s="3">
        <f>IF(G698="","PENDENTE",IF(AND(ISNUMBER(F698),ISNUMBER(G698)),IF(ABS(G698-F698)&lt;=H698,"IGUAL","DIVERGENTE"),IF(TRIM(G698&amp;"")=TRIM(F698&amp;""),"IGUAL","DIVERGENTE")))</f>
        <v/>
      </c>
      <c r="J698" s="3" t="n"/>
    </row>
    <row r="699">
      <c r="A699" s="4" t="n">
        <v>50</v>
      </c>
      <c r="B699" s="4" t="inlineStr">
        <is>
          <t>PREÇO MÉDIO M²/PRIVATIVO POR PADRÃO RESIDENCIAL</t>
        </is>
      </c>
      <c r="C699" s="4" t="inlineStr">
        <is>
          <t>Gráfico 1 / plot 2</t>
        </is>
      </c>
      <c r="D699" s="4" t="inlineStr">
        <is>
          <t>Média R$/m²</t>
        </is>
      </c>
      <c r="E699" s="4" t="inlineStr">
        <is>
          <t>Standard</t>
        </is>
      </c>
      <c r="F699" s="4" t="n">
        <v>6745</v>
      </c>
      <c r="G699" s="4" t="n"/>
      <c r="H699" s="4" t="n">
        <v>0</v>
      </c>
      <c r="I699" s="4">
        <f>IF(G699="","PENDENTE",IF(AND(ISNUMBER(F699),ISNUMBER(G699)),IF(ABS(G699-F699)&lt;=H699,"IGUAL","DIVERGENTE"),IF(TRIM(G699&amp;"")=TRIM(F699&amp;""),"IGUAL","DIVERGENTE")))</f>
        <v/>
      </c>
      <c r="J699" s="4" t="n"/>
    </row>
    <row r="700">
      <c r="A700" s="3" t="n">
        <v>50</v>
      </c>
      <c r="B700" s="3" t="inlineStr">
        <is>
          <t>PREÇO MÉDIO M²/PRIVATIVO POR PADRÃO RESIDENCIAL</t>
        </is>
      </c>
      <c r="C700" s="3" t="inlineStr">
        <is>
          <t>Gráfico 1 / plot 2</t>
        </is>
      </c>
      <c r="D700" s="3" t="inlineStr">
        <is>
          <t>Média R$/m²</t>
        </is>
      </c>
      <c r="E700" s="3" t="inlineStr">
        <is>
          <t>Médio</t>
        </is>
      </c>
      <c r="F700" s="3" t="n">
        <v>6745</v>
      </c>
      <c r="G700" s="3" t="n"/>
      <c r="H700" s="3" t="n">
        <v>0</v>
      </c>
      <c r="I700" s="3">
        <f>IF(G700="","PENDENTE",IF(AND(ISNUMBER(F700),ISNUMBER(G700)),IF(ABS(G700-F700)&lt;=H700,"IGUAL","DIVERGENTE"),IF(TRIM(G700&amp;"")=TRIM(F700&amp;""),"IGUAL","DIVERGENTE")))</f>
        <v/>
      </c>
      <c r="J700" s="3" t="n"/>
    </row>
    <row r="701">
      <c r="A701" s="4" t="n">
        <v>50</v>
      </c>
      <c r="B701" s="4" t="inlineStr">
        <is>
          <t>PREÇO MÉDIO M²/PRIVATIVO POR PADRÃO RESIDENCIAL</t>
        </is>
      </c>
      <c r="C701" s="4" t="inlineStr">
        <is>
          <t>Gráfico 1 / plot 2</t>
        </is>
      </c>
      <c r="D701" s="4" t="inlineStr">
        <is>
          <t>Média R$/m²</t>
        </is>
      </c>
      <c r="E701" s="4" t="inlineStr">
        <is>
          <t>Alto</t>
        </is>
      </c>
      <c r="F701" s="4" t="n">
        <v>6745</v>
      </c>
      <c r="G701" s="4" t="n"/>
      <c r="H701" s="4" t="n">
        <v>0</v>
      </c>
      <c r="I701" s="4">
        <f>IF(G701="","PENDENTE",IF(AND(ISNUMBER(F701),ISNUMBER(G701)),IF(ABS(G701-F701)&lt;=H701,"IGUAL","DIVERGENTE"),IF(TRIM(G701&amp;"")=TRIM(F701&amp;""),"IGUAL","DIVERGENTE")))</f>
        <v/>
      </c>
      <c r="J701" s="4" t="n"/>
    </row>
    <row r="702">
      <c r="A702" s="3" t="n">
        <v>50</v>
      </c>
      <c r="B702" s="3" t="inlineStr">
        <is>
          <t>PREÇO MÉDIO M²/PRIVATIVO POR PADRÃO RESIDENCIAL</t>
        </is>
      </c>
      <c r="C702" s="3" t="inlineStr">
        <is>
          <t>Gráfico 1 / plot 2</t>
        </is>
      </c>
      <c r="D702" s="3" t="inlineStr">
        <is>
          <t>Média R$/m²</t>
        </is>
      </c>
      <c r="E702" s="3" t="inlineStr">
        <is>
          <t>Luxo</t>
        </is>
      </c>
      <c r="F702" s="3" t="n">
        <v>6745</v>
      </c>
      <c r="G702" s="3" t="n"/>
      <c r="H702" s="3" t="n">
        <v>0</v>
      </c>
      <c r="I702" s="3">
        <f>IF(G702="","PENDENTE",IF(AND(ISNUMBER(F702),ISNUMBER(G702)),IF(ABS(G702-F702)&lt;=H702,"IGUAL","DIVERGENTE"),IF(TRIM(G702&amp;"")=TRIM(F702&amp;""),"IGUAL","DIVERGENTE")))</f>
        <v/>
      </c>
      <c r="J702" s="3" t="n"/>
    </row>
    <row r="703">
      <c r="A703" s="4" t="n">
        <v>50</v>
      </c>
      <c r="B703" s="4" t="inlineStr">
        <is>
          <t>PREÇO MÉDIO M²/PRIVATIVO POR PADRÃO RESIDENCIAL</t>
        </is>
      </c>
      <c r="C703" s="4" t="inlineStr">
        <is>
          <t>Gráfico 1 / plot 2</t>
        </is>
      </c>
      <c r="D703" s="4" t="inlineStr">
        <is>
          <t>Média R$/m²</t>
        </is>
      </c>
      <c r="E703" s="4" t="inlineStr">
        <is>
          <t>Super Luxo</t>
        </is>
      </c>
      <c r="F703" s="4" t="n">
        <v>6745</v>
      </c>
      <c r="G703" s="4" t="n"/>
      <c r="H703" s="4" t="n">
        <v>0</v>
      </c>
      <c r="I703" s="4">
        <f>IF(G703="","PENDENTE",IF(AND(ISNUMBER(F703),ISNUMBER(G703)),IF(ABS(G703-F703)&lt;=H703,"IGUAL","DIVERGENTE"),IF(TRIM(G703&amp;"")=TRIM(F703&amp;""),"IGUAL","DIVERGENTE")))</f>
        <v/>
      </c>
      <c r="J703" s="4" t="n"/>
    </row>
    <row r="704">
      <c r="A704" s="3" t="n">
        <v>51</v>
      </c>
      <c r="B704" s="3" t="inlineStr">
        <is>
          <t>TICKET MÉDIO (R$) POR TIPOLOGIA RESIDENCIAL</t>
        </is>
      </c>
      <c r="C704" s="3" t="inlineStr">
        <is>
          <t>Gráfico 1 / plot 1</t>
        </is>
      </c>
      <c r="D704" s="3" t="inlineStr">
        <is>
          <t>RM de Porto Alegre</t>
        </is>
      </c>
      <c r="E704" s="3" t="inlineStr">
        <is>
          <t>1 Dormitório</t>
        </is>
      </c>
      <c r="F704" s="3" t="n">
        <v>292142</v>
      </c>
      <c r="G704" s="3" t="n"/>
      <c r="H704" s="3" t="n">
        <v>0</v>
      </c>
      <c r="I704" s="3">
        <f>IF(G704="","PENDENTE",IF(AND(ISNUMBER(F704),ISNUMBER(G704)),IF(ABS(G704-F704)&lt;=H704,"IGUAL","DIVERGENTE"),IF(TRIM(G704&amp;"")=TRIM(F704&amp;""),"IGUAL","DIVERGENTE")))</f>
        <v/>
      </c>
      <c r="J704" s="3" t="n"/>
    </row>
    <row r="705">
      <c r="A705" s="4" t="n">
        <v>51</v>
      </c>
      <c r="B705" s="4" t="inlineStr">
        <is>
          <t>TICKET MÉDIO (R$) POR TIPOLOGIA RESIDENCIAL</t>
        </is>
      </c>
      <c r="C705" s="4" t="inlineStr">
        <is>
          <t>Gráfico 1 / plot 1</t>
        </is>
      </c>
      <c r="D705" s="4" t="inlineStr">
        <is>
          <t>RM de Porto Alegre</t>
        </is>
      </c>
      <c r="E705" s="4" t="inlineStr">
        <is>
          <t>2 Dormitórios</t>
        </is>
      </c>
      <c r="F705" s="4" t="n">
        <v>291549</v>
      </c>
      <c r="G705" s="4" t="n"/>
      <c r="H705" s="4" t="n">
        <v>0</v>
      </c>
      <c r="I705" s="4">
        <f>IF(G705="","PENDENTE",IF(AND(ISNUMBER(F705),ISNUMBER(G705)),IF(ABS(G705-F705)&lt;=H705,"IGUAL","DIVERGENTE"),IF(TRIM(G705&amp;"")=TRIM(F705&amp;""),"IGUAL","DIVERGENTE")))</f>
        <v/>
      </c>
      <c r="J705" s="4" t="n"/>
    </row>
    <row r="706">
      <c r="A706" s="3" t="n">
        <v>51</v>
      </c>
      <c r="B706" s="3" t="inlineStr">
        <is>
          <t>TICKET MÉDIO (R$) POR TIPOLOGIA RESIDENCIAL</t>
        </is>
      </c>
      <c r="C706" s="3" t="inlineStr">
        <is>
          <t>Gráfico 1 / plot 1</t>
        </is>
      </c>
      <c r="D706" s="3" t="inlineStr">
        <is>
          <t>RM de Porto Alegre</t>
        </is>
      </c>
      <c r="E706" s="3" t="inlineStr">
        <is>
          <t>3 Dormitórios</t>
        </is>
      </c>
      <c r="F706" s="3" t="n">
        <v>921280</v>
      </c>
      <c r="G706" s="3" t="n"/>
      <c r="H706" s="3" t="n">
        <v>0</v>
      </c>
      <c r="I706" s="3">
        <f>IF(G706="","PENDENTE",IF(AND(ISNUMBER(F706),ISNUMBER(G706)),IF(ABS(G706-F706)&lt;=H706,"IGUAL","DIVERGENTE"),IF(TRIM(G706&amp;"")=TRIM(F706&amp;""),"IGUAL","DIVERGENTE")))</f>
        <v/>
      </c>
      <c r="J706" s="3" t="n"/>
    </row>
    <row r="707">
      <c r="A707" s="4" t="n">
        <v>51</v>
      </c>
      <c r="B707" s="4" t="inlineStr">
        <is>
          <t>TICKET MÉDIO (R$) POR TIPOLOGIA RESIDENCIAL</t>
        </is>
      </c>
      <c r="C707" s="4" t="inlineStr">
        <is>
          <t>Gráfico 1 / plot 1</t>
        </is>
      </c>
      <c r="D707" s="4" t="inlineStr">
        <is>
          <t>RM de Porto Alegre</t>
        </is>
      </c>
      <c r="E707" s="4" t="inlineStr">
        <is>
          <t>4 Dormitórios</t>
        </is>
      </c>
      <c r="F707" s="4" t="n">
        <v>0</v>
      </c>
      <c r="G707" s="4" t="n"/>
      <c r="H707" s="4" t="n">
        <v>0</v>
      </c>
      <c r="I707" s="4">
        <f>IF(G707="","PENDENTE",IF(AND(ISNUMBER(F707),ISNUMBER(G707)),IF(ABS(G707-F707)&lt;=H707,"IGUAL","DIVERGENTE"),IF(TRIM(G707&amp;"")=TRIM(F707&amp;""),"IGUAL","DIVERGENTE")))</f>
        <v/>
      </c>
      <c r="J707" s="4" t="n"/>
    </row>
    <row r="708">
      <c r="A708" s="3" t="n">
        <v>52</v>
      </c>
      <c r="B708" s="3" t="inlineStr">
        <is>
          <t>PREÇO MÉDIO M²/PRIVATIVO POR TIPOLOGIA RESIDENCIAL</t>
        </is>
      </c>
      <c r="C708" s="3" t="inlineStr">
        <is>
          <t>Gráfico 1 / plot 1</t>
        </is>
      </c>
      <c r="D708" s="3" t="inlineStr">
        <is>
          <t>RM de Porto Alegre</t>
        </is>
      </c>
      <c r="E708" s="3" t="inlineStr">
        <is>
          <t>1 Dormitório</t>
        </is>
      </c>
      <c r="F708" s="3" t="n">
        <v>9545</v>
      </c>
      <c r="G708" s="3" t="n"/>
      <c r="H708" s="3" t="n">
        <v>0</v>
      </c>
      <c r="I708" s="3">
        <f>IF(G708="","PENDENTE",IF(AND(ISNUMBER(F708),ISNUMBER(G708)),IF(ABS(G708-F708)&lt;=H708,"IGUAL","DIVERGENTE"),IF(TRIM(G708&amp;"")=TRIM(F708&amp;""),"IGUAL","DIVERGENTE")))</f>
        <v/>
      </c>
      <c r="J708" s="3" t="n"/>
    </row>
    <row r="709">
      <c r="A709" s="4" t="n">
        <v>52</v>
      </c>
      <c r="B709" s="4" t="inlineStr">
        <is>
          <t>PREÇO MÉDIO M²/PRIVATIVO POR TIPOLOGIA RESIDENCIAL</t>
        </is>
      </c>
      <c r="C709" s="4" t="inlineStr">
        <is>
          <t>Gráfico 1 / plot 1</t>
        </is>
      </c>
      <c r="D709" s="4" t="inlineStr">
        <is>
          <t>RM de Porto Alegre</t>
        </is>
      </c>
      <c r="E709" s="4" t="inlineStr">
        <is>
          <t>2 Dormitórios</t>
        </is>
      </c>
      <c r="F709" s="4" t="n">
        <v>6001</v>
      </c>
      <c r="G709" s="4" t="n"/>
      <c r="H709" s="4" t="n">
        <v>0</v>
      </c>
      <c r="I709" s="4">
        <f>IF(G709="","PENDENTE",IF(AND(ISNUMBER(F709),ISNUMBER(G709)),IF(ABS(G709-F709)&lt;=H709,"IGUAL","DIVERGENTE"),IF(TRIM(G709&amp;"")=TRIM(F709&amp;""),"IGUAL","DIVERGENTE")))</f>
        <v/>
      </c>
      <c r="J709" s="4" t="n"/>
    </row>
    <row r="710">
      <c r="A710" s="3" t="n">
        <v>52</v>
      </c>
      <c r="B710" s="3" t="inlineStr">
        <is>
          <t>PREÇO MÉDIO M²/PRIVATIVO POR TIPOLOGIA RESIDENCIAL</t>
        </is>
      </c>
      <c r="C710" s="3" t="inlineStr">
        <is>
          <t>Gráfico 1 / plot 1</t>
        </is>
      </c>
      <c r="D710" s="3" t="inlineStr">
        <is>
          <t>RM de Porto Alegre</t>
        </is>
      </c>
      <c r="E710" s="3" t="inlineStr">
        <is>
          <t>3 Dormitórios</t>
        </is>
      </c>
      <c r="F710" s="3" t="n">
        <v>9455</v>
      </c>
      <c r="G710" s="3" t="n"/>
      <c r="H710" s="3" t="n">
        <v>0</v>
      </c>
      <c r="I710" s="3">
        <f>IF(G710="","PENDENTE",IF(AND(ISNUMBER(F710),ISNUMBER(G710)),IF(ABS(G710-F710)&lt;=H710,"IGUAL","DIVERGENTE"),IF(TRIM(G710&amp;"")=TRIM(F710&amp;""),"IGUAL","DIVERGENTE")))</f>
        <v/>
      </c>
      <c r="J710" s="3" t="n"/>
    </row>
    <row r="711">
      <c r="A711" s="4" t="n">
        <v>52</v>
      </c>
      <c r="B711" s="4" t="inlineStr">
        <is>
          <t>PREÇO MÉDIO M²/PRIVATIVO POR TIPOLOGIA RESIDENCIAL</t>
        </is>
      </c>
      <c r="C711" s="4" t="inlineStr">
        <is>
          <t>Gráfico 1 / plot 1</t>
        </is>
      </c>
      <c r="D711" s="4" t="inlineStr">
        <is>
          <t>RM de Porto Alegre</t>
        </is>
      </c>
      <c r="E711" s="4" t="inlineStr">
        <is>
          <t>4 Dormitórios</t>
        </is>
      </c>
      <c r="F711" s="4" t="n"/>
      <c r="G711" s="4" t="n"/>
      <c r="H711" s="4" t="n">
        <v>0.005</v>
      </c>
      <c r="I711" s="4">
        <f>IF(G711="","PENDENTE",IF(AND(ISNUMBER(F711),ISNUMBER(G711)),IF(ABS(G711-F711)&lt;=H711,"IGUAL","DIVERGENTE"),IF(TRIM(G711&amp;"")=TRIM(F711&amp;""),"IGUAL","DIVERGENTE")))</f>
        <v/>
      </c>
      <c r="J711" s="4" t="n"/>
    </row>
    <row r="712">
      <c r="A712" s="3" t="n">
        <v>54</v>
      </c>
      <c r="B712" s="3" t="inlineStr">
        <is>
          <t>OFERTA FINAL POR ANO DE LANÇAMENTO</t>
        </is>
      </c>
      <c r="C712" s="3" t="inlineStr">
        <is>
          <t>Tabela 1</t>
        </is>
      </c>
      <c r="D712" s="3" t="inlineStr">
        <is>
          <t>Até 2020</t>
        </is>
      </c>
      <c r="E712" s="3" t="inlineStr">
        <is>
          <t>RM DE PORTO ALEGRE</t>
        </is>
      </c>
      <c r="F712" s="3" t="inlineStr">
        <is>
          <t>87</t>
        </is>
      </c>
      <c r="G712" s="3" t="n"/>
      <c r="H712" s="3" t="n"/>
      <c r="I712" s="3">
        <f>IF(G712="","PENDENTE",IF(AND(ISNUMBER(F712),ISNUMBER(G712)),IF(ABS(G712-F712)&lt;=H712,"IGUAL","DIVERGENTE"),IF(TRIM(G712&amp;"")=TRIM(F712&amp;""),"IGUAL","DIVERGENTE")))</f>
        <v/>
      </c>
      <c r="J712" s="3" t="n"/>
    </row>
    <row r="713">
      <c r="A713" s="4" t="n">
        <v>54</v>
      </c>
      <c r="B713" s="4" t="inlineStr">
        <is>
          <t>OFERTA FINAL POR ANO DE LANÇAMENTO</t>
        </is>
      </c>
      <c r="C713" s="4" t="inlineStr">
        <is>
          <t>Tabela 1</t>
        </is>
      </c>
      <c r="D713" s="4" t="inlineStr">
        <is>
          <t>Até 2020</t>
        </is>
      </c>
      <c r="E713" s="4" t="inlineStr">
        <is>
          <t>(%)</t>
        </is>
      </c>
      <c r="F713" s="4" t="inlineStr">
        <is>
          <t>1,8%</t>
        </is>
      </c>
      <c r="G713" s="4" t="n"/>
      <c r="H713" s="4" t="n"/>
      <c r="I713" s="4">
        <f>IF(G713="","PENDENTE",IF(AND(ISNUMBER(F713),ISNUMBER(G713)),IF(ABS(G713-F713)&lt;=H713,"IGUAL","DIVERGENTE"),IF(TRIM(G713&amp;"")=TRIM(F713&amp;""),"IGUAL","DIVERGENTE")))</f>
        <v/>
      </c>
      <c r="J713" s="4" t="n"/>
    </row>
    <row r="714">
      <c r="A714" s="3" t="n">
        <v>54</v>
      </c>
      <c r="B714" s="3" t="inlineStr">
        <is>
          <t>OFERTA FINAL POR ANO DE LANÇAMENTO</t>
        </is>
      </c>
      <c r="C714" s="3" t="inlineStr">
        <is>
          <t>Tabela 1</t>
        </is>
      </c>
      <c r="D714" s="3" t="inlineStr">
        <is>
          <t>2021</t>
        </is>
      </c>
      <c r="E714" s="3" t="inlineStr">
        <is>
          <t>RM DE PORTO ALEGRE</t>
        </is>
      </c>
      <c r="F714" s="3" t="inlineStr">
        <is>
          <t>98</t>
        </is>
      </c>
      <c r="G714" s="3" t="n"/>
      <c r="H714" s="3" t="n"/>
      <c r="I714" s="3">
        <f>IF(G714="","PENDENTE",IF(AND(ISNUMBER(F714),ISNUMBER(G714)),IF(ABS(G714-F714)&lt;=H714,"IGUAL","DIVERGENTE"),IF(TRIM(G714&amp;"")=TRIM(F714&amp;""),"IGUAL","DIVERGENTE")))</f>
        <v/>
      </c>
      <c r="J714" s="3" t="n"/>
    </row>
    <row r="715">
      <c r="A715" s="4" t="n">
        <v>54</v>
      </c>
      <c r="B715" s="4" t="inlineStr">
        <is>
          <t>OFERTA FINAL POR ANO DE LANÇAMENTO</t>
        </is>
      </c>
      <c r="C715" s="4" t="inlineStr">
        <is>
          <t>Tabela 1</t>
        </is>
      </c>
      <c r="D715" s="4" t="inlineStr">
        <is>
          <t>2021</t>
        </is>
      </c>
      <c r="E715" s="4" t="inlineStr">
        <is>
          <t>(%)</t>
        </is>
      </c>
      <c r="F715" s="4" t="inlineStr">
        <is>
          <t>2,0%</t>
        </is>
      </c>
      <c r="G715" s="4" t="n"/>
      <c r="H715" s="4" t="n"/>
      <c r="I715" s="4">
        <f>IF(G715="","PENDENTE",IF(AND(ISNUMBER(F715),ISNUMBER(G715)),IF(ABS(G715-F715)&lt;=H715,"IGUAL","DIVERGENTE"),IF(TRIM(G715&amp;"")=TRIM(F715&amp;""),"IGUAL","DIVERGENTE")))</f>
        <v/>
      </c>
      <c r="J715" s="4" t="n"/>
    </row>
    <row r="716">
      <c r="A716" s="3" t="n">
        <v>54</v>
      </c>
      <c r="B716" s="3" t="inlineStr">
        <is>
          <t>OFERTA FINAL POR ANO DE LANÇAMENTO</t>
        </is>
      </c>
      <c r="C716" s="3" t="inlineStr">
        <is>
          <t>Tabela 1</t>
        </is>
      </c>
      <c r="D716" s="3" t="inlineStr">
        <is>
          <t>2022</t>
        </is>
      </c>
      <c r="E716" s="3" t="inlineStr">
        <is>
          <t>RM DE PORTO ALEGRE</t>
        </is>
      </c>
      <c r="F716" s="3" t="inlineStr">
        <is>
          <t>423</t>
        </is>
      </c>
      <c r="G716" s="3" t="n"/>
      <c r="H716" s="3" t="n"/>
      <c r="I716" s="3">
        <f>IF(G716="","PENDENTE",IF(AND(ISNUMBER(F716),ISNUMBER(G716)),IF(ABS(G716-F716)&lt;=H716,"IGUAL","DIVERGENTE"),IF(TRIM(G716&amp;"")=TRIM(F716&amp;""),"IGUAL","DIVERGENTE")))</f>
        <v/>
      </c>
      <c r="J716" s="3" t="n"/>
    </row>
    <row r="717">
      <c r="A717" s="4" t="n">
        <v>54</v>
      </c>
      <c r="B717" s="4" t="inlineStr">
        <is>
          <t>OFERTA FINAL POR ANO DE LANÇAMENTO</t>
        </is>
      </c>
      <c r="C717" s="4" t="inlineStr">
        <is>
          <t>Tabela 1</t>
        </is>
      </c>
      <c r="D717" s="4" t="inlineStr">
        <is>
          <t>2022</t>
        </is>
      </c>
      <c r="E717" s="4" t="inlineStr">
        <is>
          <t>(%)</t>
        </is>
      </c>
      <c r="F717" s="4" t="inlineStr">
        <is>
          <t>8,7%</t>
        </is>
      </c>
      <c r="G717" s="4" t="n"/>
      <c r="H717" s="4" t="n"/>
      <c r="I717" s="4">
        <f>IF(G717="","PENDENTE",IF(AND(ISNUMBER(F717),ISNUMBER(G717)),IF(ABS(G717-F717)&lt;=H717,"IGUAL","DIVERGENTE"),IF(TRIM(G717&amp;"")=TRIM(F717&amp;""),"IGUAL","DIVERGENTE")))</f>
        <v/>
      </c>
      <c r="J717" s="4" t="n"/>
    </row>
    <row r="718">
      <c r="A718" s="3" t="n">
        <v>54</v>
      </c>
      <c r="B718" s="3" t="inlineStr">
        <is>
          <t>OFERTA FINAL POR ANO DE LANÇAMENTO</t>
        </is>
      </c>
      <c r="C718" s="3" t="inlineStr">
        <is>
          <t>Tabela 1</t>
        </is>
      </c>
      <c r="D718" s="3" t="inlineStr">
        <is>
          <t>2023</t>
        </is>
      </c>
      <c r="E718" s="3" t="inlineStr">
        <is>
          <t>RM DE PORTO ALEGRE</t>
        </is>
      </c>
      <c r="F718" s="3" t="inlineStr">
        <is>
          <t>281</t>
        </is>
      </c>
      <c r="G718" s="3" t="n"/>
      <c r="H718" s="3" t="n"/>
      <c r="I718" s="3">
        <f>IF(G718="","PENDENTE",IF(AND(ISNUMBER(F718),ISNUMBER(G718)),IF(ABS(G718-F718)&lt;=H718,"IGUAL","DIVERGENTE"),IF(TRIM(G718&amp;"")=TRIM(F718&amp;""),"IGUAL","DIVERGENTE")))</f>
        <v/>
      </c>
      <c r="J718" s="3" t="n"/>
    </row>
    <row r="719">
      <c r="A719" s="4" t="n">
        <v>54</v>
      </c>
      <c r="B719" s="4" t="inlineStr">
        <is>
          <t>OFERTA FINAL POR ANO DE LANÇAMENTO</t>
        </is>
      </c>
      <c r="C719" s="4" t="inlineStr">
        <is>
          <t>Tabela 1</t>
        </is>
      </c>
      <c r="D719" s="4" t="inlineStr">
        <is>
          <t>2023</t>
        </is>
      </c>
      <c r="E719" s="4" t="inlineStr">
        <is>
          <t>(%)</t>
        </is>
      </c>
      <c r="F719" s="4" t="inlineStr">
        <is>
          <t>5,8%</t>
        </is>
      </c>
      <c r="G719" s="4" t="n"/>
      <c r="H719" s="4" t="n"/>
      <c r="I719" s="4">
        <f>IF(G719="","PENDENTE",IF(AND(ISNUMBER(F719),ISNUMBER(G719)),IF(ABS(G719-F719)&lt;=H719,"IGUAL","DIVERGENTE"),IF(TRIM(G719&amp;"")=TRIM(F719&amp;""),"IGUAL","DIVERGENTE")))</f>
        <v/>
      </c>
      <c r="J719" s="4" t="n"/>
    </row>
    <row r="720">
      <c r="A720" s="3" t="n">
        <v>54</v>
      </c>
      <c r="B720" s="3" t="inlineStr">
        <is>
          <t>OFERTA FINAL POR ANO DE LANÇAMENTO</t>
        </is>
      </c>
      <c r="C720" s="3" t="inlineStr">
        <is>
          <t>Tabela 1</t>
        </is>
      </c>
      <c r="D720" s="3" t="inlineStr">
        <is>
          <t>2024</t>
        </is>
      </c>
      <c r="E720" s="3" t="inlineStr">
        <is>
          <t>RM DE PORTO ALEGRE</t>
        </is>
      </c>
      <c r="F720" s="3" t="inlineStr">
        <is>
          <t>759</t>
        </is>
      </c>
      <c r="G720" s="3" t="n"/>
      <c r="H720" s="3" t="n"/>
      <c r="I720" s="3">
        <f>IF(G720="","PENDENTE",IF(AND(ISNUMBER(F720),ISNUMBER(G720)),IF(ABS(G720-F720)&lt;=H720,"IGUAL","DIVERGENTE"),IF(TRIM(G720&amp;"")=TRIM(F720&amp;""),"IGUAL","DIVERGENTE")))</f>
        <v/>
      </c>
      <c r="J720" s="3" t="n"/>
    </row>
    <row r="721">
      <c r="A721" s="4" t="n">
        <v>54</v>
      </c>
      <c r="B721" s="4" t="inlineStr">
        <is>
          <t>OFERTA FINAL POR ANO DE LANÇAMENTO</t>
        </is>
      </c>
      <c r="C721" s="4" t="inlineStr">
        <is>
          <t>Tabela 1</t>
        </is>
      </c>
      <c r="D721" s="4" t="inlineStr">
        <is>
          <t>2024</t>
        </is>
      </c>
      <c r="E721" s="4" t="inlineStr">
        <is>
          <t>(%)</t>
        </is>
      </c>
      <c r="F721" s="4" t="inlineStr">
        <is>
          <t>15,6%</t>
        </is>
      </c>
      <c r="G721" s="4" t="n"/>
      <c r="H721" s="4" t="n"/>
      <c r="I721" s="4">
        <f>IF(G721="","PENDENTE",IF(AND(ISNUMBER(F721),ISNUMBER(G721)),IF(ABS(G721-F721)&lt;=H721,"IGUAL","DIVERGENTE"),IF(TRIM(G721&amp;"")=TRIM(F721&amp;""),"IGUAL","DIVERGENTE")))</f>
        <v/>
      </c>
      <c r="J721" s="4" t="n"/>
    </row>
    <row r="722">
      <c r="A722" s="3" t="n">
        <v>54</v>
      </c>
      <c r="B722" s="3" t="inlineStr">
        <is>
          <t>OFERTA FINAL POR ANO DE LANÇAMENTO</t>
        </is>
      </c>
      <c r="C722" s="3" t="inlineStr">
        <is>
          <t>Tabela 1</t>
        </is>
      </c>
      <c r="D722" s="3" t="inlineStr">
        <is>
          <t>2025</t>
        </is>
      </c>
      <c r="E722" s="3" t="inlineStr">
        <is>
          <t>RM DE PORTO ALEGRE</t>
        </is>
      </c>
      <c r="F722" s="3" t="inlineStr">
        <is>
          <t>3.202</t>
        </is>
      </c>
      <c r="G722" s="3" t="n"/>
      <c r="H722" s="3" t="n"/>
      <c r="I722" s="3">
        <f>IF(G722="","PENDENTE",IF(AND(ISNUMBER(F722),ISNUMBER(G722)),IF(ABS(G722-F722)&lt;=H722,"IGUAL","DIVERGENTE"),IF(TRIM(G722&amp;"")=TRIM(F722&amp;""),"IGUAL","DIVERGENTE")))</f>
        <v/>
      </c>
      <c r="J722" s="3" t="n"/>
    </row>
    <row r="723">
      <c r="A723" s="4" t="n">
        <v>54</v>
      </c>
      <c r="B723" s="4" t="inlineStr">
        <is>
          <t>OFERTA FINAL POR ANO DE LANÇAMENTO</t>
        </is>
      </c>
      <c r="C723" s="4" t="inlineStr">
        <is>
          <t>Tabela 1</t>
        </is>
      </c>
      <c r="D723" s="4" t="inlineStr">
        <is>
          <t>2025</t>
        </is>
      </c>
      <c r="E723" s="4" t="inlineStr">
        <is>
          <t>(%)</t>
        </is>
      </c>
      <c r="F723" s="4" t="inlineStr">
        <is>
          <t>66,0%</t>
        </is>
      </c>
      <c r="G723" s="4" t="n"/>
      <c r="H723" s="4" t="n"/>
      <c r="I723" s="4">
        <f>IF(G723="","PENDENTE",IF(AND(ISNUMBER(F723),ISNUMBER(G723)),IF(ABS(G723-F723)&lt;=H723,"IGUAL","DIVERGENTE"),IF(TRIM(G723&amp;"")=TRIM(F723&amp;""),"IGUAL","DIVERGENTE")))</f>
        <v/>
      </c>
      <c r="J723" s="4" t="n"/>
    </row>
    <row r="724">
      <c r="A724" s="3" t="n">
        <v>54</v>
      </c>
      <c r="B724" s="3" t="inlineStr">
        <is>
          <t>OFERTA FINAL POR ANO DE LANÇAMENTO</t>
        </is>
      </c>
      <c r="C724" s="3" t="inlineStr">
        <is>
          <t>Tabela 1</t>
        </is>
      </c>
      <c r="D724" s="3" t="inlineStr">
        <is>
          <t>Total</t>
        </is>
      </c>
      <c r="E724" s="3" t="inlineStr">
        <is>
          <t>RM DE PORTO ALEGRE</t>
        </is>
      </c>
      <c r="F724" s="3" t="inlineStr">
        <is>
          <t>4.850</t>
        </is>
      </c>
      <c r="G724" s="3" t="n"/>
      <c r="H724" s="3" t="n"/>
      <c r="I724" s="3">
        <f>IF(G724="","PENDENTE",IF(AND(ISNUMBER(F724),ISNUMBER(G724)),IF(ABS(G724-F724)&lt;=H724,"IGUAL","DIVERGENTE"),IF(TRIM(G724&amp;"")=TRIM(F724&amp;""),"IGUAL","DIVERGENTE")))</f>
        <v/>
      </c>
      <c r="J724" s="3" t="n"/>
    </row>
    <row r="725">
      <c r="A725" s="4" t="n">
        <v>54</v>
      </c>
      <c r="B725" s="4" t="inlineStr">
        <is>
          <t>OFERTA FINAL POR ANO DE LANÇAMENTO</t>
        </is>
      </c>
      <c r="C725" s="4" t="inlineStr">
        <is>
          <t>Tabela 1</t>
        </is>
      </c>
      <c r="D725" s="4" t="inlineStr">
        <is>
          <t>Total</t>
        </is>
      </c>
      <c r="E725" s="4" t="inlineStr">
        <is>
          <t>(%)</t>
        </is>
      </c>
      <c r="F725" s="4" t="inlineStr">
        <is>
          <t>100%</t>
        </is>
      </c>
      <c r="G725" s="4" t="n"/>
      <c r="H725" s="4" t="n"/>
      <c r="I725" s="4">
        <f>IF(G725="","PENDENTE",IF(AND(ISNUMBER(F725),ISNUMBER(G725)),IF(ABS(G725-F725)&lt;=H725,"IGUAL","DIVERGENTE"),IF(TRIM(G725&amp;"")=TRIM(F725&amp;""),"IGUAL","DIVERGENTE")))</f>
        <v/>
      </c>
      <c r="J725" s="4" t="n"/>
    </row>
    <row r="726">
      <c r="A726" s="3" t="n">
        <v>55</v>
      </c>
      <c r="B726" s="3" t="inlineStr">
        <is>
          <t>OFERTA FINAL POR PADRÃO</t>
        </is>
      </c>
      <c r="C726" s="3" t="inlineStr">
        <is>
          <t>Tabela 1</t>
        </is>
      </c>
      <c r="D726" s="3" t="inlineStr">
        <is>
          <t>Compacto</t>
        </is>
      </c>
      <c r="E726" s="3" t="inlineStr">
        <is>
          <t>Faixa de Valor</t>
        </is>
      </c>
      <c r="F726" s="3" t="inlineStr">
        <is>
          <t>Studio - Loft - 1 quarto</t>
        </is>
      </c>
      <c r="G726" s="3" t="n"/>
      <c r="H726" s="3" t="n"/>
      <c r="I726" s="3">
        <f>IF(G726="","PENDENTE",IF(AND(ISNUMBER(F726),ISNUMBER(G726)),IF(ABS(G726-F726)&lt;=H726,"IGUAL","DIVERGENTE"),IF(TRIM(G726&amp;"")=TRIM(F726&amp;""),"IGUAL","DIVERGENTE")))</f>
        <v/>
      </c>
      <c r="J726" s="3" t="n"/>
    </row>
    <row r="727">
      <c r="A727" s="4" t="n">
        <v>55</v>
      </c>
      <c r="B727" s="4" t="inlineStr">
        <is>
          <t>OFERTA FINAL POR PADRÃO</t>
        </is>
      </c>
      <c r="C727" s="4" t="inlineStr">
        <is>
          <t>Tabela 1</t>
        </is>
      </c>
      <c r="D727" s="4" t="inlineStr">
        <is>
          <t>Compacto</t>
        </is>
      </c>
      <c r="E727" s="4" t="inlineStr">
        <is>
          <t>RM DE PORTO ALEGRE</t>
        </is>
      </c>
      <c r="F727" s="4" t="inlineStr">
        <is>
          <t>139</t>
        </is>
      </c>
      <c r="G727" s="4" t="n"/>
      <c r="H727" s="4" t="n"/>
      <c r="I727" s="4">
        <f>IF(G727="","PENDENTE",IF(AND(ISNUMBER(F727),ISNUMBER(G727)),IF(ABS(G727-F727)&lt;=H727,"IGUAL","DIVERGENTE"),IF(TRIM(G727&amp;"")=TRIM(F727&amp;""),"IGUAL","DIVERGENTE")))</f>
        <v/>
      </c>
      <c r="J727" s="4" t="n"/>
    </row>
    <row r="728">
      <c r="A728" s="3" t="n">
        <v>55</v>
      </c>
      <c r="B728" s="3" t="inlineStr">
        <is>
          <t>OFERTA FINAL POR PADRÃO</t>
        </is>
      </c>
      <c r="C728" s="3" t="inlineStr">
        <is>
          <t>Tabela 1</t>
        </is>
      </c>
      <c r="D728" s="3" t="inlineStr">
        <is>
          <t>Compacto</t>
        </is>
      </c>
      <c r="E728" s="3" t="inlineStr">
        <is>
          <t>(%)</t>
        </is>
      </c>
      <c r="F728" s="3" t="inlineStr">
        <is>
          <t>2,9%</t>
        </is>
      </c>
      <c r="G728" s="3" t="n"/>
      <c r="H728" s="3" t="n"/>
      <c r="I728" s="3">
        <f>IF(G728="","PENDENTE",IF(AND(ISNUMBER(F728),ISNUMBER(G728)),IF(ABS(G728-F728)&lt;=H728,"IGUAL","DIVERGENTE"),IF(TRIM(G728&amp;"")=TRIM(F728&amp;""),"IGUAL","DIVERGENTE")))</f>
        <v/>
      </c>
      <c r="J728" s="3" t="n"/>
    </row>
    <row r="729">
      <c r="A729" s="4" t="n">
        <v>55</v>
      </c>
      <c r="B729" s="4" t="inlineStr">
        <is>
          <t>OFERTA FINAL POR PADRÃO</t>
        </is>
      </c>
      <c r="C729" s="4" t="inlineStr">
        <is>
          <t>Tabela 1</t>
        </is>
      </c>
      <c r="D729" s="4" t="inlineStr">
        <is>
          <t>Econômico</t>
        </is>
      </c>
      <c r="E729" s="4" t="inlineStr">
        <is>
          <t>Faixa de Valor</t>
        </is>
      </c>
      <c r="F729" s="4" t="inlineStr">
        <is>
          <t>até 350.000</t>
        </is>
      </c>
      <c r="G729" s="4" t="n"/>
      <c r="H729" s="4" t="n"/>
      <c r="I729" s="4">
        <f>IF(G729="","PENDENTE",IF(AND(ISNUMBER(F729),ISNUMBER(G729)),IF(ABS(G729-F729)&lt;=H729,"IGUAL","DIVERGENTE"),IF(TRIM(G729&amp;"")=TRIM(F729&amp;""),"IGUAL","DIVERGENTE")))</f>
        <v/>
      </c>
      <c r="J729" s="4" t="n"/>
    </row>
    <row r="730">
      <c r="A730" s="3" t="n">
        <v>55</v>
      </c>
      <c r="B730" s="3" t="inlineStr">
        <is>
          <t>OFERTA FINAL POR PADRÃO</t>
        </is>
      </c>
      <c r="C730" s="3" t="inlineStr">
        <is>
          <t>Tabela 1</t>
        </is>
      </c>
      <c r="D730" s="3" t="inlineStr">
        <is>
          <t>Econômico</t>
        </is>
      </c>
      <c r="E730" s="3" t="inlineStr">
        <is>
          <t>RM DE PORTO ALEGRE</t>
        </is>
      </c>
      <c r="F730" s="3" t="inlineStr">
        <is>
          <t>3.369</t>
        </is>
      </c>
      <c r="G730" s="3" t="n"/>
      <c r="H730" s="3" t="n"/>
      <c r="I730" s="3">
        <f>IF(G730="","PENDENTE",IF(AND(ISNUMBER(F730),ISNUMBER(G730)),IF(ABS(G730-F730)&lt;=H730,"IGUAL","DIVERGENTE"),IF(TRIM(G730&amp;"")=TRIM(F730&amp;""),"IGUAL","DIVERGENTE")))</f>
        <v/>
      </c>
      <c r="J730" s="3" t="n"/>
    </row>
    <row r="731">
      <c r="A731" s="4" t="n">
        <v>55</v>
      </c>
      <c r="B731" s="4" t="inlineStr">
        <is>
          <t>OFERTA FINAL POR PADRÃO</t>
        </is>
      </c>
      <c r="C731" s="4" t="inlineStr">
        <is>
          <t>Tabela 1</t>
        </is>
      </c>
      <c r="D731" s="4" t="inlineStr">
        <is>
          <t>Econômico</t>
        </is>
      </c>
      <c r="E731" s="4" t="inlineStr">
        <is>
          <t>(%)</t>
        </is>
      </c>
      <c r="F731" s="4" t="inlineStr">
        <is>
          <t>69,5%</t>
        </is>
      </c>
      <c r="G731" s="4" t="n"/>
      <c r="H731" s="4" t="n"/>
      <c r="I731" s="4">
        <f>IF(G731="","PENDENTE",IF(AND(ISNUMBER(F731),ISNUMBER(G731)),IF(ABS(G731-F731)&lt;=H731,"IGUAL","DIVERGENTE"),IF(TRIM(G731&amp;"")=TRIM(F731&amp;""),"IGUAL","DIVERGENTE")))</f>
        <v/>
      </c>
      <c r="J731" s="4" t="n"/>
    </row>
    <row r="732">
      <c r="A732" s="3" t="n">
        <v>55</v>
      </c>
      <c r="B732" s="3" t="inlineStr">
        <is>
          <t>OFERTA FINAL POR PADRÃO</t>
        </is>
      </c>
      <c r="C732" s="3" t="inlineStr">
        <is>
          <t>Tabela 1</t>
        </is>
      </c>
      <c r="D732" s="3" t="inlineStr">
        <is>
          <t>Standard</t>
        </is>
      </c>
      <c r="E732" s="3" t="inlineStr">
        <is>
          <t>Faixa de Valor</t>
        </is>
      </c>
      <c r="F732" s="3" t="inlineStr">
        <is>
          <t>de 350.000 até 700.000</t>
        </is>
      </c>
      <c r="G732" s="3" t="n"/>
      <c r="H732" s="3" t="n"/>
      <c r="I732" s="3">
        <f>IF(G732="","PENDENTE",IF(AND(ISNUMBER(F732),ISNUMBER(G732)),IF(ABS(G732-F732)&lt;=H732,"IGUAL","DIVERGENTE"),IF(TRIM(G732&amp;"")=TRIM(F732&amp;""),"IGUAL","DIVERGENTE")))</f>
        <v/>
      </c>
      <c r="J732" s="3" t="n"/>
    </row>
    <row r="733">
      <c r="A733" s="4" t="n">
        <v>55</v>
      </c>
      <c r="B733" s="4" t="inlineStr">
        <is>
          <t>OFERTA FINAL POR PADRÃO</t>
        </is>
      </c>
      <c r="C733" s="4" t="inlineStr">
        <is>
          <t>Tabela 1</t>
        </is>
      </c>
      <c r="D733" s="4" t="inlineStr">
        <is>
          <t>Standard</t>
        </is>
      </c>
      <c r="E733" s="4" t="inlineStr">
        <is>
          <t>RM DE PORTO ALEGRE</t>
        </is>
      </c>
      <c r="F733" s="4" t="inlineStr">
        <is>
          <t>930</t>
        </is>
      </c>
      <c r="G733" s="4" t="n"/>
      <c r="H733" s="4" t="n"/>
      <c r="I733" s="4">
        <f>IF(G733="","PENDENTE",IF(AND(ISNUMBER(F733),ISNUMBER(G733)),IF(ABS(G733-F733)&lt;=H733,"IGUAL","DIVERGENTE"),IF(TRIM(G733&amp;"")=TRIM(F733&amp;""),"IGUAL","DIVERGENTE")))</f>
        <v/>
      </c>
      <c r="J733" s="4" t="n"/>
    </row>
    <row r="734">
      <c r="A734" s="3" t="n">
        <v>55</v>
      </c>
      <c r="B734" s="3" t="inlineStr">
        <is>
          <t>OFERTA FINAL POR PADRÃO</t>
        </is>
      </c>
      <c r="C734" s="3" t="inlineStr">
        <is>
          <t>Tabela 1</t>
        </is>
      </c>
      <c r="D734" s="3" t="inlineStr">
        <is>
          <t>Standard</t>
        </is>
      </c>
      <c r="E734" s="3" t="inlineStr">
        <is>
          <t>(%)</t>
        </is>
      </c>
      <c r="F734" s="3" t="inlineStr">
        <is>
          <t>19,2%</t>
        </is>
      </c>
      <c r="G734" s="3" t="n"/>
      <c r="H734" s="3" t="n"/>
      <c r="I734" s="3">
        <f>IF(G734="","PENDENTE",IF(AND(ISNUMBER(F734),ISNUMBER(G734)),IF(ABS(G734-F734)&lt;=H734,"IGUAL","DIVERGENTE"),IF(TRIM(G734&amp;"")=TRIM(F734&amp;""),"IGUAL","DIVERGENTE")))</f>
        <v/>
      </c>
      <c r="J734" s="3" t="n"/>
    </row>
    <row r="735">
      <c r="A735" s="4" t="n">
        <v>55</v>
      </c>
      <c r="B735" s="4" t="inlineStr">
        <is>
          <t>OFERTA FINAL POR PADRÃO</t>
        </is>
      </c>
      <c r="C735" s="4" t="inlineStr">
        <is>
          <t>Tabela 1</t>
        </is>
      </c>
      <c r="D735" s="4" t="inlineStr">
        <is>
          <t>Médio</t>
        </is>
      </c>
      <c r="E735" s="4" t="inlineStr">
        <is>
          <t>Faixa de Valor</t>
        </is>
      </c>
      <c r="F735" s="4" t="inlineStr">
        <is>
          <t>de 700.001 até 1.250.000</t>
        </is>
      </c>
      <c r="G735" s="4" t="n"/>
      <c r="H735" s="4" t="n"/>
      <c r="I735" s="4">
        <f>IF(G735="","PENDENTE",IF(AND(ISNUMBER(F735),ISNUMBER(G735)),IF(ABS(G735-F735)&lt;=H735,"IGUAL","DIVERGENTE"),IF(TRIM(G735&amp;"")=TRIM(F735&amp;""),"IGUAL","DIVERGENTE")))</f>
        <v/>
      </c>
      <c r="J735" s="4" t="n"/>
    </row>
    <row r="736">
      <c r="A736" s="3" t="n">
        <v>55</v>
      </c>
      <c r="B736" s="3" t="inlineStr">
        <is>
          <t>OFERTA FINAL POR PADRÃO</t>
        </is>
      </c>
      <c r="C736" s="3" t="inlineStr">
        <is>
          <t>Tabela 1</t>
        </is>
      </c>
      <c r="D736" s="3" t="inlineStr">
        <is>
          <t>Médio</t>
        </is>
      </c>
      <c r="E736" s="3" t="inlineStr">
        <is>
          <t>RM DE PORTO ALEGRE</t>
        </is>
      </c>
      <c r="F736" s="3" t="inlineStr">
        <is>
          <t>308</t>
        </is>
      </c>
      <c r="G736" s="3" t="n"/>
      <c r="H736" s="3" t="n"/>
      <c r="I736" s="3">
        <f>IF(G736="","PENDENTE",IF(AND(ISNUMBER(F736),ISNUMBER(G736)),IF(ABS(G736-F736)&lt;=H736,"IGUAL","DIVERGENTE"),IF(TRIM(G736&amp;"")=TRIM(F736&amp;""),"IGUAL","DIVERGENTE")))</f>
        <v/>
      </c>
      <c r="J736" s="3" t="n"/>
    </row>
    <row r="737">
      <c r="A737" s="4" t="n">
        <v>55</v>
      </c>
      <c r="B737" s="4" t="inlineStr">
        <is>
          <t>OFERTA FINAL POR PADRÃO</t>
        </is>
      </c>
      <c r="C737" s="4" t="inlineStr">
        <is>
          <t>Tabela 1</t>
        </is>
      </c>
      <c r="D737" s="4" t="inlineStr">
        <is>
          <t>Médio</t>
        </is>
      </c>
      <c r="E737" s="4" t="inlineStr">
        <is>
          <t>(%)</t>
        </is>
      </c>
      <c r="F737" s="4" t="inlineStr">
        <is>
          <t>6,4%</t>
        </is>
      </c>
      <c r="G737" s="4" t="n"/>
      <c r="H737" s="4" t="n"/>
      <c r="I737" s="4">
        <f>IF(G737="","PENDENTE",IF(AND(ISNUMBER(F737),ISNUMBER(G737)),IF(ABS(G737-F737)&lt;=H737,"IGUAL","DIVERGENTE"),IF(TRIM(G737&amp;"")=TRIM(F737&amp;""),"IGUAL","DIVERGENTE")))</f>
        <v/>
      </c>
      <c r="J737" s="4" t="n"/>
    </row>
    <row r="738">
      <c r="A738" s="3" t="n">
        <v>55</v>
      </c>
      <c r="B738" s="3" t="inlineStr">
        <is>
          <t>OFERTA FINAL POR PADRÃO</t>
        </is>
      </c>
      <c r="C738" s="3" t="inlineStr">
        <is>
          <t>Tabela 1</t>
        </is>
      </c>
      <c r="D738" s="3" t="inlineStr">
        <is>
          <t>Alto</t>
        </is>
      </c>
      <c r="E738" s="3" t="inlineStr">
        <is>
          <t>Faixa de Valor</t>
        </is>
      </c>
      <c r="F738" s="3" t="inlineStr">
        <is>
          <t>de 1.250.001 até 2.000.000</t>
        </is>
      </c>
      <c r="G738" s="3" t="n"/>
      <c r="H738" s="3" t="n"/>
      <c r="I738" s="3">
        <f>IF(G738="","PENDENTE",IF(AND(ISNUMBER(F738),ISNUMBER(G738)),IF(ABS(G738-F738)&lt;=H738,"IGUAL","DIVERGENTE"),IF(TRIM(G738&amp;"")=TRIM(F738&amp;""),"IGUAL","DIVERGENTE")))</f>
        <v/>
      </c>
      <c r="J738" s="3" t="n"/>
    </row>
    <row r="739">
      <c r="A739" s="4" t="n">
        <v>55</v>
      </c>
      <c r="B739" s="4" t="inlineStr">
        <is>
          <t>OFERTA FINAL POR PADRÃO</t>
        </is>
      </c>
      <c r="C739" s="4" t="inlineStr">
        <is>
          <t>Tabela 1</t>
        </is>
      </c>
      <c r="D739" s="4" t="inlineStr">
        <is>
          <t>Alto</t>
        </is>
      </c>
      <c r="E739" s="4" t="inlineStr">
        <is>
          <t>RM DE PORTO ALEGRE</t>
        </is>
      </c>
      <c r="F739" s="4" t="inlineStr">
        <is>
          <t>101</t>
        </is>
      </c>
      <c r="G739" s="4" t="n"/>
      <c r="H739" s="4" t="n"/>
      <c r="I739" s="4">
        <f>IF(G739="","PENDENTE",IF(AND(ISNUMBER(F739),ISNUMBER(G739)),IF(ABS(G739-F739)&lt;=H739,"IGUAL","DIVERGENTE"),IF(TRIM(G739&amp;"")=TRIM(F739&amp;""),"IGUAL","DIVERGENTE")))</f>
        <v/>
      </c>
      <c r="J739" s="4" t="n"/>
    </row>
    <row r="740">
      <c r="A740" s="3" t="n">
        <v>55</v>
      </c>
      <c r="B740" s="3" t="inlineStr">
        <is>
          <t>OFERTA FINAL POR PADRÃO</t>
        </is>
      </c>
      <c r="C740" s="3" t="inlineStr">
        <is>
          <t>Tabela 1</t>
        </is>
      </c>
      <c r="D740" s="3" t="inlineStr">
        <is>
          <t>Alto</t>
        </is>
      </c>
      <c r="E740" s="3" t="inlineStr">
        <is>
          <t>(%)</t>
        </is>
      </c>
      <c r="F740" s="3" t="inlineStr">
        <is>
          <t>2,1%</t>
        </is>
      </c>
      <c r="G740" s="3" t="n"/>
      <c r="H740" s="3" t="n"/>
      <c r="I740" s="3">
        <f>IF(G740="","PENDENTE",IF(AND(ISNUMBER(F740),ISNUMBER(G740)),IF(ABS(G740-F740)&lt;=H740,"IGUAL","DIVERGENTE"),IF(TRIM(G740&amp;"")=TRIM(F740&amp;""),"IGUAL","DIVERGENTE")))</f>
        <v/>
      </c>
      <c r="J740" s="3" t="n"/>
    </row>
    <row r="741">
      <c r="A741" s="4" t="n">
        <v>55</v>
      </c>
      <c r="B741" s="4" t="inlineStr">
        <is>
          <t>OFERTA FINAL POR PADRÃO</t>
        </is>
      </c>
      <c r="C741" s="4" t="inlineStr">
        <is>
          <t>Tabela 1</t>
        </is>
      </c>
      <c r="D741" s="4" t="inlineStr">
        <is>
          <t>Luxo</t>
        </is>
      </c>
      <c r="E741" s="4" t="inlineStr">
        <is>
          <t>Faixa de Valor</t>
        </is>
      </c>
      <c r="F741" s="4" t="inlineStr">
        <is>
          <t>de 2.000.001 até 4.000.000</t>
        </is>
      </c>
      <c r="G741" s="4" t="n"/>
      <c r="H741" s="4" t="n"/>
      <c r="I741" s="4">
        <f>IF(G741="","PENDENTE",IF(AND(ISNUMBER(F741),ISNUMBER(G741)),IF(ABS(G741-F741)&lt;=H741,"IGUAL","DIVERGENTE"),IF(TRIM(G741&amp;"")=TRIM(F741&amp;""),"IGUAL","DIVERGENTE")))</f>
        <v/>
      </c>
      <c r="J741" s="4" t="n"/>
    </row>
    <row r="742">
      <c r="A742" s="3" t="n">
        <v>55</v>
      </c>
      <c r="B742" s="3" t="inlineStr">
        <is>
          <t>OFERTA FINAL POR PADRÃO</t>
        </is>
      </c>
      <c r="C742" s="3" t="inlineStr">
        <is>
          <t>Tabela 1</t>
        </is>
      </c>
      <c r="D742" s="3" t="inlineStr">
        <is>
          <t>Luxo</t>
        </is>
      </c>
      <c r="E742" s="3" t="inlineStr">
        <is>
          <t>RM DE PORTO ALEGRE</t>
        </is>
      </c>
      <c r="F742" s="3" t="inlineStr">
        <is>
          <t>3</t>
        </is>
      </c>
      <c r="G742" s="3" t="n"/>
      <c r="H742" s="3" t="n"/>
      <c r="I742" s="3">
        <f>IF(G742="","PENDENTE",IF(AND(ISNUMBER(F742),ISNUMBER(G742)),IF(ABS(G742-F742)&lt;=H742,"IGUAL","DIVERGENTE"),IF(TRIM(G742&amp;"")=TRIM(F742&amp;""),"IGUAL","DIVERGENTE")))</f>
        <v/>
      </c>
      <c r="J742" s="3" t="n"/>
    </row>
    <row r="743">
      <c r="A743" s="4" t="n">
        <v>55</v>
      </c>
      <c r="B743" s="4" t="inlineStr">
        <is>
          <t>OFERTA FINAL POR PADRÃO</t>
        </is>
      </c>
      <c r="C743" s="4" t="inlineStr">
        <is>
          <t>Tabela 1</t>
        </is>
      </c>
      <c r="D743" s="4" t="inlineStr">
        <is>
          <t>Luxo</t>
        </is>
      </c>
      <c r="E743" s="4" t="inlineStr">
        <is>
          <t>(%)</t>
        </is>
      </c>
      <c r="F743" s="4" t="inlineStr">
        <is>
          <t>0,1%</t>
        </is>
      </c>
      <c r="G743" s="4" t="n"/>
      <c r="H743" s="4" t="n"/>
      <c r="I743" s="4">
        <f>IF(G743="","PENDENTE",IF(AND(ISNUMBER(F743),ISNUMBER(G743)),IF(ABS(G743-F743)&lt;=H743,"IGUAL","DIVERGENTE"),IF(TRIM(G743&amp;"")=TRIM(F743&amp;""),"IGUAL","DIVERGENTE")))</f>
        <v/>
      </c>
      <c r="J743" s="4" t="n"/>
    </row>
    <row r="744">
      <c r="A744" s="3" t="n">
        <v>55</v>
      </c>
      <c r="B744" s="3" t="inlineStr">
        <is>
          <t>OFERTA FINAL POR PADRÃO</t>
        </is>
      </c>
      <c r="C744" s="3" t="inlineStr">
        <is>
          <t>Tabela 1</t>
        </is>
      </c>
      <c r="D744" s="3" t="inlineStr">
        <is>
          <t>Super Luxo</t>
        </is>
      </c>
      <c r="E744" s="3" t="inlineStr">
        <is>
          <t>Faixa de Valor</t>
        </is>
      </c>
      <c r="F744" s="3" t="inlineStr">
        <is>
          <t>Acima de 4.000.000</t>
        </is>
      </c>
      <c r="G744" s="3" t="n"/>
      <c r="H744" s="3" t="n"/>
      <c r="I744" s="3">
        <f>IF(G744="","PENDENTE",IF(AND(ISNUMBER(F744),ISNUMBER(G744)),IF(ABS(G744-F744)&lt;=H744,"IGUAL","DIVERGENTE"),IF(TRIM(G744&amp;"")=TRIM(F744&amp;""),"IGUAL","DIVERGENTE")))</f>
        <v/>
      </c>
      <c r="J744" s="3" t="n"/>
    </row>
    <row r="745">
      <c r="A745" s="4" t="n">
        <v>55</v>
      </c>
      <c r="B745" s="4" t="inlineStr">
        <is>
          <t>OFERTA FINAL POR PADRÃO</t>
        </is>
      </c>
      <c r="C745" s="4" t="inlineStr">
        <is>
          <t>Tabela 1</t>
        </is>
      </c>
      <c r="D745" s="4" t="inlineStr">
        <is>
          <t>Super Luxo</t>
        </is>
      </c>
      <c r="E745" s="4" t="inlineStr">
        <is>
          <t>RM DE PORTO ALEGRE</t>
        </is>
      </c>
      <c r="F745" s="4" t="inlineStr">
        <is>
          <t>-</t>
        </is>
      </c>
      <c r="G745" s="4" t="n"/>
      <c r="H745" s="4" t="n"/>
      <c r="I745" s="4">
        <f>IF(G745="","PENDENTE",IF(AND(ISNUMBER(F745),ISNUMBER(G745)),IF(ABS(G745-F745)&lt;=H745,"IGUAL","DIVERGENTE"),IF(TRIM(G745&amp;"")=TRIM(F745&amp;""),"IGUAL","DIVERGENTE")))</f>
        <v/>
      </c>
      <c r="J745" s="4" t="n"/>
    </row>
    <row r="746">
      <c r="A746" s="3" t="n">
        <v>55</v>
      </c>
      <c r="B746" s="3" t="inlineStr">
        <is>
          <t>OFERTA FINAL POR PADRÃO</t>
        </is>
      </c>
      <c r="C746" s="3" t="inlineStr">
        <is>
          <t>Tabela 1</t>
        </is>
      </c>
      <c r="D746" s="3" t="inlineStr">
        <is>
          <t>Super Luxo</t>
        </is>
      </c>
      <c r="E746" s="3" t="inlineStr">
        <is>
          <t>(%)</t>
        </is>
      </c>
      <c r="F746" s="3" t="inlineStr">
        <is>
          <t>-</t>
        </is>
      </c>
      <c r="G746" s="3" t="n"/>
      <c r="H746" s="3" t="n"/>
      <c r="I746" s="3">
        <f>IF(G746="","PENDENTE",IF(AND(ISNUMBER(F746),ISNUMBER(G746)),IF(ABS(G746-F746)&lt;=H746,"IGUAL","DIVERGENTE"),IF(TRIM(G746&amp;"")=TRIM(F746&amp;""),"IGUAL","DIVERGENTE")))</f>
        <v/>
      </c>
      <c r="J746" s="3" t="n"/>
    </row>
    <row r="747">
      <c r="A747" s="4" t="n">
        <v>55</v>
      </c>
      <c r="B747" s="4" t="inlineStr">
        <is>
          <t>OFERTA FINAL POR PADRÃO</t>
        </is>
      </c>
      <c r="C747" s="4" t="inlineStr">
        <is>
          <t>Tabela 1</t>
        </is>
      </c>
      <c r="D747" s="4" t="inlineStr">
        <is>
          <t>Total</t>
        </is>
      </c>
      <c r="E747" s="4" t="inlineStr">
        <is>
          <t>RM DE PORTO ALEGRE</t>
        </is>
      </c>
      <c r="F747" s="4" t="inlineStr">
        <is>
          <t>4.850</t>
        </is>
      </c>
      <c r="G747" s="4" t="n"/>
      <c r="H747" s="4" t="n"/>
      <c r="I747" s="4">
        <f>IF(G747="","PENDENTE",IF(AND(ISNUMBER(F747),ISNUMBER(G747)),IF(ABS(G747-F747)&lt;=H747,"IGUAL","DIVERGENTE"),IF(TRIM(G747&amp;"")=TRIM(F747&amp;""),"IGUAL","DIVERGENTE")))</f>
        <v/>
      </c>
      <c r="J747" s="4" t="n"/>
    </row>
    <row r="748">
      <c r="A748" s="3" t="n">
        <v>55</v>
      </c>
      <c r="B748" s="3" t="inlineStr">
        <is>
          <t>OFERTA FINAL POR PADRÃO</t>
        </is>
      </c>
      <c r="C748" s="3" t="inlineStr">
        <is>
          <t>Tabela 1</t>
        </is>
      </c>
      <c r="D748" s="3" t="inlineStr">
        <is>
          <t>Total</t>
        </is>
      </c>
      <c r="E748" s="3" t="inlineStr">
        <is>
          <t>(%)</t>
        </is>
      </c>
      <c r="F748" s="3" t="inlineStr">
        <is>
          <t>100%</t>
        </is>
      </c>
      <c r="G748" s="3" t="n"/>
      <c r="H748" s="3" t="n"/>
      <c r="I748" s="3">
        <f>IF(G748="","PENDENTE",IF(AND(ISNUMBER(F748),ISNUMBER(G748)),IF(ABS(G748-F748)&lt;=H748,"IGUAL","DIVERGENTE"),IF(TRIM(G748&amp;"")=TRIM(F748&amp;""),"IGUAL","DIVERGENTE")))</f>
        <v/>
      </c>
      <c r="J748" s="3" t="n"/>
    </row>
    <row r="749">
      <c r="A749" s="4" t="n">
        <v>56</v>
      </c>
      <c r="B749" s="4" t="inlineStr">
        <is>
          <t>OFERTA FINAL POR TIPOLOGIA</t>
        </is>
      </c>
      <c r="C749" s="4" t="inlineStr">
        <is>
          <t>Tabela 1</t>
        </is>
      </c>
      <c r="D749" s="4" t="inlineStr">
        <is>
          <t>1 Dormitório</t>
        </is>
      </c>
      <c r="E749" s="4" t="inlineStr">
        <is>
          <t>RM DE PORTO ALEGRE</t>
        </is>
      </c>
      <c r="F749" s="4" t="inlineStr">
        <is>
          <t>199</t>
        </is>
      </c>
      <c r="G749" s="4" t="n"/>
      <c r="H749" s="4" t="n"/>
      <c r="I749" s="4">
        <f>IF(G749="","PENDENTE",IF(AND(ISNUMBER(F749),ISNUMBER(G749)),IF(ABS(G749-F749)&lt;=H749,"IGUAL","DIVERGENTE"),IF(TRIM(G749&amp;"")=TRIM(F749&amp;""),"IGUAL","DIVERGENTE")))</f>
        <v/>
      </c>
      <c r="J749" s="4" t="n"/>
    </row>
    <row r="750">
      <c r="A750" s="3" t="n">
        <v>56</v>
      </c>
      <c r="B750" s="3" t="inlineStr">
        <is>
          <t>OFERTA FINAL POR TIPOLOGIA</t>
        </is>
      </c>
      <c r="C750" s="3" t="inlineStr">
        <is>
          <t>Tabela 1</t>
        </is>
      </c>
      <c r="D750" s="3" t="inlineStr">
        <is>
          <t>1 Dormitório</t>
        </is>
      </c>
      <c r="E750" s="3" t="inlineStr">
        <is>
          <t>(%)</t>
        </is>
      </c>
      <c r="F750" s="3" t="inlineStr">
        <is>
          <t>4,1%</t>
        </is>
      </c>
      <c r="G750" s="3" t="n"/>
      <c r="H750" s="3" t="n"/>
      <c r="I750" s="3">
        <f>IF(G750="","PENDENTE",IF(AND(ISNUMBER(F750),ISNUMBER(G750)),IF(ABS(G750-F750)&lt;=H750,"IGUAL","DIVERGENTE"),IF(TRIM(G750&amp;"")=TRIM(F750&amp;""),"IGUAL","DIVERGENTE")))</f>
        <v/>
      </c>
      <c r="J750" s="3" t="n"/>
    </row>
    <row r="751">
      <c r="A751" s="4" t="n">
        <v>56</v>
      </c>
      <c r="B751" s="4" t="inlineStr">
        <is>
          <t>OFERTA FINAL POR TIPOLOGIA</t>
        </is>
      </c>
      <c r="C751" s="4" t="inlineStr">
        <is>
          <t>Tabela 1</t>
        </is>
      </c>
      <c r="D751" s="4" t="inlineStr">
        <is>
          <t>2 Dormitórios</t>
        </is>
      </c>
      <c r="E751" s="4" t="inlineStr">
        <is>
          <t>RM DE PORTO ALEGRE</t>
        </is>
      </c>
      <c r="F751" s="4" t="inlineStr">
        <is>
          <t>4.208</t>
        </is>
      </c>
      <c r="G751" s="4" t="n"/>
      <c r="H751" s="4" t="n"/>
      <c r="I751" s="4">
        <f>IF(G751="","PENDENTE",IF(AND(ISNUMBER(F751),ISNUMBER(G751)),IF(ABS(G751-F751)&lt;=H751,"IGUAL","DIVERGENTE"),IF(TRIM(G751&amp;"")=TRIM(F751&amp;""),"IGUAL","DIVERGENTE")))</f>
        <v/>
      </c>
      <c r="J751" s="4" t="n"/>
    </row>
    <row r="752">
      <c r="A752" s="3" t="n">
        <v>56</v>
      </c>
      <c r="B752" s="3" t="inlineStr">
        <is>
          <t>OFERTA FINAL POR TIPOLOGIA</t>
        </is>
      </c>
      <c r="C752" s="3" t="inlineStr">
        <is>
          <t>Tabela 1</t>
        </is>
      </c>
      <c r="D752" s="3" t="inlineStr">
        <is>
          <t>2 Dormitórios</t>
        </is>
      </c>
      <c r="E752" s="3" t="inlineStr">
        <is>
          <t>(%)</t>
        </is>
      </c>
      <c r="F752" s="3" t="inlineStr">
        <is>
          <t>86,8%</t>
        </is>
      </c>
      <c r="G752" s="3" t="n"/>
      <c r="H752" s="3" t="n"/>
      <c r="I752" s="3">
        <f>IF(G752="","PENDENTE",IF(AND(ISNUMBER(F752),ISNUMBER(G752)),IF(ABS(G752-F752)&lt;=H752,"IGUAL","DIVERGENTE"),IF(TRIM(G752&amp;"")=TRIM(F752&amp;""),"IGUAL","DIVERGENTE")))</f>
        <v/>
      </c>
      <c r="J752" s="3" t="n"/>
    </row>
    <row r="753">
      <c r="A753" s="4" t="n">
        <v>56</v>
      </c>
      <c r="B753" s="4" t="inlineStr">
        <is>
          <t>OFERTA FINAL POR TIPOLOGIA</t>
        </is>
      </c>
      <c r="C753" s="4" t="inlineStr">
        <is>
          <t>Tabela 1</t>
        </is>
      </c>
      <c r="D753" s="4" t="inlineStr">
        <is>
          <t>3 Dormitórios</t>
        </is>
      </c>
      <c r="E753" s="4" t="inlineStr">
        <is>
          <t>RM DE PORTO ALEGRE</t>
        </is>
      </c>
      <c r="F753" s="4" t="inlineStr">
        <is>
          <t>442</t>
        </is>
      </c>
      <c r="G753" s="4" t="n"/>
      <c r="H753" s="4" t="n"/>
      <c r="I753" s="4">
        <f>IF(G753="","PENDENTE",IF(AND(ISNUMBER(F753),ISNUMBER(G753)),IF(ABS(G753-F753)&lt;=H753,"IGUAL","DIVERGENTE"),IF(TRIM(G753&amp;"")=TRIM(F753&amp;""),"IGUAL","DIVERGENTE")))</f>
        <v/>
      </c>
      <c r="J753" s="4" t="n"/>
    </row>
    <row r="754">
      <c r="A754" s="3" t="n">
        <v>56</v>
      </c>
      <c r="B754" s="3" t="inlineStr">
        <is>
          <t>OFERTA FINAL POR TIPOLOGIA</t>
        </is>
      </c>
      <c r="C754" s="3" t="inlineStr">
        <is>
          <t>Tabela 1</t>
        </is>
      </c>
      <c r="D754" s="3" t="inlineStr">
        <is>
          <t>3 Dormitórios</t>
        </is>
      </c>
      <c r="E754" s="3" t="inlineStr">
        <is>
          <t>(%)</t>
        </is>
      </c>
      <c r="F754" s="3" t="inlineStr">
        <is>
          <t>9,1%</t>
        </is>
      </c>
      <c r="G754" s="3" t="n"/>
      <c r="H754" s="3" t="n"/>
      <c r="I754" s="3">
        <f>IF(G754="","PENDENTE",IF(AND(ISNUMBER(F754),ISNUMBER(G754)),IF(ABS(G754-F754)&lt;=H754,"IGUAL","DIVERGENTE"),IF(TRIM(G754&amp;"")=TRIM(F754&amp;""),"IGUAL","DIVERGENTE")))</f>
        <v/>
      </c>
      <c r="J754" s="3" t="n"/>
    </row>
    <row r="755">
      <c r="A755" s="4" t="n">
        <v>56</v>
      </c>
      <c r="B755" s="4" t="inlineStr">
        <is>
          <t>OFERTA FINAL POR TIPOLOGIA</t>
        </is>
      </c>
      <c r="C755" s="4" t="inlineStr">
        <is>
          <t>Tabela 1</t>
        </is>
      </c>
      <c r="D755" s="4" t="inlineStr">
        <is>
          <t>4 ou + Dormitórios</t>
        </is>
      </c>
      <c r="E755" s="4" t="inlineStr">
        <is>
          <t>RM DE PORTO ALEGRE</t>
        </is>
      </c>
      <c r="F755" s="4" t="inlineStr">
        <is>
          <t>1</t>
        </is>
      </c>
      <c r="G755" s="4" t="n"/>
      <c r="H755" s="4" t="n"/>
      <c r="I755" s="4">
        <f>IF(G755="","PENDENTE",IF(AND(ISNUMBER(F755),ISNUMBER(G755)),IF(ABS(G755-F755)&lt;=H755,"IGUAL","DIVERGENTE"),IF(TRIM(G755&amp;"")=TRIM(F755&amp;""),"IGUAL","DIVERGENTE")))</f>
        <v/>
      </c>
      <c r="J755" s="4" t="n"/>
    </row>
    <row r="756">
      <c r="A756" s="3" t="n">
        <v>56</v>
      </c>
      <c r="B756" s="3" t="inlineStr">
        <is>
          <t>OFERTA FINAL POR TIPOLOGIA</t>
        </is>
      </c>
      <c r="C756" s="3" t="inlineStr">
        <is>
          <t>Tabela 1</t>
        </is>
      </c>
      <c r="D756" s="3" t="inlineStr">
        <is>
          <t>4 ou + Dormitórios</t>
        </is>
      </c>
      <c r="E756" s="3" t="inlineStr">
        <is>
          <t>(%)</t>
        </is>
      </c>
      <c r="F756" s="3" t="inlineStr">
        <is>
          <t>0,0%</t>
        </is>
      </c>
      <c r="G756" s="3" t="n"/>
      <c r="H756" s="3" t="n"/>
      <c r="I756" s="3">
        <f>IF(G756="","PENDENTE",IF(AND(ISNUMBER(F756),ISNUMBER(G756)),IF(ABS(G756-F756)&lt;=H756,"IGUAL","DIVERGENTE"),IF(TRIM(G756&amp;"")=TRIM(F756&amp;""),"IGUAL","DIVERGENTE")))</f>
        <v/>
      </c>
      <c r="J756" s="3" t="n"/>
    </row>
    <row r="757">
      <c r="A757" s="4" t="n">
        <v>56</v>
      </c>
      <c r="B757" s="4" t="inlineStr">
        <is>
          <t>OFERTA FINAL POR TIPOLOGIA</t>
        </is>
      </c>
      <c r="C757" s="4" t="inlineStr">
        <is>
          <t>Tabela 1</t>
        </is>
      </c>
      <c r="D757" s="4" t="inlineStr">
        <is>
          <t>Total</t>
        </is>
      </c>
      <c r="E757" s="4" t="inlineStr">
        <is>
          <t>RM DE PORTO ALEGRE</t>
        </is>
      </c>
      <c r="F757" s="4" t="inlineStr">
        <is>
          <t>4.850</t>
        </is>
      </c>
      <c r="G757" s="4" t="n"/>
      <c r="H757" s="4" t="n"/>
      <c r="I757" s="4">
        <f>IF(G757="","PENDENTE",IF(AND(ISNUMBER(F757),ISNUMBER(G757)),IF(ABS(G757-F757)&lt;=H757,"IGUAL","DIVERGENTE"),IF(TRIM(G757&amp;"")=TRIM(F757&amp;""),"IGUAL","DIVERGENTE")))</f>
        <v/>
      </c>
      <c r="J757" s="4" t="n"/>
    </row>
    <row r="758">
      <c r="A758" s="3" t="n">
        <v>56</v>
      </c>
      <c r="B758" s="3" t="inlineStr">
        <is>
          <t>OFERTA FINAL POR TIPOLOGIA</t>
        </is>
      </c>
      <c r="C758" s="3" t="inlineStr">
        <is>
          <t>Tabela 1</t>
        </is>
      </c>
      <c r="D758" s="3" t="inlineStr">
        <is>
          <t>Total</t>
        </is>
      </c>
      <c r="E758" s="3" t="inlineStr">
        <is>
          <t>(%)</t>
        </is>
      </c>
      <c r="F758" s="3" t="inlineStr">
        <is>
          <t>100%</t>
        </is>
      </c>
      <c r="G758" s="3" t="n"/>
      <c r="H758" s="3" t="n"/>
      <c r="I758" s="3">
        <f>IF(G758="","PENDENTE",IF(AND(ISNUMBER(F758),ISNUMBER(G758)),IF(ABS(G758-F758)&lt;=H758,"IGUAL","DIVERGENTE"),IF(TRIM(G758&amp;"")=TRIM(F758&amp;""),"IGUAL","DIVERGENTE")))</f>
        <v/>
      </c>
      <c r="J758" s="3" t="n"/>
    </row>
    <row r="759">
      <c r="A759" s="4" t="n">
        <v>57</v>
      </c>
      <c r="B759" s="4" t="inlineStr">
        <is>
          <t>OFERTA FINAL POR TIPOLOGIA E METRAGEM</t>
        </is>
      </c>
      <c r="C759" s="4" t="inlineStr">
        <is>
          <t>Tabela 1</t>
        </is>
      </c>
      <c r="D759" s="4" t="inlineStr">
        <is>
          <t>Até 34m²</t>
        </is>
      </c>
      <c r="E759" s="4" t="inlineStr">
        <is>
          <t>1 Dormitório</t>
        </is>
      </c>
      <c r="F759" s="4" t="inlineStr">
        <is>
          <t>128</t>
        </is>
      </c>
      <c r="G759" s="4" t="n"/>
      <c r="H759" s="4" t="n"/>
      <c r="I759" s="4">
        <f>IF(G759="","PENDENTE",IF(AND(ISNUMBER(F759),ISNUMBER(G759)),IF(ABS(G759-F759)&lt;=H759,"IGUAL","DIVERGENTE"),IF(TRIM(G759&amp;"")=TRIM(F759&amp;""),"IGUAL","DIVERGENTE")))</f>
        <v/>
      </c>
      <c r="J759" s="4" t="n"/>
    </row>
    <row r="760">
      <c r="A760" s="3" t="n">
        <v>57</v>
      </c>
      <c r="B760" s="3" t="inlineStr">
        <is>
          <t>OFERTA FINAL POR TIPOLOGIA E METRAGEM</t>
        </is>
      </c>
      <c r="C760" s="3" t="inlineStr">
        <is>
          <t>Tabela 1</t>
        </is>
      </c>
      <c r="D760" s="3" t="inlineStr">
        <is>
          <t>Até 34m²</t>
        </is>
      </c>
      <c r="E760" s="3" t="inlineStr">
        <is>
          <t>2 Dormitórios</t>
        </is>
      </c>
      <c r="F760" s="3" t="inlineStr">
        <is>
          <t>0</t>
        </is>
      </c>
      <c r="G760" s="3" t="n"/>
      <c r="H760" s="3" t="n"/>
      <c r="I760" s="3">
        <f>IF(G760="","PENDENTE",IF(AND(ISNUMBER(F760),ISNUMBER(G760)),IF(ABS(G760-F760)&lt;=H760,"IGUAL","DIVERGENTE"),IF(TRIM(G760&amp;"")=TRIM(F760&amp;""),"IGUAL","DIVERGENTE")))</f>
        <v/>
      </c>
      <c r="J760" s="3" t="n"/>
    </row>
    <row r="761">
      <c r="A761" s="4" t="n">
        <v>57</v>
      </c>
      <c r="B761" s="4" t="inlineStr">
        <is>
          <t>OFERTA FINAL POR TIPOLOGIA E METRAGEM</t>
        </is>
      </c>
      <c r="C761" s="4" t="inlineStr">
        <is>
          <t>Tabela 1</t>
        </is>
      </c>
      <c r="D761" s="4" t="inlineStr">
        <is>
          <t>Até 34m²</t>
        </is>
      </c>
      <c r="E761" s="4" t="inlineStr">
        <is>
          <t>3 Dormitórios</t>
        </is>
      </c>
      <c r="F761" s="4" t="inlineStr">
        <is>
          <t>0</t>
        </is>
      </c>
      <c r="G761" s="4" t="n"/>
      <c r="H761" s="4" t="n"/>
      <c r="I761" s="4">
        <f>IF(G761="","PENDENTE",IF(AND(ISNUMBER(F761),ISNUMBER(G761)),IF(ABS(G761-F761)&lt;=H761,"IGUAL","DIVERGENTE"),IF(TRIM(G761&amp;"")=TRIM(F761&amp;""),"IGUAL","DIVERGENTE")))</f>
        <v/>
      </c>
      <c r="J761" s="4" t="n"/>
    </row>
    <row r="762">
      <c r="A762" s="3" t="n">
        <v>57</v>
      </c>
      <c r="B762" s="3" t="inlineStr">
        <is>
          <t>OFERTA FINAL POR TIPOLOGIA E METRAGEM</t>
        </is>
      </c>
      <c r="C762" s="3" t="inlineStr">
        <is>
          <t>Tabela 1</t>
        </is>
      </c>
      <c r="D762" s="3" t="inlineStr">
        <is>
          <t>Até 34m²</t>
        </is>
      </c>
      <c r="E762" s="3" t="inlineStr">
        <is>
          <t>4 Dormitórios</t>
        </is>
      </c>
      <c r="F762" s="3" t="inlineStr">
        <is>
          <t>0</t>
        </is>
      </c>
      <c r="G762" s="3" t="n"/>
      <c r="H762" s="3" t="n"/>
      <c r="I762" s="3">
        <f>IF(G762="","PENDENTE",IF(AND(ISNUMBER(F762),ISNUMBER(G762)),IF(ABS(G762-F762)&lt;=H762,"IGUAL","DIVERGENTE"),IF(TRIM(G762&amp;"")=TRIM(F762&amp;""),"IGUAL","DIVERGENTE")))</f>
        <v/>
      </c>
      <c r="J762" s="3" t="n"/>
    </row>
    <row r="763">
      <c r="A763" s="4" t="n">
        <v>57</v>
      </c>
      <c r="B763" s="4" t="inlineStr">
        <is>
          <t>OFERTA FINAL POR TIPOLOGIA E METRAGEM</t>
        </is>
      </c>
      <c r="C763" s="4" t="inlineStr">
        <is>
          <t>Tabela 1</t>
        </is>
      </c>
      <c r="D763" s="4" t="inlineStr">
        <is>
          <t>Até 34m²</t>
        </is>
      </c>
      <c r="E763" s="4" t="inlineStr">
        <is>
          <t>Total</t>
        </is>
      </c>
      <c r="F763" s="4" t="inlineStr">
        <is>
          <t>128</t>
        </is>
      </c>
      <c r="G763" s="4" t="n"/>
      <c r="H763" s="4" t="n"/>
      <c r="I763" s="4">
        <f>IF(G763="","PENDENTE",IF(AND(ISNUMBER(F763),ISNUMBER(G763)),IF(ABS(G763-F763)&lt;=H763,"IGUAL","DIVERGENTE"),IF(TRIM(G763&amp;"")=TRIM(F763&amp;""),"IGUAL","DIVERGENTE")))</f>
        <v/>
      </c>
      <c r="J763" s="4" t="n"/>
    </row>
    <row r="764">
      <c r="A764" s="3" t="n">
        <v>57</v>
      </c>
      <c r="B764" s="3" t="inlineStr">
        <is>
          <t>OFERTA FINAL POR TIPOLOGIA E METRAGEM</t>
        </is>
      </c>
      <c r="C764" s="3" t="inlineStr">
        <is>
          <t>Tabela 1</t>
        </is>
      </c>
      <c r="D764" s="3" t="inlineStr">
        <is>
          <t>De 35m² a 39m²</t>
        </is>
      </c>
      <c r="E764" s="3" t="inlineStr">
        <is>
          <t>1 Dormitório</t>
        </is>
      </c>
      <c r="F764" s="3" t="inlineStr">
        <is>
          <t>11</t>
        </is>
      </c>
      <c r="G764" s="3" t="n"/>
      <c r="H764" s="3" t="n"/>
      <c r="I764" s="3">
        <f>IF(G764="","PENDENTE",IF(AND(ISNUMBER(F764),ISNUMBER(G764)),IF(ABS(G764-F764)&lt;=H764,"IGUAL","DIVERGENTE"),IF(TRIM(G764&amp;"")=TRIM(F764&amp;""),"IGUAL","DIVERGENTE")))</f>
        <v/>
      </c>
      <c r="J764" s="3" t="n"/>
    </row>
    <row r="765">
      <c r="A765" s="4" t="n">
        <v>57</v>
      </c>
      <c r="B765" s="4" t="inlineStr">
        <is>
          <t>OFERTA FINAL POR TIPOLOGIA E METRAGEM</t>
        </is>
      </c>
      <c r="C765" s="4" t="inlineStr">
        <is>
          <t>Tabela 1</t>
        </is>
      </c>
      <c r="D765" s="4" t="inlineStr">
        <is>
          <t>De 35m² a 39m²</t>
        </is>
      </c>
      <c r="E765" s="4" t="inlineStr">
        <is>
          <t>2 Dormitórios</t>
        </is>
      </c>
      <c r="F765" s="4" t="inlineStr">
        <is>
          <t>171</t>
        </is>
      </c>
      <c r="G765" s="4" t="n"/>
      <c r="H765" s="4" t="n"/>
      <c r="I765" s="4">
        <f>IF(G765="","PENDENTE",IF(AND(ISNUMBER(F765),ISNUMBER(G765)),IF(ABS(G765-F765)&lt;=H765,"IGUAL","DIVERGENTE"),IF(TRIM(G765&amp;"")=TRIM(F765&amp;""),"IGUAL","DIVERGENTE")))</f>
        <v/>
      </c>
      <c r="J765" s="4" t="n"/>
    </row>
    <row r="766">
      <c r="A766" s="3" t="n">
        <v>57</v>
      </c>
      <c r="B766" s="3" t="inlineStr">
        <is>
          <t>OFERTA FINAL POR TIPOLOGIA E METRAGEM</t>
        </is>
      </c>
      <c r="C766" s="3" t="inlineStr">
        <is>
          <t>Tabela 1</t>
        </is>
      </c>
      <c r="D766" s="3" t="inlineStr">
        <is>
          <t>De 35m² a 39m²</t>
        </is>
      </c>
      <c r="E766" s="3" t="inlineStr">
        <is>
          <t>3 Dormitórios</t>
        </is>
      </c>
      <c r="F766" s="3" t="inlineStr">
        <is>
          <t>0</t>
        </is>
      </c>
      <c r="G766" s="3" t="n"/>
      <c r="H766" s="3" t="n"/>
      <c r="I766" s="3">
        <f>IF(G766="","PENDENTE",IF(AND(ISNUMBER(F766),ISNUMBER(G766)),IF(ABS(G766-F766)&lt;=H766,"IGUAL","DIVERGENTE"),IF(TRIM(G766&amp;"")=TRIM(F766&amp;""),"IGUAL","DIVERGENTE")))</f>
        <v/>
      </c>
      <c r="J766" s="3" t="n"/>
    </row>
    <row r="767">
      <c r="A767" s="4" t="n">
        <v>57</v>
      </c>
      <c r="B767" s="4" t="inlineStr">
        <is>
          <t>OFERTA FINAL POR TIPOLOGIA E METRAGEM</t>
        </is>
      </c>
      <c r="C767" s="4" t="inlineStr">
        <is>
          <t>Tabela 1</t>
        </is>
      </c>
      <c r="D767" s="4" t="inlineStr">
        <is>
          <t>De 35m² a 39m²</t>
        </is>
      </c>
      <c r="E767" s="4" t="inlineStr">
        <is>
          <t>4 Dormitórios</t>
        </is>
      </c>
      <c r="F767" s="4" t="inlineStr">
        <is>
          <t>0</t>
        </is>
      </c>
      <c r="G767" s="4" t="n"/>
      <c r="H767" s="4" t="n"/>
      <c r="I767" s="4">
        <f>IF(G767="","PENDENTE",IF(AND(ISNUMBER(F767),ISNUMBER(G767)),IF(ABS(G767-F767)&lt;=H767,"IGUAL","DIVERGENTE"),IF(TRIM(G767&amp;"")=TRIM(F767&amp;""),"IGUAL","DIVERGENTE")))</f>
        <v/>
      </c>
      <c r="J767" s="4" t="n"/>
    </row>
    <row r="768">
      <c r="A768" s="3" t="n">
        <v>57</v>
      </c>
      <c r="B768" s="3" t="inlineStr">
        <is>
          <t>OFERTA FINAL POR TIPOLOGIA E METRAGEM</t>
        </is>
      </c>
      <c r="C768" s="3" t="inlineStr">
        <is>
          <t>Tabela 1</t>
        </is>
      </c>
      <c r="D768" s="3" t="inlineStr">
        <is>
          <t>De 35m² a 39m²</t>
        </is>
      </c>
      <c r="E768" s="3" t="inlineStr">
        <is>
          <t>Total</t>
        </is>
      </c>
      <c r="F768" s="3" t="inlineStr">
        <is>
          <t>182</t>
        </is>
      </c>
      <c r="G768" s="3" t="n"/>
      <c r="H768" s="3" t="n"/>
      <c r="I768" s="3">
        <f>IF(G768="","PENDENTE",IF(AND(ISNUMBER(F768),ISNUMBER(G768)),IF(ABS(G768-F768)&lt;=H768,"IGUAL","DIVERGENTE"),IF(TRIM(G768&amp;"")=TRIM(F768&amp;""),"IGUAL","DIVERGENTE")))</f>
        <v/>
      </c>
      <c r="J768" s="3" t="n"/>
    </row>
    <row r="769">
      <c r="A769" s="4" t="n">
        <v>57</v>
      </c>
      <c r="B769" s="4" t="inlineStr">
        <is>
          <t>OFERTA FINAL POR TIPOLOGIA E METRAGEM</t>
        </is>
      </c>
      <c r="C769" s="4" t="inlineStr">
        <is>
          <t>Tabela 1</t>
        </is>
      </c>
      <c r="D769" s="4" t="inlineStr">
        <is>
          <t>De 40m² a 44m²</t>
        </is>
      </c>
      <c r="E769" s="4" t="inlineStr">
        <is>
          <t>1 Dormitório</t>
        </is>
      </c>
      <c r="F769" s="4" t="inlineStr">
        <is>
          <t>22</t>
        </is>
      </c>
      <c r="G769" s="4" t="n"/>
      <c r="H769" s="4" t="n"/>
      <c r="I769" s="4">
        <f>IF(G769="","PENDENTE",IF(AND(ISNUMBER(F769),ISNUMBER(G769)),IF(ABS(G769-F769)&lt;=H769,"IGUAL","DIVERGENTE"),IF(TRIM(G769&amp;"")=TRIM(F769&amp;""),"IGUAL","DIVERGENTE")))</f>
        <v/>
      </c>
      <c r="J769" s="4" t="n"/>
    </row>
    <row r="770">
      <c r="A770" s="3" t="n">
        <v>57</v>
      </c>
      <c r="B770" s="3" t="inlineStr">
        <is>
          <t>OFERTA FINAL POR TIPOLOGIA E METRAGEM</t>
        </is>
      </c>
      <c r="C770" s="3" t="inlineStr">
        <is>
          <t>Tabela 1</t>
        </is>
      </c>
      <c r="D770" s="3" t="inlineStr">
        <is>
          <t>De 40m² a 44m²</t>
        </is>
      </c>
      <c r="E770" s="3" t="inlineStr">
        <is>
          <t>2 Dormitórios</t>
        </is>
      </c>
      <c r="F770" s="3" t="inlineStr">
        <is>
          <t>647</t>
        </is>
      </c>
      <c r="G770" s="3" t="n"/>
      <c r="H770" s="3" t="n"/>
      <c r="I770" s="3">
        <f>IF(G770="","PENDENTE",IF(AND(ISNUMBER(F770),ISNUMBER(G770)),IF(ABS(G770-F770)&lt;=H770,"IGUAL","DIVERGENTE"),IF(TRIM(G770&amp;"")=TRIM(F770&amp;""),"IGUAL","DIVERGENTE")))</f>
        <v/>
      </c>
      <c r="J770" s="3" t="n"/>
    </row>
    <row r="771">
      <c r="A771" s="4" t="n">
        <v>57</v>
      </c>
      <c r="B771" s="4" t="inlineStr">
        <is>
          <t>OFERTA FINAL POR TIPOLOGIA E METRAGEM</t>
        </is>
      </c>
      <c r="C771" s="4" t="inlineStr">
        <is>
          <t>Tabela 1</t>
        </is>
      </c>
      <c r="D771" s="4" t="inlineStr">
        <is>
          <t>De 40m² a 44m²</t>
        </is>
      </c>
      <c r="E771" s="4" t="inlineStr">
        <is>
          <t>3 Dormitórios</t>
        </is>
      </c>
      <c r="F771" s="4" t="inlineStr">
        <is>
          <t>0</t>
        </is>
      </c>
      <c r="G771" s="4" t="n"/>
      <c r="H771" s="4" t="n"/>
      <c r="I771" s="4">
        <f>IF(G771="","PENDENTE",IF(AND(ISNUMBER(F771),ISNUMBER(G771)),IF(ABS(G771-F771)&lt;=H771,"IGUAL","DIVERGENTE"),IF(TRIM(G771&amp;"")=TRIM(F771&amp;""),"IGUAL","DIVERGENTE")))</f>
        <v/>
      </c>
      <c r="J771" s="4" t="n"/>
    </row>
    <row r="772">
      <c r="A772" s="3" t="n">
        <v>57</v>
      </c>
      <c r="B772" s="3" t="inlineStr">
        <is>
          <t>OFERTA FINAL POR TIPOLOGIA E METRAGEM</t>
        </is>
      </c>
      <c r="C772" s="3" t="inlineStr">
        <is>
          <t>Tabela 1</t>
        </is>
      </c>
      <c r="D772" s="3" t="inlineStr">
        <is>
          <t>De 40m² a 44m²</t>
        </is>
      </c>
      <c r="E772" s="3" t="inlineStr">
        <is>
          <t>4 Dormitórios</t>
        </is>
      </c>
      <c r="F772" s="3" t="inlineStr">
        <is>
          <t>0</t>
        </is>
      </c>
      <c r="G772" s="3" t="n"/>
      <c r="H772" s="3" t="n"/>
      <c r="I772" s="3">
        <f>IF(G772="","PENDENTE",IF(AND(ISNUMBER(F772),ISNUMBER(G772)),IF(ABS(G772-F772)&lt;=H772,"IGUAL","DIVERGENTE"),IF(TRIM(G772&amp;"")=TRIM(F772&amp;""),"IGUAL","DIVERGENTE")))</f>
        <v/>
      </c>
      <c r="J772" s="3" t="n"/>
    </row>
    <row r="773">
      <c r="A773" s="4" t="n">
        <v>57</v>
      </c>
      <c r="B773" s="4" t="inlineStr">
        <is>
          <t>OFERTA FINAL POR TIPOLOGIA E METRAGEM</t>
        </is>
      </c>
      <c r="C773" s="4" t="inlineStr">
        <is>
          <t>Tabela 1</t>
        </is>
      </c>
      <c r="D773" s="4" t="inlineStr">
        <is>
          <t>De 40m² a 44m²</t>
        </is>
      </c>
      <c r="E773" s="4" t="inlineStr">
        <is>
          <t>Total</t>
        </is>
      </c>
      <c r="F773" s="4" t="inlineStr">
        <is>
          <t>669</t>
        </is>
      </c>
      <c r="G773" s="4" t="n"/>
      <c r="H773" s="4" t="n"/>
      <c r="I773" s="4">
        <f>IF(G773="","PENDENTE",IF(AND(ISNUMBER(F773),ISNUMBER(G773)),IF(ABS(G773-F773)&lt;=H773,"IGUAL","DIVERGENTE"),IF(TRIM(G773&amp;"")=TRIM(F773&amp;""),"IGUAL","DIVERGENTE")))</f>
        <v/>
      </c>
      <c r="J773" s="4" t="n"/>
    </row>
    <row r="774">
      <c r="A774" s="3" t="n">
        <v>57</v>
      </c>
      <c r="B774" s="3" t="inlineStr">
        <is>
          <t>OFERTA FINAL POR TIPOLOGIA E METRAGEM</t>
        </is>
      </c>
      <c r="C774" s="3" t="inlineStr">
        <is>
          <t>Tabela 1</t>
        </is>
      </c>
      <c r="D774" s="3" t="inlineStr">
        <is>
          <t>De 45m² a 49m²</t>
        </is>
      </c>
      <c r="E774" s="3" t="inlineStr">
        <is>
          <t>1 Dormitório</t>
        </is>
      </c>
      <c r="F774" s="3" t="inlineStr">
        <is>
          <t>26</t>
        </is>
      </c>
      <c r="G774" s="3" t="n"/>
      <c r="H774" s="3" t="n"/>
      <c r="I774" s="3">
        <f>IF(G774="","PENDENTE",IF(AND(ISNUMBER(F774),ISNUMBER(G774)),IF(ABS(G774-F774)&lt;=H774,"IGUAL","DIVERGENTE"),IF(TRIM(G774&amp;"")=TRIM(F774&amp;""),"IGUAL","DIVERGENTE")))</f>
        <v/>
      </c>
      <c r="J774" s="3" t="n"/>
    </row>
    <row r="775">
      <c r="A775" s="4" t="n">
        <v>57</v>
      </c>
      <c r="B775" s="4" t="inlineStr">
        <is>
          <t>OFERTA FINAL POR TIPOLOGIA E METRAGEM</t>
        </is>
      </c>
      <c r="C775" s="4" t="inlineStr">
        <is>
          <t>Tabela 1</t>
        </is>
      </c>
      <c r="D775" s="4" t="inlineStr">
        <is>
          <t>De 45m² a 49m²</t>
        </is>
      </c>
      <c r="E775" s="4" t="inlineStr">
        <is>
          <t>2 Dormitórios</t>
        </is>
      </c>
      <c r="F775" s="4" t="inlineStr">
        <is>
          <t>2.173</t>
        </is>
      </c>
      <c r="G775" s="4" t="n"/>
      <c r="H775" s="4" t="n"/>
      <c r="I775" s="4">
        <f>IF(G775="","PENDENTE",IF(AND(ISNUMBER(F775),ISNUMBER(G775)),IF(ABS(G775-F775)&lt;=H775,"IGUAL","DIVERGENTE"),IF(TRIM(G775&amp;"")=TRIM(F775&amp;""),"IGUAL","DIVERGENTE")))</f>
        <v/>
      </c>
      <c r="J775" s="4" t="n"/>
    </row>
    <row r="776">
      <c r="A776" s="3" t="n">
        <v>57</v>
      </c>
      <c r="B776" s="3" t="inlineStr">
        <is>
          <t>OFERTA FINAL POR TIPOLOGIA E METRAGEM</t>
        </is>
      </c>
      <c r="C776" s="3" t="inlineStr">
        <is>
          <t>Tabela 1</t>
        </is>
      </c>
      <c r="D776" s="3" t="inlineStr">
        <is>
          <t>De 45m² a 49m²</t>
        </is>
      </c>
      <c r="E776" s="3" t="inlineStr">
        <is>
          <t>3 Dormitórios</t>
        </is>
      </c>
      <c r="F776" s="3" t="inlineStr">
        <is>
          <t>0</t>
        </is>
      </c>
      <c r="G776" s="3" t="n"/>
      <c r="H776" s="3" t="n"/>
      <c r="I776" s="3">
        <f>IF(G776="","PENDENTE",IF(AND(ISNUMBER(F776),ISNUMBER(G776)),IF(ABS(G776-F776)&lt;=H776,"IGUAL","DIVERGENTE"),IF(TRIM(G776&amp;"")=TRIM(F776&amp;""),"IGUAL","DIVERGENTE")))</f>
        <v/>
      </c>
      <c r="J776" s="3" t="n"/>
    </row>
    <row r="777">
      <c r="A777" s="4" t="n">
        <v>57</v>
      </c>
      <c r="B777" s="4" t="inlineStr">
        <is>
          <t>OFERTA FINAL POR TIPOLOGIA E METRAGEM</t>
        </is>
      </c>
      <c r="C777" s="4" t="inlineStr">
        <is>
          <t>Tabela 1</t>
        </is>
      </c>
      <c r="D777" s="4" t="inlineStr">
        <is>
          <t>De 45m² a 49m²</t>
        </is>
      </c>
      <c r="E777" s="4" t="inlineStr">
        <is>
          <t>4 Dormitórios</t>
        </is>
      </c>
      <c r="F777" s="4" t="inlineStr">
        <is>
          <t>0</t>
        </is>
      </c>
      <c r="G777" s="4" t="n"/>
      <c r="H777" s="4" t="n"/>
      <c r="I777" s="4">
        <f>IF(G777="","PENDENTE",IF(AND(ISNUMBER(F777),ISNUMBER(G777)),IF(ABS(G777-F777)&lt;=H777,"IGUAL","DIVERGENTE"),IF(TRIM(G777&amp;"")=TRIM(F777&amp;""),"IGUAL","DIVERGENTE")))</f>
        <v/>
      </c>
      <c r="J777" s="4" t="n"/>
    </row>
    <row r="778">
      <c r="A778" s="3" t="n">
        <v>57</v>
      </c>
      <c r="B778" s="3" t="inlineStr">
        <is>
          <t>OFERTA FINAL POR TIPOLOGIA E METRAGEM</t>
        </is>
      </c>
      <c r="C778" s="3" t="inlineStr">
        <is>
          <t>Tabela 1</t>
        </is>
      </c>
      <c r="D778" s="3" t="inlineStr">
        <is>
          <t>De 45m² a 49m²</t>
        </is>
      </c>
      <c r="E778" s="3" t="inlineStr">
        <is>
          <t>Total</t>
        </is>
      </c>
      <c r="F778" s="3" t="inlineStr">
        <is>
          <t>2.199</t>
        </is>
      </c>
      <c r="G778" s="3" t="n"/>
      <c r="H778" s="3" t="n"/>
      <c r="I778" s="3">
        <f>IF(G778="","PENDENTE",IF(AND(ISNUMBER(F778),ISNUMBER(G778)),IF(ABS(G778-F778)&lt;=H778,"IGUAL","DIVERGENTE"),IF(TRIM(G778&amp;"")=TRIM(F778&amp;""),"IGUAL","DIVERGENTE")))</f>
        <v/>
      </c>
      <c r="J778" s="3" t="n"/>
    </row>
    <row r="779">
      <c r="A779" s="4" t="n">
        <v>57</v>
      </c>
      <c r="B779" s="4" t="inlineStr">
        <is>
          <t>OFERTA FINAL POR TIPOLOGIA E METRAGEM</t>
        </is>
      </c>
      <c r="C779" s="4" t="inlineStr">
        <is>
          <t>Tabela 1</t>
        </is>
      </c>
      <c r="D779" s="4" t="inlineStr">
        <is>
          <t>De 50m² a 59m²</t>
        </is>
      </c>
      <c r="E779" s="4" t="inlineStr">
        <is>
          <t>1 Dormitório</t>
        </is>
      </c>
      <c r="F779" s="4" t="inlineStr">
        <is>
          <t>7</t>
        </is>
      </c>
      <c r="G779" s="4" t="n"/>
      <c r="H779" s="4" t="n"/>
      <c r="I779" s="4">
        <f>IF(G779="","PENDENTE",IF(AND(ISNUMBER(F779),ISNUMBER(G779)),IF(ABS(G779-F779)&lt;=H779,"IGUAL","DIVERGENTE"),IF(TRIM(G779&amp;"")=TRIM(F779&amp;""),"IGUAL","DIVERGENTE")))</f>
        <v/>
      </c>
      <c r="J779" s="4" t="n"/>
    </row>
    <row r="780">
      <c r="A780" s="3" t="n">
        <v>57</v>
      </c>
      <c r="B780" s="3" t="inlineStr">
        <is>
          <t>OFERTA FINAL POR TIPOLOGIA E METRAGEM</t>
        </is>
      </c>
      <c r="C780" s="3" t="inlineStr">
        <is>
          <t>Tabela 1</t>
        </is>
      </c>
      <c r="D780" s="3" t="inlineStr">
        <is>
          <t>De 50m² a 59m²</t>
        </is>
      </c>
      <c r="E780" s="3" t="inlineStr">
        <is>
          <t>2 Dormitórios</t>
        </is>
      </c>
      <c r="F780" s="3" t="inlineStr">
        <is>
          <t>818</t>
        </is>
      </c>
      <c r="G780" s="3" t="n"/>
      <c r="H780" s="3" t="n"/>
      <c r="I780" s="3">
        <f>IF(G780="","PENDENTE",IF(AND(ISNUMBER(F780),ISNUMBER(G780)),IF(ABS(G780-F780)&lt;=H780,"IGUAL","DIVERGENTE"),IF(TRIM(G780&amp;"")=TRIM(F780&amp;""),"IGUAL","DIVERGENTE")))</f>
        <v/>
      </c>
      <c r="J780" s="3" t="n"/>
    </row>
    <row r="781">
      <c r="A781" s="4" t="n">
        <v>57</v>
      </c>
      <c r="B781" s="4" t="inlineStr">
        <is>
          <t>OFERTA FINAL POR TIPOLOGIA E METRAGEM</t>
        </is>
      </c>
      <c r="C781" s="4" t="inlineStr">
        <is>
          <t>Tabela 1</t>
        </is>
      </c>
      <c r="D781" s="4" t="inlineStr">
        <is>
          <t>De 50m² a 59m²</t>
        </is>
      </c>
      <c r="E781" s="4" t="inlineStr">
        <is>
          <t>3 Dormitórios</t>
        </is>
      </c>
      <c r="F781" s="4" t="inlineStr">
        <is>
          <t>0</t>
        </is>
      </c>
      <c r="G781" s="4" t="n"/>
      <c r="H781" s="4" t="n"/>
      <c r="I781" s="4">
        <f>IF(G781="","PENDENTE",IF(AND(ISNUMBER(F781),ISNUMBER(G781)),IF(ABS(G781-F781)&lt;=H781,"IGUAL","DIVERGENTE"),IF(TRIM(G781&amp;"")=TRIM(F781&amp;""),"IGUAL","DIVERGENTE")))</f>
        <v/>
      </c>
      <c r="J781" s="4" t="n"/>
    </row>
    <row r="782">
      <c r="A782" s="3" t="n">
        <v>57</v>
      </c>
      <c r="B782" s="3" t="inlineStr">
        <is>
          <t>OFERTA FINAL POR TIPOLOGIA E METRAGEM</t>
        </is>
      </c>
      <c r="C782" s="3" t="inlineStr">
        <is>
          <t>Tabela 1</t>
        </is>
      </c>
      <c r="D782" s="3" t="inlineStr">
        <is>
          <t>De 50m² a 59m²</t>
        </is>
      </c>
      <c r="E782" s="3" t="inlineStr">
        <is>
          <t>4 Dormitórios</t>
        </is>
      </c>
      <c r="F782" s="3" t="inlineStr">
        <is>
          <t>0</t>
        </is>
      </c>
      <c r="G782" s="3" t="n"/>
      <c r="H782" s="3" t="n"/>
      <c r="I782" s="3">
        <f>IF(G782="","PENDENTE",IF(AND(ISNUMBER(F782),ISNUMBER(G782)),IF(ABS(G782-F782)&lt;=H782,"IGUAL","DIVERGENTE"),IF(TRIM(G782&amp;"")=TRIM(F782&amp;""),"IGUAL","DIVERGENTE")))</f>
        <v/>
      </c>
      <c r="J782" s="3" t="n"/>
    </row>
    <row r="783">
      <c r="A783" s="4" t="n">
        <v>57</v>
      </c>
      <c r="B783" s="4" t="inlineStr">
        <is>
          <t>OFERTA FINAL POR TIPOLOGIA E METRAGEM</t>
        </is>
      </c>
      <c r="C783" s="4" t="inlineStr">
        <is>
          <t>Tabela 1</t>
        </is>
      </c>
      <c r="D783" s="4" t="inlineStr">
        <is>
          <t>De 50m² a 59m²</t>
        </is>
      </c>
      <c r="E783" s="4" t="inlineStr">
        <is>
          <t>Total</t>
        </is>
      </c>
      <c r="F783" s="4" t="inlineStr">
        <is>
          <t>825</t>
        </is>
      </c>
      <c r="G783" s="4" t="n"/>
      <c r="H783" s="4" t="n"/>
      <c r="I783" s="4">
        <f>IF(G783="","PENDENTE",IF(AND(ISNUMBER(F783),ISNUMBER(G783)),IF(ABS(G783-F783)&lt;=H783,"IGUAL","DIVERGENTE"),IF(TRIM(G783&amp;"")=TRIM(F783&amp;""),"IGUAL","DIVERGENTE")))</f>
        <v/>
      </c>
      <c r="J783" s="4" t="n"/>
    </row>
    <row r="784">
      <c r="A784" s="3" t="n">
        <v>57</v>
      </c>
      <c r="B784" s="3" t="inlineStr">
        <is>
          <t>OFERTA FINAL POR TIPOLOGIA E METRAGEM</t>
        </is>
      </c>
      <c r="C784" s="3" t="inlineStr">
        <is>
          <t>Tabela 1</t>
        </is>
      </c>
      <c r="D784" s="3" t="inlineStr">
        <is>
          <t>De 60m² a 69m²</t>
        </is>
      </c>
      <c r="E784" s="3" t="inlineStr">
        <is>
          <t>1 Dormitório</t>
        </is>
      </c>
      <c r="F784" s="3" t="inlineStr">
        <is>
          <t>0</t>
        </is>
      </c>
      <c r="G784" s="3" t="n"/>
      <c r="H784" s="3" t="n"/>
      <c r="I784" s="3">
        <f>IF(G784="","PENDENTE",IF(AND(ISNUMBER(F784),ISNUMBER(G784)),IF(ABS(G784-F784)&lt;=H784,"IGUAL","DIVERGENTE"),IF(TRIM(G784&amp;"")=TRIM(F784&amp;""),"IGUAL","DIVERGENTE")))</f>
        <v/>
      </c>
      <c r="J784" s="3" t="n"/>
    </row>
    <row r="785">
      <c r="A785" s="4" t="n">
        <v>57</v>
      </c>
      <c r="B785" s="4" t="inlineStr">
        <is>
          <t>OFERTA FINAL POR TIPOLOGIA E METRAGEM</t>
        </is>
      </c>
      <c r="C785" s="4" t="inlineStr">
        <is>
          <t>Tabela 1</t>
        </is>
      </c>
      <c r="D785" s="4" t="inlineStr">
        <is>
          <t>De 60m² a 69m²</t>
        </is>
      </c>
      <c r="E785" s="4" t="inlineStr">
        <is>
          <t>2 Dormitórios</t>
        </is>
      </c>
      <c r="F785" s="4" t="inlineStr">
        <is>
          <t>222</t>
        </is>
      </c>
      <c r="G785" s="4" t="n"/>
      <c r="H785" s="4" t="n"/>
      <c r="I785" s="4">
        <f>IF(G785="","PENDENTE",IF(AND(ISNUMBER(F785),ISNUMBER(G785)),IF(ABS(G785-F785)&lt;=H785,"IGUAL","DIVERGENTE"),IF(TRIM(G785&amp;"")=TRIM(F785&amp;""),"IGUAL","DIVERGENTE")))</f>
        <v/>
      </c>
      <c r="J785" s="4" t="n"/>
    </row>
    <row r="786">
      <c r="A786" s="3" t="n">
        <v>57</v>
      </c>
      <c r="B786" s="3" t="inlineStr">
        <is>
          <t>OFERTA FINAL POR TIPOLOGIA E METRAGEM</t>
        </is>
      </c>
      <c r="C786" s="3" t="inlineStr">
        <is>
          <t>Tabela 1</t>
        </is>
      </c>
      <c r="D786" s="3" t="inlineStr">
        <is>
          <t>De 60m² a 69m²</t>
        </is>
      </c>
      <c r="E786" s="3" t="inlineStr">
        <is>
          <t>3 Dormitórios</t>
        </is>
      </c>
      <c r="F786" s="3" t="inlineStr">
        <is>
          <t>32</t>
        </is>
      </c>
      <c r="G786" s="3" t="n"/>
      <c r="H786" s="3" t="n"/>
      <c r="I786" s="3">
        <f>IF(G786="","PENDENTE",IF(AND(ISNUMBER(F786),ISNUMBER(G786)),IF(ABS(G786-F786)&lt;=H786,"IGUAL","DIVERGENTE"),IF(TRIM(G786&amp;"")=TRIM(F786&amp;""),"IGUAL","DIVERGENTE")))</f>
        <v/>
      </c>
      <c r="J786" s="3" t="n"/>
    </row>
    <row r="787">
      <c r="A787" s="4" t="n">
        <v>57</v>
      </c>
      <c r="B787" s="4" t="inlineStr">
        <is>
          <t>OFERTA FINAL POR TIPOLOGIA E METRAGEM</t>
        </is>
      </c>
      <c r="C787" s="4" t="inlineStr">
        <is>
          <t>Tabela 1</t>
        </is>
      </c>
      <c r="D787" s="4" t="inlineStr">
        <is>
          <t>De 60m² a 69m²</t>
        </is>
      </c>
      <c r="E787" s="4" t="inlineStr">
        <is>
          <t>4 Dormitórios</t>
        </is>
      </c>
      <c r="F787" s="4" t="inlineStr">
        <is>
          <t>0</t>
        </is>
      </c>
      <c r="G787" s="4" t="n"/>
      <c r="H787" s="4" t="n"/>
      <c r="I787" s="4">
        <f>IF(G787="","PENDENTE",IF(AND(ISNUMBER(F787),ISNUMBER(G787)),IF(ABS(G787-F787)&lt;=H787,"IGUAL","DIVERGENTE"),IF(TRIM(G787&amp;"")=TRIM(F787&amp;""),"IGUAL","DIVERGENTE")))</f>
        <v/>
      </c>
      <c r="J787" s="4" t="n"/>
    </row>
    <row r="788">
      <c r="A788" s="3" t="n">
        <v>57</v>
      </c>
      <c r="B788" s="3" t="inlineStr">
        <is>
          <t>OFERTA FINAL POR TIPOLOGIA E METRAGEM</t>
        </is>
      </c>
      <c r="C788" s="3" t="inlineStr">
        <is>
          <t>Tabela 1</t>
        </is>
      </c>
      <c r="D788" s="3" t="inlineStr">
        <is>
          <t>De 60m² a 69m²</t>
        </is>
      </c>
      <c r="E788" s="3" t="inlineStr">
        <is>
          <t>Total</t>
        </is>
      </c>
      <c r="F788" s="3" t="inlineStr">
        <is>
          <t>254</t>
        </is>
      </c>
      <c r="G788" s="3" t="n"/>
      <c r="H788" s="3" t="n"/>
      <c r="I788" s="3">
        <f>IF(G788="","PENDENTE",IF(AND(ISNUMBER(F788),ISNUMBER(G788)),IF(ABS(G788-F788)&lt;=H788,"IGUAL","DIVERGENTE"),IF(TRIM(G788&amp;"")=TRIM(F788&amp;""),"IGUAL","DIVERGENTE")))</f>
        <v/>
      </c>
      <c r="J788" s="3" t="n"/>
    </row>
    <row r="789">
      <c r="A789" s="4" t="n">
        <v>57</v>
      </c>
      <c r="B789" s="4" t="inlineStr">
        <is>
          <t>OFERTA FINAL POR TIPOLOGIA E METRAGEM</t>
        </is>
      </c>
      <c r="C789" s="4" t="inlineStr">
        <is>
          <t>Tabela 1</t>
        </is>
      </c>
      <c r="D789" s="4" t="inlineStr">
        <is>
          <t>De 70m² a 84m²</t>
        </is>
      </c>
      <c r="E789" s="4" t="inlineStr">
        <is>
          <t>1 Dormitório</t>
        </is>
      </c>
      <c r="F789" s="4" t="inlineStr">
        <is>
          <t>3</t>
        </is>
      </c>
      <c r="G789" s="4" t="n"/>
      <c r="H789" s="4" t="n"/>
      <c r="I789" s="4">
        <f>IF(G789="","PENDENTE",IF(AND(ISNUMBER(F789),ISNUMBER(G789)),IF(ABS(G789-F789)&lt;=H789,"IGUAL","DIVERGENTE"),IF(TRIM(G789&amp;"")=TRIM(F789&amp;""),"IGUAL","DIVERGENTE")))</f>
        <v/>
      </c>
      <c r="J789" s="4" t="n"/>
    </row>
    <row r="790">
      <c r="A790" s="3" t="n">
        <v>57</v>
      </c>
      <c r="B790" s="3" t="inlineStr">
        <is>
          <t>OFERTA FINAL POR TIPOLOGIA E METRAGEM</t>
        </is>
      </c>
      <c r="C790" s="3" t="inlineStr">
        <is>
          <t>Tabela 1</t>
        </is>
      </c>
      <c r="D790" s="3" t="inlineStr">
        <is>
          <t>De 70m² a 84m²</t>
        </is>
      </c>
      <c r="E790" s="3" t="inlineStr">
        <is>
          <t>2 Dormitórios</t>
        </is>
      </c>
      <c r="F790" s="3" t="inlineStr">
        <is>
          <t>123</t>
        </is>
      </c>
      <c r="G790" s="3" t="n"/>
      <c r="H790" s="3" t="n"/>
      <c r="I790" s="3">
        <f>IF(G790="","PENDENTE",IF(AND(ISNUMBER(F790),ISNUMBER(G790)),IF(ABS(G790-F790)&lt;=H790,"IGUAL","DIVERGENTE"),IF(TRIM(G790&amp;"")=TRIM(F790&amp;""),"IGUAL","DIVERGENTE")))</f>
        <v/>
      </c>
      <c r="J790" s="3" t="n"/>
    </row>
    <row r="791">
      <c r="A791" s="4" t="n">
        <v>57</v>
      </c>
      <c r="B791" s="4" t="inlineStr">
        <is>
          <t>OFERTA FINAL POR TIPOLOGIA E METRAGEM</t>
        </is>
      </c>
      <c r="C791" s="4" t="inlineStr">
        <is>
          <t>Tabela 1</t>
        </is>
      </c>
      <c r="D791" s="4" t="inlineStr">
        <is>
          <t>De 70m² a 84m²</t>
        </is>
      </c>
      <c r="E791" s="4" t="inlineStr">
        <is>
          <t>3 Dormitórios</t>
        </is>
      </c>
      <c r="F791" s="4" t="inlineStr">
        <is>
          <t>89</t>
        </is>
      </c>
      <c r="G791" s="4" t="n"/>
      <c r="H791" s="4" t="n"/>
      <c r="I791" s="4">
        <f>IF(G791="","PENDENTE",IF(AND(ISNUMBER(F791),ISNUMBER(G791)),IF(ABS(G791-F791)&lt;=H791,"IGUAL","DIVERGENTE"),IF(TRIM(G791&amp;"")=TRIM(F791&amp;""),"IGUAL","DIVERGENTE")))</f>
        <v/>
      </c>
      <c r="J791" s="4" t="n"/>
    </row>
    <row r="792">
      <c r="A792" s="3" t="n">
        <v>57</v>
      </c>
      <c r="B792" s="3" t="inlineStr">
        <is>
          <t>OFERTA FINAL POR TIPOLOGIA E METRAGEM</t>
        </is>
      </c>
      <c r="C792" s="3" t="inlineStr">
        <is>
          <t>Tabela 1</t>
        </is>
      </c>
      <c r="D792" s="3" t="inlineStr">
        <is>
          <t>De 70m² a 84m²</t>
        </is>
      </c>
      <c r="E792" s="3" t="inlineStr">
        <is>
          <t>4 Dormitórios</t>
        </is>
      </c>
      <c r="F792" s="3" t="inlineStr">
        <is>
          <t>0</t>
        </is>
      </c>
      <c r="G792" s="3" t="n"/>
      <c r="H792" s="3" t="n"/>
      <c r="I792" s="3">
        <f>IF(G792="","PENDENTE",IF(AND(ISNUMBER(F792),ISNUMBER(G792)),IF(ABS(G792-F792)&lt;=H792,"IGUAL","DIVERGENTE"),IF(TRIM(G792&amp;"")=TRIM(F792&amp;""),"IGUAL","DIVERGENTE")))</f>
        <v/>
      </c>
      <c r="J792" s="3" t="n"/>
    </row>
    <row r="793">
      <c r="A793" s="4" t="n">
        <v>57</v>
      </c>
      <c r="B793" s="4" t="inlineStr">
        <is>
          <t>OFERTA FINAL POR TIPOLOGIA E METRAGEM</t>
        </is>
      </c>
      <c r="C793" s="4" t="inlineStr">
        <is>
          <t>Tabela 1</t>
        </is>
      </c>
      <c r="D793" s="4" t="inlineStr">
        <is>
          <t>De 70m² a 84m²</t>
        </is>
      </c>
      <c r="E793" s="4" t="inlineStr">
        <is>
          <t>Total</t>
        </is>
      </c>
      <c r="F793" s="4" t="inlineStr">
        <is>
          <t>215</t>
        </is>
      </c>
      <c r="G793" s="4" t="n"/>
      <c r="H793" s="4" t="n"/>
      <c r="I793" s="4">
        <f>IF(G793="","PENDENTE",IF(AND(ISNUMBER(F793),ISNUMBER(G793)),IF(ABS(G793-F793)&lt;=H793,"IGUAL","DIVERGENTE"),IF(TRIM(G793&amp;"")=TRIM(F793&amp;""),"IGUAL","DIVERGENTE")))</f>
        <v/>
      </c>
      <c r="J793" s="4" t="n"/>
    </row>
    <row r="794">
      <c r="A794" s="3" t="n">
        <v>57</v>
      </c>
      <c r="B794" s="3" t="inlineStr">
        <is>
          <t>OFERTA FINAL POR TIPOLOGIA E METRAGEM</t>
        </is>
      </c>
      <c r="C794" s="3" t="inlineStr">
        <is>
          <t>Tabela 1</t>
        </is>
      </c>
      <c r="D794" s="3" t="inlineStr">
        <is>
          <t>De 85m² a 99m²</t>
        </is>
      </c>
      <c r="E794" s="3" t="inlineStr">
        <is>
          <t>1 Dormitório</t>
        </is>
      </c>
      <c r="F794" s="3" t="inlineStr">
        <is>
          <t>1</t>
        </is>
      </c>
      <c r="G794" s="3" t="n"/>
      <c r="H794" s="3" t="n"/>
      <c r="I794" s="3">
        <f>IF(G794="","PENDENTE",IF(AND(ISNUMBER(F794),ISNUMBER(G794)),IF(ABS(G794-F794)&lt;=H794,"IGUAL","DIVERGENTE"),IF(TRIM(G794&amp;"")=TRIM(F794&amp;""),"IGUAL","DIVERGENTE")))</f>
        <v/>
      </c>
      <c r="J794" s="3" t="n"/>
    </row>
    <row r="795">
      <c r="A795" s="4" t="n">
        <v>57</v>
      </c>
      <c r="B795" s="4" t="inlineStr">
        <is>
          <t>OFERTA FINAL POR TIPOLOGIA E METRAGEM</t>
        </is>
      </c>
      <c r="C795" s="4" t="inlineStr">
        <is>
          <t>Tabela 1</t>
        </is>
      </c>
      <c r="D795" s="4" t="inlineStr">
        <is>
          <t>De 85m² a 99m²</t>
        </is>
      </c>
      <c r="E795" s="4" t="inlineStr">
        <is>
          <t>2 Dormitórios</t>
        </is>
      </c>
      <c r="F795" s="4" t="inlineStr">
        <is>
          <t>23</t>
        </is>
      </c>
      <c r="G795" s="4" t="n"/>
      <c r="H795" s="4" t="n"/>
      <c r="I795" s="4">
        <f>IF(G795="","PENDENTE",IF(AND(ISNUMBER(F795),ISNUMBER(G795)),IF(ABS(G795-F795)&lt;=H795,"IGUAL","DIVERGENTE"),IF(TRIM(G795&amp;"")=TRIM(F795&amp;""),"IGUAL","DIVERGENTE")))</f>
        <v/>
      </c>
      <c r="J795" s="4" t="n"/>
    </row>
    <row r="796">
      <c r="A796" s="3" t="n">
        <v>57</v>
      </c>
      <c r="B796" s="3" t="inlineStr">
        <is>
          <t>OFERTA FINAL POR TIPOLOGIA E METRAGEM</t>
        </is>
      </c>
      <c r="C796" s="3" t="inlineStr">
        <is>
          <t>Tabela 1</t>
        </is>
      </c>
      <c r="D796" s="3" t="inlineStr">
        <is>
          <t>De 85m² a 99m²</t>
        </is>
      </c>
      <c r="E796" s="3" t="inlineStr">
        <is>
          <t>3 Dormitórios</t>
        </is>
      </c>
      <c r="F796" s="3" t="inlineStr">
        <is>
          <t>136</t>
        </is>
      </c>
      <c r="G796" s="3" t="n"/>
      <c r="H796" s="3" t="n"/>
      <c r="I796" s="3">
        <f>IF(G796="","PENDENTE",IF(AND(ISNUMBER(F796),ISNUMBER(G796)),IF(ABS(G796-F796)&lt;=H796,"IGUAL","DIVERGENTE"),IF(TRIM(G796&amp;"")=TRIM(F796&amp;""),"IGUAL","DIVERGENTE")))</f>
        <v/>
      </c>
      <c r="J796" s="3" t="n"/>
    </row>
    <row r="797">
      <c r="A797" s="4" t="n">
        <v>57</v>
      </c>
      <c r="B797" s="4" t="inlineStr">
        <is>
          <t>OFERTA FINAL POR TIPOLOGIA E METRAGEM</t>
        </is>
      </c>
      <c r="C797" s="4" t="inlineStr">
        <is>
          <t>Tabela 1</t>
        </is>
      </c>
      <c r="D797" s="4" t="inlineStr">
        <is>
          <t>De 85m² a 99m²</t>
        </is>
      </c>
      <c r="E797" s="4" t="inlineStr">
        <is>
          <t>4 Dormitórios</t>
        </is>
      </c>
      <c r="F797" s="4" t="inlineStr">
        <is>
          <t>0</t>
        </is>
      </c>
      <c r="G797" s="4" t="n"/>
      <c r="H797" s="4" t="n"/>
      <c r="I797" s="4">
        <f>IF(G797="","PENDENTE",IF(AND(ISNUMBER(F797),ISNUMBER(G797)),IF(ABS(G797-F797)&lt;=H797,"IGUAL","DIVERGENTE"),IF(TRIM(G797&amp;"")=TRIM(F797&amp;""),"IGUAL","DIVERGENTE")))</f>
        <v/>
      </c>
      <c r="J797" s="4" t="n"/>
    </row>
    <row r="798">
      <c r="A798" s="3" t="n">
        <v>57</v>
      </c>
      <c r="B798" s="3" t="inlineStr">
        <is>
          <t>OFERTA FINAL POR TIPOLOGIA E METRAGEM</t>
        </is>
      </c>
      <c r="C798" s="3" t="inlineStr">
        <is>
          <t>Tabela 1</t>
        </is>
      </c>
      <c r="D798" s="3" t="inlineStr">
        <is>
          <t>De 85m² a 99m²</t>
        </is>
      </c>
      <c r="E798" s="3" t="inlineStr">
        <is>
          <t>Total</t>
        </is>
      </c>
      <c r="F798" s="3" t="inlineStr">
        <is>
          <t>160</t>
        </is>
      </c>
      <c r="G798" s="3" t="n"/>
      <c r="H798" s="3" t="n"/>
      <c r="I798" s="3">
        <f>IF(G798="","PENDENTE",IF(AND(ISNUMBER(F798),ISNUMBER(G798)),IF(ABS(G798-F798)&lt;=H798,"IGUAL","DIVERGENTE"),IF(TRIM(G798&amp;"")=TRIM(F798&amp;""),"IGUAL","DIVERGENTE")))</f>
        <v/>
      </c>
      <c r="J798" s="3" t="n"/>
    </row>
    <row r="799">
      <c r="A799" s="4" t="n">
        <v>57</v>
      </c>
      <c r="B799" s="4" t="inlineStr">
        <is>
          <t>OFERTA FINAL POR TIPOLOGIA E METRAGEM</t>
        </is>
      </c>
      <c r="C799" s="4" t="inlineStr">
        <is>
          <t>Tabela 1</t>
        </is>
      </c>
      <c r="D799" s="4" t="inlineStr">
        <is>
          <t>De 100m² a 150m²</t>
        </is>
      </c>
      <c r="E799" s="4" t="inlineStr">
        <is>
          <t>1 Dormitório</t>
        </is>
      </c>
      <c r="F799" s="4" t="inlineStr">
        <is>
          <t>1</t>
        </is>
      </c>
      <c r="G799" s="4" t="n"/>
      <c r="H799" s="4" t="n"/>
      <c r="I799" s="4">
        <f>IF(G799="","PENDENTE",IF(AND(ISNUMBER(F799),ISNUMBER(G799)),IF(ABS(G799-F799)&lt;=H799,"IGUAL","DIVERGENTE"),IF(TRIM(G799&amp;"")=TRIM(F799&amp;""),"IGUAL","DIVERGENTE")))</f>
        <v/>
      </c>
      <c r="J799" s="4" t="n"/>
    </row>
    <row r="800">
      <c r="A800" s="3" t="n">
        <v>57</v>
      </c>
      <c r="B800" s="3" t="inlineStr">
        <is>
          <t>OFERTA FINAL POR TIPOLOGIA E METRAGEM</t>
        </is>
      </c>
      <c r="C800" s="3" t="inlineStr">
        <is>
          <t>Tabela 1</t>
        </is>
      </c>
      <c r="D800" s="3" t="inlineStr">
        <is>
          <t>De 100m² a 150m²</t>
        </is>
      </c>
      <c r="E800" s="3" t="inlineStr">
        <is>
          <t>2 Dormitórios</t>
        </is>
      </c>
      <c r="F800" s="3" t="inlineStr">
        <is>
          <t>26</t>
        </is>
      </c>
      <c r="G800" s="3" t="n"/>
      <c r="H800" s="3" t="n"/>
      <c r="I800" s="3">
        <f>IF(G800="","PENDENTE",IF(AND(ISNUMBER(F800),ISNUMBER(G800)),IF(ABS(G800-F800)&lt;=H800,"IGUAL","DIVERGENTE"),IF(TRIM(G800&amp;"")=TRIM(F800&amp;""),"IGUAL","DIVERGENTE")))</f>
        <v/>
      </c>
      <c r="J800" s="3" t="n"/>
    </row>
    <row r="801">
      <c r="A801" s="4" t="n">
        <v>57</v>
      </c>
      <c r="B801" s="4" t="inlineStr">
        <is>
          <t>OFERTA FINAL POR TIPOLOGIA E METRAGEM</t>
        </is>
      </c>
      <c r="C801" s="4" t="inlineStr">
        <is>
          <t>Tabela 1</t>
        </is>
      </c>
      <c r="D801" s="4" t="inlineStr">
        <is>
          <t>De 100m² a 150m²</t>
        </is>
      </c>
      <c r="E801" s="4" t="inlineStr">
        <is>
          <t>3 Dormitórios</t>
        </is>
      </c>
      <c r="F801" s="4" t="inlineStr">
        <is>
          <t>161</t>
        </is>
      </c>
      <c r="G801" s="4" t="n"/>
      <c r="H801" s="4" t="n"/>
      <c r="I801" s="4">
        <f>IF(G801="","PENDENTE",IF(AND(ISNUMBER(F801),ISNUMBER(G801)),IF(ABS(G801-F801)&lt;=H801,"IGUAL","DIVERGENTE"),IF(TRIM(G801&amp;"")=TRIM(F801&amp;""),"IGUAL","DIVERGENTE")))</f>
        <v/>
      </c>
      <c r="J801" s="4" t="n"/>
    </row>
    <row r="802">
      <c r="A802" s="3" t="n">
        <v>57</v>
      </c>
      <c r="B802" s="3" t="inlineStr">
        <is>
          <t>OFERTA FINAL POR TIPOLOGIA E METRAGEM</t>
        </is>
      </c>
      <c r="C802" s="3" t="inlineStr">
        <is>
          <t>Tabela 1</t>
        </is>
      </c>
      <c r="D802" s="3" t="inlineStr">
        <is>
          <t>De 100m² a 150m²</t>
        </is>
      </c>
      <c r="E802" s="3" t="inlineStr">
        <is>
          <t>4 Dormitórios</t>
        </is>
      </c>
      <c r="F802" s="3" t="inlineStr">
        <is>
          <t>0</t>
        </is>
      </c>
      <c r="G802" s="3" t="n"/>
      <c r="H802" s="3" t="n"/>
      <c r="I802" s="3">
        <f>IF(G802="","PENDENTE",IF(AND(ISNUMBER(F802),ISNUMBER(G802)),IF(ABS(G802-F802)&lt;=H802,"IGUAL","DIVERGENTE"),IF(TRIM(G802&amp;"")=TRIM(F802&amp;""),"IGUAL","DIVERGENTE")))</f>
        <v/>
      </c>
      <c r="J802" s="3" t="n"/>
    </row>
    <row r="803">
      <c r="A803" s="4" t="n">
        <v>57</v>
      </c>
      <c r="B803" s="4" t="inlineStr">
        <is>
          <t>OFERTA FINAL POR TIPOLOGIA E METRAGEM</t>
        </is>
      </c>
      <c r="C803" s="4" t="inlineStr">
        <is>
          <t>Tabela 1</t>
        </is>
      </c>
      <c r="D803" s="4" t="inlineStr">
        <is>
          <t>De 100m² a 150m²</t>
        </is>
      </c>
      <c r="E803" s="4" t="inlineStr">
        <is>
          <t>Total</t>
        </is>
      </c>
      <c r="F803" s="4" t="inlineStr">
        <is>
          <t>188</t>
        </is>
      </c>
      <c r="G803" s="4" t="n"/>
      <c r="H803" s="4" t="n"/>
      <c r="I803" s="4">
        <f>IF(G803="","PENDENTE",IF(AND(ISNUMBER(F803),ISNUMBER(G803)),IF(ABS(G803-F803)&lt;=H803,"IGUAL","DIVERGENTE"),IF(TRIM(G803&amp;"")=TRIM(F803&amp;""),"IGUAL","DIVERGENTE")))</f>
        <v/>
      </c>
      <c r="J803" s="4" t="n"/>
    </row>
    <row r="804">
      <c r="A804" s="3" t="n">
        <v>57</v>
      </c>
      <c r="B804" s="3" t="inlineStr">
        <is>
          <t>OFERTA FINAL POR TIPOLOGIA E METRAGEM</t>
        </is>
      </c>
      <c r="C804" s="3" t="inlineStr">
        <is>
          <t>Tabela 1</t>
        </is>
      </c>
      <c r="D804" s="3" t="inlineStr">
        <is>
          <t>De 151m² a 200m²</t>
        </is>
      </c>
      <c r="E804" s="3" t="inlineStr">
        <is>
          <t>1 Dormitório</t>
        </is>
      </c>
      <c r="F804" s="3" t="inlineStr">
        <is>
          <t>0</t>
        </is>
      </c>
      <c r="G804" s="3" t="n"/>
      <c r="H804" s="3" t="n"/>
      <c r="I804" s="3">
        <f>IF(G804="","PENDENTE",IF(AND(ISNUMBER(F804),ISNUMBER(G804)),IF(ABS(G804-F804)&lt;=H804,"IGUAL","DIVERGENTE"),IF(TRIM(G804&amp;"")=TRIM(F804&amp;""),"IGUAL","DIVERGENTE")))</f>
        <v/>
      </c>
      <c r="J804" s="3" t="n"/>
    </row>
    <row r="805">
      <c r="A805" s="4" t="n">
        <v>57</v>
      </c>
      <c r="B805" s="4" t="inlineStr">
        <is>
          <t>OFERTA FINAL POR TIPOLOGIA E METRAGEM</t>
        </is>
      </c>
      <c r="C805" s="4" t="inlineStr">
        <is>
          <t>Tabela 1</t>
        </is>
      </c>
      <c r="D805" s="4" t="inlineStr">
        <is>
          <t>De 151m² a 200m²</t>
        </is>
      </c>
      <c r="E805" s="4" t="inlineStr">
        <is>
          <t>2 Dormitórios</t>
        </is>
      </c>
      <c r="F805" s="4" t="inlineStr">
        <is>
          <t>4</t>
        </is>
      </c>
      <c r="G805" s="4" t="n"/>
      <c r="H805" s="4" t="n"/>
      <c r="I805" s="4">
        <f>IF(G805="","PENDENTE",IF(AND(ISNUMBER(F805),ISNUMBER(G805)),IF(ABS(G805-F805)&lt;=H805,"IGUAL","DIVERGENTE"),IF(TRIM(G805&amp;"")=TRIM(F805&amp;""),"IGUAL","DIVERGENTE")))</f>
        <v/>
      </c>
      <c r="J805" s="4" t="n"/>
    </row>
    <row r="806">
      <c r="A806" s="3" t="n">
        <v>57</v>
      </c>
      <c r="B806" s="3" t="inlineStr">
        <is>
          <t>OFERTA FINAL POR TIPOLOGIA E METRAGEM</t>
        </is>
      </c>
      <c r="C806" s="3" t="inlineStr">
        <is>
          <t>Tabela 1</t>
        </is>
      </c>
      <c r="D806" s="3" t="inlineStr">
        <is>
          <t>De 151m² a 200m²</t>
        </is>
      </c>
      <c r="E806" s="3" t="inlineStr">
        <is>
          <t>3 Dormitórios</t>
        </is>
      </c>
      <c r="F806" s="3" t="inlineStr">
        <is>
          <t>14</t>
        </is>
      </c>
      <c r="G806" s="3" t="n"/>
      <c r="H806" s="3" t="n"/>
      <c r="I806" s="3">
        <f>IF(G806="","PENDENTE",IF(AND(ISNUMBER(F806),ISNUMBER(G806)),IF(ABS(G806-F806)&lt;=H806,"IGUAL","DIVERGENTE"),IF(TRIM(G806&amp;"")=TRIM(F806&amp;""),"IGUAL","DIVERGENTE")))</f>
        <v/>
      </c>
      <c r="J806" s="3" t="n"/>
    </row>
    <row r="807">
      <c r="A807" s="4" t="n">
        <v>57</v>
      </c>
      <c r="B807" s="4" t="inlineStr">
        <is>
          <t>OFERTA FINAL POR TIPOLOGIA E METRAGEM</t>
        </is>
      </c>
      <c r="C807" s="4" t="inlineStr">
        <is>
          <t>Tabela 1</t>
        </is>
      </c>
      <c r="D807" s="4" t="inlineStr">
        <is>
          <t>De 151m² a 200m²</t>
        </is>
      </c>
      <c r="E807" s="4" t="inlineStr">
        <is>
          <t>4 Dormitórios</t>
        </is>
      </c>
      <c r="F807" s="4" t="inlineStr">
        <is>
          <t>0</t>
        </is>
      </c>
      <c r="G807" s="4" t="n"/>
      <c r="H807" s="4" t="n"/>
      <c r="I807" s="4">
        <f>IF(G807="","PENDENTE",IF(AND(ISNUMBER(F807),ISNUMBER(G807)),IF(ABS(G807-F807)&lt;=H807,"IGUAL","DIVERGENTE"),IF(TRIM(G807&amp;"")=TRIM(F807&amp;""),"IGUAL","DIVERGENTE")))</f>
        <v/>
      </c>
      <c r="J807" s="4" t="n"/>
    </row>
    <row r="808">
      <c r="A808" s="3" t="n">
        <v>57</v>
      </c>
      <c r="B808" s="3" t="inlineStr">
        <is>
          <t>OFERTA FINAL POR TIPOLOGIA E METRAGEM</t>
        </is>
      </c>
      <c r="C808" s="3" t="inlineStr">
        <is>
          <t>Tabela 1</t>
        </is>
      </c>
      <c r="D808" s="3" t="inlineStr">
        <is>
          <t>De 151m² a 200m²</t>
        </is>
      </c>
      <c r="E808" s="3" t="inlineStr">
        <is>
          <t>Total</t>
        </is>
      </c>
      <c r="F808" s="3" t="inlineStr">
        <is>
          <t>18</t>
        </is>
      </c>
      <c r="G808" s="3" t="n"/>
      <c r="H808" s="3" t="n"/>
      <c r="I808" s="3">
        <f>IF(G808="","PENDENTE",IF(AND(ISNUMBER(F808),ISNUMBER(G808)),IF(ABS(G808-F808)&lt;=H808,"IGUAL","DIVERGENTE"),IF(TRIM(G808&amp;"")=TRIM(F808&amp;""),"IGUAL","DIVERGENTE")))</f>
        <v/>
      </c>
      <c r="J808" s="3" t="n"/>
    </row>
    <row r="809">
      <c r="A809" s="4" t="n">
        <v>57</v>
      </c>
      <c r="B809" s="4" t="inlineStr">
        <is>
          <t>OFERTA FINAL POR TIPOLOGIA E METRAGEM</t>
        </is>
      </c>
      <c r="C809" s="4" t="inlineStr">
        <is>
          <t>Tabela 1</t>
        </is>
      </c>
      <c r="D809" s="4" t="inlineStr">
        <is>
          <t>De 201m² a 250m²</t>
        </is>
      </c>
      <c r="E809" s="4" t="inlineStr">
        <is>
          <t>1 Dormitório</t>
        </is>
      </c>
      <c r="F809" s="4" t="inlineStr">
        <is>
          <t>0</t>
        </is>
      </c>
      <c r="G809" s="4" t="n"/>
      <c r="H809" s="4" t="n"/>
      <c r="I809" s="4">
        <f>IF(G809="","PENDENTE",IF(AND(ISNUMBER(F809),ISNUMBER(G809)),IF(ABS(G809-F809)&lt;=H809,"IGUAL","DIVERGENTE"),IF(TRIM(G809&amp;"")=TRIM(F809&amp;""),"IGUAL","DIVERGENTE")))</f>
        <v/>
      </c>
      <c r="J809" s="4" t="n"/>
    </row>
    <row r="810">
      <c r="A810" s="3" t="n">
        <v>57</v>
      </c>
      <c r="B810" s="3" t="inlineStr">
        <is>
          <t>OFERTA FINAL POR TIPOLOGIA E METRAGEM</t>
        </is>
      </c>
      <c r="C810" s="3" t="inlineStr">
        <is>
          <t>Tabela 1</t>
        </is>
      </c>
      <c r="D810" s="3" t="inlineStr">
        <is>
          <t>De 201m² a 250m²</t>
        </is>
      </c>
      <c r="E810" s="3" t="inlineStr">
        <is>
          <t>2 Dormitórios</t>
        </is>
      </c>
      <c r="F810" s="3" t="inlineStr">
        <is>
          <t>1</t>
        </is>
      </c>
      <c r="G810" s="3" t="n"/>
      <c r="H810" s="3" t="n"/>
      <c r="I810" s="3">
        <f>IF(G810="","PENDENTE",IF(AND(ISNUMBER(F810),ISNUMBER(G810)),IF(ABS(G810-F810)&lt;=H810,"IGUAL","DIVERGENTE"),IF(TRIM(G810&amp;"")=TRIM(F810&amp;""),"IGUAL","DIVERGENTE")))</f>
        <v/>
      </c>
      <c r="J810" s="3" t="n"/>
    </row>
    <row r="811">
      <c r="A811" s="4" t="n">
        <v>57</v>
      </c>
      <c r="B811" s="4" t="inlineStr">
        <is>
          <t>OFERTA FINAL POR TIPOLOGIA E METRAGEM</t>
        </is>
      </c>
      <c r="C811" s="4" t="inlineStr">
        <is>
          <t>Tabela 1</t>
        </is>
      </c>
      <c r="D811" s="4" t="inlineStr">
        <is>
          <t>De 201m² a 250m²</t>
        </is>
      </c>
      <c r="E811" s="4" t="inlineStr">
        <is>
          <t>3 Dormitórios</t>
        </is>
      </c>
      <c r="F811" s="4" t="inlineStr">
        <is>
          <t>6</t>
        </is>
      </c>
      <c r="G811" s="4" t="n"/>
      <c r="H811" s="4" t="n"/>
      <c r="I811" s="4">
        <f>IF(G811="","PENDENTE",IF(AND(ISNUMBER(F811),ISNUMBER(G811)),IF(ABS(G811-F811)&lt;=H811,"IGUAL","DIVERGENTE"),IF(TRIM(G811&amp;"")=TRIM(F811&amp;""),"IGUAL","DIVERGENTE")))</f>
        <v/>
      </c>
      <c r="J811" s="4" t="n"/>
    </row>
    <row r="812">
      <c r="A812" s="3" t="n">
        <v>57</v>
      </c>
      <c r="B812" s="3" t="inlineStr">
        <is>
          <t>OFERTA FINAL POR TIPOLOGIA E METRAGEM</t>
        </is>
      </c>
      <c r="C812" s="3" t="inlineStr">
        <is>
          <t>Tabela 1</t>
        </is>
      </c>
      <c r="D812" s="3" t="inlineStr">
        <is>
          <t>De 201m² a 250m²</t>
        </is>
      </c>
      <c r="E812" s="3" t="inlineStr">
        <is>
          <t>4 Dormitórios</t>
        </is>
      </c>
      <c r="F812" s="3" t="inlineStr">
        <is>
          <t>1</t>
        </is>
      </c>
      <c r="G812" s="3" t="n"/>
      <c r="H812" s="3" t="n"/>
      <c r="I812" s="3">
        <f>IF(G812="","PENDENTE",IF(AND(ISNUMBER(F812),ISNUMBER(G812)),IF(ABS(G812-F812)&lt;=H812,"IGUAL","DIVERGENTE"),IF(TRIM(G812&amp;"")=TRIM(F812&amp;""),"IGUAL","DIVERGENTE")))</f>
        <v/>
      </c>
      <c r="J812" s="3" t="n"/>
    </row>
    <row r="813">
      <c r="A813" s="4" t="n">
        <v>57</v>
      </c>
      <c r="B813" s="4" t="inlineStr">
        <is>
          <t>OFERTA FINAL POR TIPOLOGIA E METRAGEM</t>
        </is>
      </c>
      <c r="C813" s="4" t="inlineStr">
        <is>
          <t>Tabela 1</t>
        </is>
      </c>
      <c r="D813" s="4" t="inlineStr">
        <is>
          <t>De 201m² a 250m²</t>
        </is>
      </c>
      <c r="E813" s="4" t="inlineStr">
        <is>
          <t>Total</t>
        </is>
      </c>
      <c r="F813" s="4" t="inlineStr">
        <is>
          <t>8</t>
        </is>
      </c>
      <c r="G813" s="4" t="n"/>
      <c r="H813" s="4" t="n"/>
      <c r="I813" s="4">
        <f>IF(G813="","PENDENTE",IF(AND(ISNUMBER(F813),ISNUMBER(G813)),IF(ABS(G813-F813)&lt;=H813,"IGUAL","DIVERGENTE"),IF(TRIM(G813&amp;"")=TRIM(F813&amp;""),"IGUAL","DIVERGENTE")))</f>
        <v/>
      </c>
      <c r="J813" s="4" t="n"/>
    </row>
    <row r="814">
      <c r="A814" s="3" t="n">
        <v>57</v>
      </c>
      <c r="B814" s="3" t="inlineStr">
        <is>
          <t>OFERTA FINAL POR TIPOLOGIA E METRAGEM</t>
        </is>
      </c>
      <c r="C814" s="3" t="inlineStr">
        <is>
          <t>Tabela 1</t>
        </is>
      </c>
      <c r="D814" s="3" t="inlineStr">
        <is>
          <t>Acima de 251m²</t>
        </is>
      </c>
      <c r="E814" s="3" t="inlineStr">
        <is>
          <t>1 Dormitório</t>
        </is>
      </c>
      <c r="F814" s="3" t="inlineStr">
        <is>
          <t>0</t>
        </is>
      </c>
      <c r="G814" s="3" t="n"/>
      <c r="H814" s="3" t="n"/>
      <c r="I814" s="3">
        <f>IF(G814="","PENDENTE",IF(AND(ISNUMBER(F814),ISNUMBER(G814)),IF(ABS(G814-F814)&lt;=H814,"IGUAL","DIVERGENTE"),IF(TRIM(G814&amp;"")=TRIM(F814&amp;""),"IGUAL","DIVERGENTE")))</f>
        <v/>
      </c>
      <c r="J814" s="3" t="n"/>
    </row>
    <row r="815">
      <c r="A815" s="4" t="n">
        <v>57</v>
      </c>
      <c r="B815" s="4" t="inlineStr">
        <is>
          <t>OFERTA FINAL POR TIPOLOGIA E METRAGEM</t>
        </is>
      </c>
      <c r="C815" s="4" t="inlineStr">
        <is>
          <t>Tabela 1</t>
        </is>
      </c>
      <c r="D815" s="4" t="inlineStr">
        <is>
          <t>Acima de 251m²</t>
        </is>
      </c>
      <c r="E815" s="4" t="inlineStr">
        <is>
          <t>2 Dormitórios</t>
        </is>
      </c>
      <c r="F815" s="4" t="inlineStr">
        <is>
          <t>0</t>
        </is>
      </c>
      <c r="G815" s="4" t="n"/>
      <c r="H815" s="4" t="n"/>
      <c r="I815" s="4">
        <f>IF(G815="","PENDENTE",IF(AND(ISNUMBER(F815),ISNUMBER(G815)),IF(ABS(G815-F815)&lt;=H815,"IGUAL","DIVERGENTE"),IF(TRIM(G815&amp;"")=TRIM(F815&amp;""),"IGUAL","DIVERGENTE")))</f>
        <v/>
      </c>
      <c r="J815" s="4" t="n"/>
    </row>
    <row r="816">
      <c r="A816" s="3" t="n">
        <v>57</v>
      </c>
      <c r="B816" s="3" t="inlineStr">
        <is>
          <t>OFERTA FINAL POR TIPOLOGIA E METRAGEM</t>
        </is>
      </c>
      <c r="C816" s="3" t="inlineStr">
        <is>
          <t>Tabela 1</t>
        </is>
      </c>
      <c r="D816" s="3" t="inlineStr">
        <is>
          <t>Acima de 251m²</t>
        </is>
      </c>
      <c r="E816" s="3" t="inlineStr">
        <is>
          <t>3 Dormitórios</t>
        </is>
      </c>
      <c r="F816" s="3" t="inlineStr">
        <is>
          <t>4</t>
        </is>
      </c>
      <c r="G816" s="3" t="n"/>
      <c r="H816" s="3" t="n"/>
      <c r="I816" s="3">
        <f>IF(G816="","PENDENTE",IF(AND(ISNUMBER(F816),ISNUMBER(G816)),IF(ABS(G816-F816)&lt;=H816,"IGUAL","DIVERGENTE"),IF(TRIM(G816&amp;"")=TRIM(F816&amp;""),"IGUAL","DIVERGENTE")))</f>
        <v/>
      </c>
      <c r="J816" s="3" t="n"/>
    </row>
    <row r="817">
      <c r="A817" s="4" t="n">
        <v>57</v>
      </c>
      <c r="B817" s="4" t="inlineStr">
        <is>
          <t>OFERTA FINAL POR TIPOLOGIA E METRAGEM</t>
        </is>
      </c>
      <c r="C817" s="4" t="inlineStr">
        <is>
          <t>Tabela 1</t>
        </is>
      </c>
      <c r="D817" s="4" t="inlineStr">
        <is>
          <t>Acima de 251m²</t>
        </is>
      </c>
      <c r="E817" s="4" t="inlineStr">
        <is>
          <t>4 Dormitórios</t>
        </is>
      </c>
      <c r="F817" s="4" t="inlineStr">
        <is>
          <t>0</t>
        </is>
      </c>
      <c r="G817" s="4" t="n"/>
      <c r="H817" s="4" t="n"/>
      <c r="I817" s="4">
        <f>IF(G817="","PENDENTE",IF(AND(ISNUMBER(F817),ISNUMBER(G817)),IF(ABS(G817-F817)&lt;=H817,"IGUAL","DIVERGENTE"),IF(TRIM(G817&amp;"")=TRIM(F817&amp;""),"IGUAL","DIVERGENTE")))</f>
        <v/>
      </c>
      <c r="J817" s="4" t="n"/>
    </row>
    <row r="818">
      <c r="A818" s="3" t="n">
        <v>57</v>
      </c>
      <c r="B818" s="3" t="inlineStr">
        <is>
          <t>OFERTA FINAL POR TIPOLOGIA E METRAGEM</t>
        </is>
      </c>
      <c r="C818" s="3" t="inlineStr">
        <is>
          <t>Tabela 1</t>
        </is>
      </c>
      <c r="D818" s="3" t="inlineStr">
        <is>
          <t>Acima de 251m²</t>
        </is>
      </c>
      <c r="E818" s="3" t="inlineStr">
        <is>
          <t>Total</t>
        </is>
      </c>
      <c r="F818" s="3" t="inlineStr">
        <is>
          <t>4</t>
        </is>
      </c>
      <c r="G818" s="3" t="n"/>
      <c r="H818" s="3" t="n"/>
      <c r="I818" s="3">
        <f>IF(G818="","PENDENTE",IF(AND(ISNUMBER(F818),ISNUMBER(G818)),IF(ABS(G818-F818)&lt;=H818,"IGUAL","DIVERGENTE"),IF(TRIM(G818&amp;"")=TRIM(F818&amp;""),"IGUAL","DIVERGENTE")))</f>
        <v/>
      </c>
      <c r="J818" s="3" t="n"/>
    </row>
    <row r="819">
      <c r="A819" s="4" t="n">
        <v>57</v>
      </c>
      <c r="B819" s="4" t="inlineStr">
        <is>
          <t>OFERTA FINAL POR TIPOLOGIA E METRAGEM</t>
        </is>
      </c>
      <c r="C819" s="4" t="inlineStr">
        <is>
          <t>Tabela 1</t>
        </is>
      </c>
      <c r="D819" s="4" t="inlineStr">
        <is>
          <t>Total</t>
        </is>
      </c>
      <c r="E819" s="4" t="inlineStr">
        <is>
          <t>1 Dormitório</t>
        </is>
      </c>
      <c r="F819" s="4" t="inlineStr">
        <is>
          <t>199</t>
        </is>
      </c>
      <c r="G819" s="4" t="n"/>
      <c r="H819" s="4" t="n"/>
      <c r="I819" s="4">
        <f>IF(G819="","PENDENTE",IF(AND(ISNUMBER(F819),ISNUMBER(G819)),IF(ABS(G819-F819)&lt;=H819,"IGUAL","DIVERGENTE"),IF(TRIM(G819&amp;"")=TRIM(F819&amp;""),"IGUAL","DIVERGENTE")))</f>
        <v/>
      </c>
      <c r="J819" s="4" t="n"/>
    </row>
    <row r="820">
      <c r="A820" s="3" t="n">
        <v>57</v>
      </c>
      <c r="B820" s="3" t="inlineStr">
        <is>
          <t>OFERTA FINAL POR TIPOLOGIA E METRAGEM</t>
        </is>
      </c>
      <c r="C820" s="3" t="inlineStr">
        <is>
          <t>Tabela 1</t>
        </is>
      </c>
      <c r="D820" s="3" t="inlineStr">
        <is>
          <t>Total</t>
        </is>
      </c>
      <c r="E820" s="3" t="inlineStr">
        <is>
          <t>2 Dormitórios</t>
        </is>
      </c>
      <c r="F820" s="3" t="inlineStr">
        <is>
          <t>4.208</t>
        </is>
      </c>
      <c r="G820" s="3" t="n"/>
      <c r="H820" s="3" t="n"/>
      <c r="I820" s="3">
        <f>IF(G820="","PENDENTE",IF(AND(ISNUMBER(F820),ISNUMBER(G820)),IF(ABS(G820-F820)&lt;=H820,"IGUAL","DIVERGENTE"),IF(TRIM(G820&amp;"")=TRIM(F820&amp;""),"IGUAL","DIVERGENTE")))</f>
        <v/>
      </c>
      <c r="J820" s="3" t="n"/>
    </row>
    <row r="821">
      <c r="A821" s="4" t="n">
        <v>57</v>
      </c>
      <c r="B821" s="4" t="inlineStr">
        <is>
          <t>OFERTA FINAL POR TIPOLOGIA E METRAGEM</t>
        </is>
      </c>
      <c r="C821" s="4" t="inlineStr">
        <is>
          <t>Tabela 1</t>
        </is>
      </c>
      <c r="D821" s="4" t="inlineStr">
        <is>
          <t>Total</t>
        </is>
      </c>
      <c r="E821" s="4" t="inlineStr">
        <is>
          <t>3 Dormitórios</t>
        </is>
      </c>
      <c r="F821" s="4" t="inlineStr">
        <is>
          <t>442</t>
        </is>
      </c>
      <c r="G821" s="4" t="n"/>
      <c r="H821" s="4" t="n"/>
      <c r="I821" s="4">
        <f>IF(G821="","PENDENTE",IF(AND(ISNUMBER(F821),ISNUMBER(G821)),IF(ABS(G821-F821)&lt;=H821,"IGUAL","DIVERGENTE"),IF(TRIM(G821&amp;"")=TRIM(F821&amp;""),"IGUAL","DIVERGENTE")))</f>
        <v/>
      </c>
      <c r="J821" s="4" t="n"/>
    </row>
    <row r="822">
      <c r="A822" s="3" t="n">
        <v>57</v>
      </c>
      <c r="B822" s="3" t="inlineStr">
        <is>
          <t>OFERTA FINAL POR TIPOLOGIA E METRAGEM</t>
        </is>
      </c>
      <c r="C822" s="3" t="inlineStr">
        <is>
          <t>Tabela 1</t>
        </is>
      </c>
      <c r="D822" s="3" t="inlineStr">
        <is>
          <t>Total</t>
        </is>
      </c>
      <c r="E822" s="3" t="inlineStr">
        <is>
          <t>4 Dormitórios</t>
        </is>
      </c>
      <c r="F822" s="3" t="inlineStr">
        <is>
          <t>1</t>
        </is>
      </c>
      <c r="G822" s="3" t="n"/>
      <c r="H822" s="3" t="n"/>
      <c r="I822" s="3">
        <f>IF(G822="","PENDENTE",IF(AND(ISNUMBER(F822),ISNUMBER(G822)),IF(ABS(G822-F822)&lt;=H822,"IGUAL","DIVERGENTE"),IF(TRIM(G822&amp;"")=TRIM(F822&amp;""),"IGUAL","DIVERGENTE")))</f>
        <v/>
      </c>
      <c r="J822" s="3" t="n"/>
    </row>
    <row r="823">
      <c r="A823" s="4" t="n">
        <v>57</v>
      </c>
      <c r="B823" s="4" t="inlineStr">
        <is>
          <t>OFERTA FINAL POR TIPOLOGIA E METRAGEM</t>
        </is>
      </c>
      <c r="C823" s="4" t="inlineStr">
        <is>
          <t>Tabela 1</t>
        </is>
      </c>
      <c r="D823" s="4" t="inlineStr">
        <is>
          <t>Total</t>
        </is>
      </c>
      <c r="E823" s="4" t="inlineStr">
        <is>
          <t>Total</t>
        </is>
      </c>
      <c r="F823" s="4" t="inlineStr">
        <is>
          <t>4.850</t>
        </is>
      </c>
      <c r="G823" s="4" t="n"/>
      <c r="H823" s="4" t="n"/>
      <c r="I823" s="4">
        <f>IF(G823="","PENDENTE",IF(AND(ISNUMBER(F823),ISNUMBER(G823)),IF(ABS(G823-F823)&lt;=H823,"IGUAL","DIVERGENTE"),IF(TRIM(G823&amp;"")=TRIM(F823&amp;""),"IGUAL","DIVERGENTE")))</f>
        <v/>
      </c>
      <c r="J823" s="4" t="n"/>
    </row>
    <row r="824">
      <c r="A824" s="3" t="n">
        <v>58</v>
      </c>
      <c r="B824" s="3" t="inlineStr">
        <is>
          <t>MÍNIMO, MÉDIA E MÁXIMO DO PREÇO POR TIPOLOGIA RM DE PORTO ALEGRE</t>
        </is>
      </c>
      <c r="C824" s="3" t="inlineStr">
        <is>
          <t>Tabela 1</t>
        </is>
      </c>
      <c r="D824" s="3" t="inlineStr"/>
      <c r="E824" s="3" t="inlineStr">
        <is>
          <t>M² Privativo</t>
        </is>
      </c>
      <c r="F824" s="3" t="inlineStr">
        <is>
          <t>Mínimo</t>
        </is>
      </c>
      <c r="G824" s="3" t="n"/>
      <c r="H824" s="3" t="n"/>
      <c r="I824" s="3">
        <f>IF(G824="","PENDENTE",IF(AND(ISNUMBER(F824),ISNUMBER(G824)),IF(ABS(G824-F824)&lt;=H824,"IGUAL","DIVERGENTE"),IF(TRIM(G824&amp;"")=TRIM(F824&amp;""),"IGUAL","DIVERGENTE")))</f>
        <v/>
      </c>
      <c r="J824" s="3" t="n"/>
    </row>
    <row r="825">
      <c r="A825" s="4" t="n">
        <v>58</v>
      </c>
      <c r="B825" s="4" t="inlineStr">
        <is>
          <t>MÍNIMO, MÉDIA E MÁXIMO DO PREÇO POR TIPOLOGIA RM DE PORTO ALEGRE</t>
        </is>
      </c>
      <c r="C825" s="4" t="inlineStr">
        <is>
          <t>Tabela 1</t>
        </is>
      </c>
      <c r="D825" s="4" t="inlineStr"/>
      <c r="E825" s="4" t="inlineStr">
        <is>
          <t>Coluna 3</t>
        </is>
      </c>
      <c r="F825" s="4" t="inlineStr">
        <is>
          <t>Média</t>
        </is>
      </c>
      <c r="G825" s="4" t="n"/>
      <c r="H825" s="4" t="n"/>
      <c r="I825" s="4">
        <f>IF(G825="","PENDENTE",IF(AND(ISNUMBER(F825),ISNUMBER(G825)),IF(ABS(G825-F825)&lt;=H825,"IGUAL","DIVERGENTE"),IF(TRIM(G825&amp;"")=TRIM(F825&amp;""),"IGUAL","DIVERGENTE")))</f>
        <v/>
      </c>
      <c r="J825" s="4" t="n"/>
    </row>
    <row r="826">
      <c r="A826" s="3" t="n">
        <v>58</v>
      </c>
      <c r="B826" s="3" t="inlineStr">
        <is>
          <t>MÍNIMO, MÉDIA E MÁXIMO DO PREÇO POR TIPOLOGIA RM DE PORTO ALEGRE</t>
        </is>
      </c>
      <c r="C826" s="3" t="inlineStr">
        <is>
          <t>Tabela 1</t>
        </is>
      </c>
      <c r="D826" s="3" t="inlineStr"/>
      <c r="E826" s="3" t="inlineStr">
        <is>
          <t>Coluna 4</t>
        </is>
      </c>
      <c r="F826" s="3" t="inlineStr">
        <is>
          <t>Máximo</t>
        </is>
      </c>
      <c r="G826" s="3" t="n"/>
      <c r="H826" s="3" t="n"/>
      <c r="I826" s="3">
        <f>IF(G826="","PENDENTE",IF(AND(ISNUMBER(F826),ISNUMBER(G826)),IF(ABS(G826-F826)&lt;=H826,"IGUAL","DIVERGENTE"),IF(TRIM(G826&amp;"")=TRIM(F826&amp;""),"IGUAL","DIVERGENTE")))</f>
        <v/>
      </c>
      <c r="J826" s="3" t="n"/>
    </row>
    <row r="827">
      <c r="A827" s="4" t="n">
        <v>58</v>
      </c>
      <c r="B827" s="4" t="inlineStr">
        <is>
          <t>MÍNIMO, MÉDIA E MÁXIMO DO PREÇO POR TIPOLOGIA RM DE PORTO ALEGRE</t>
        </is>
      </c>
      <c r="C827" s="4" t="inlineStr">
        <is>
          <t>Tabela 1</t>
        </is>
      </c>
      <c r="D827" s="4" t="inlineStr"/>
      <c r="E827" s="4" t="inlineStr">
        <is>
          <t>R$/M² Privativo</t>
        </is>
      </c>
      <c r="F827" s="4" t="inlineStr">
        <is>
          <t>Mínimo</t>
        </is>
      </c>
      <c r="G827" s="4" t="n"/>
      <c r="H827" s="4" t="n"/>
      <c r="I827" s="4">
        <f>IF(G827="","PENDENTE",IF(AND(ISNUMBER(F827),ISNUMBER(G827)),IF(ABS(G827-F827)&lt;=H827,"IGUAL","DIVERGENTE"),IF(TRIM(G827&amp;"")=TRIM(F827&amp;""),"IGUAL","DIVERGENTE")))</f>
        <v/>
      </c>
      <c r="J827" s="4" t="n"/>
    </row>
    <row r="828">
      <c r="A828" s="3" t="n">
        <v>58</v>
      </c>
      <c r="B828" s="3" t="inlineStr">
        <is>
          <t>MÍNIMO, MÉDIA E MÁXIMO DO PREÇO POR TIPOLOGIA RM DE PORTO ALEGRE</t>
        </is>
      </c>
      <c r="C828" s="3" t="inlineStr">
        <is>
          <t>Tabela 1</t>
        </is>
      </c>
      <c r="D828" s="3" t="inlineStr"/>
      <c r="E828" s="3" t="inlineStr">
        <is>
          <t>Coluna 6</t>
        </is>
      </c>
      <c r="F828" s="3" t="inlineStr">
        <is>
          <t>Média</t>
        </is>
      </c>
      <c r="G828" s="3" t="n"/>
      <c r="H828" s="3" t="n"/>
      <c r="I828" s="3">
        <f>IF(G828="","PENDENTE",IF(AND(ISNUMBER(F828),ISNUMBER(G828)),IF(ABS(G828-F828)&lt;=H828,"IGUAL","DIVERGENTE"),IF(TRIM(G828&amp;"")=TRIM(F828&amp;""),"IGUAL","DIVERGENTE")))</f>
        <v/>
      </c>
      <c r="J828" s="3" t="n"/>
    </row>
    <row r="829">
      <c r="A829" s="4" t="n">
        <v>58</v>
      </c>
      <c r="B829" s="4" t="inlineStr">
        <is>
          <t>MÍNIMO, MÉDIA E MÁXIMO DO PREÇO POR TIPOLOGIA RM DE PORTO ALEGRE</t>
        </is>
      </c>
      <c r="C829" s="4" t="inlineStr">
        <is>
          <t>Tabela 1</t>
        </is>
      </c>
      <c r="D829" s="4" t="inlineStr"/>
      <c r="E829" s="4" t="inlineStr">
        <is>
          <t>Coluna 7</t>
        </is>
      </c>
      <c r="F829" s="4" t="inlineStr">
        <is>
          <t>Máximo</t>
        </is>
      </c>
      <c r="G829" s="4" t="n"/>
      <c r="H829" s="4" t="n"/>
      <c r="I829" s="4">
        <f>IF(G829="","PENDENTE",IF(AND(ISNUMBER(F829),ISNUMBER(G829)),IF(ABS(G829-F829)&lt;=H829,"IGUAL","DIVERGENTE"),IF(TRIM(G829&amp;"")=TRIM(F829&amp;""),"IGUAL","DIVERGENTE")))</f>
        <v/>
      </c>
      <c r="J829" s="4" t="n"/>
    </row>
    <row r="830">
      <c r="A830" s="3" t="n">
        <v>58</v>
      </c>
      <c r="B830" s="3" t="inlineStr">
        <is>
          <t>MÍNIMO, MÉDIA E MÁXIMO DO PREÇO POR TIPOLOGIA RM DE PORTO ALEGRE</t>
        </is>
      </c>
      <c r="C830" s="3" t="inlineStr">
        <is>
          <t>Tabela 1</t>
        </is>
      </c>
      <c r="D830" s="3" t="inlineStr">
        <is>
          <t>1 Dormitório</t>
        </is>
      </c>
      <c r="E830" s="3" t="inlineStr">
        <is>
          <t>M² Privativo</t>
        </is>
      </c>
      <c r="F830" s="3" t="inlineStr">
        <is>
          <t>25</t>
        </is>
      </c>
      <c r="G830" s="3" t="n"/>
      <c r="H830" s="3" t="n"/>
      <c r="I830" s="3">
        <f>IF(G830="","PENDENTE",IF(AND(ISNUMBER(F830),ISNUMBER(G830)),IF(ABS(G830-F830)&lt;=H830,"IGUAL","DIVERGENTE"),IF(TRIM(G830&amp;"")=TRIM(F830&amp;""),"IGUAL","DIVERGENTE")))</f>
        <v/>
      </c>
      <c r="J830" s="3" t="n"/>
    </row>
    <row r="831">
      <c r="A831" s="4" t="n">
        <v>58</v>
      </c>
      <c r="B831" s="4" t="inlineStr">
        <is>
          <t>MÍNIMO, MÉDIA E MÁXIMO DO PREÇO POR TIPOLOGIA RM DE PORTO ALEGRE</t>
        </is>
      </c>
      <c r="C831" s="4" t="inlineStr">
        <is>
          <t>Tabela 1</t>
        </is>
      </c>
      <c r="D831" s="4" t="inlineStr">
        <is>
          <t>1 Dormitório</t>
        </is>
      </c>
      <c r="E831" s="4" t="inlineStr">
        <is>
          <t>Coluna 3</t>
        </is>
      </c>
      <c r="F831" s="4" t="inlineStr">
        <is>
          <t>30</t>
        </is>
      </c>
      <c r="G831" s="4" t="n"/>
      <c r="H831" s="4" t="n"/>
      <c r="I831" s="4">
        <f>IF(G831="","PENDENTE",IF(AND(ISNUMBER(F831),ISNUMBER(G831)),IF(ABS(G831-F831)&lt;=H831,"IGUAL","DIVERGENTE"),IF(TRIM(G831&amp;"")=TRIM(F831&amp;""),"IGUAL","DIVERGENTE")))</f>
        <v/>
      </c>
      <c r="J831" s="4" t="n"/>
    </row>
    <row r="832">
      <c r="A832" s="3" t="n">
        <v>58</v>
      </c>
      <c r="B832" s="3" t="inlineStr">
        <is>
          <t>MÍNIMO, MÉDIA E MÁXIMO DO PREÇO POR TIPOLOGIA RM DE PORTO ALEGRE</t>
        </is>
      </c>
      <c r="C832" s="3" t="inlineStr">
        <is>
          <t>Tabela 1</t>
        </is>
      </c>
      <c r="D832" s="3" t="inlineStr">
        <is>
          <t>1 Dormitório</t>
        </is>
      </c>
      <c r="E832" s="3" t="inlineStr">
        <is>
          <t>Coluna 4</t>
        </is>
      </c>
      <c r="F832" s="3" t="inlineStr">
        <is>
          <t>72</t>
        </is>
      </c>
      <c r="G832" s="3" t="n"/>
      <c r="H832" s="3" t="n"/>
      <c r="I832" s="3">
        <f>IF(G832="","PENDENTE",IF(AND(ISNUMBER(F832),ISNUMBER(G832)),IF(ABS(G832-F832)&lt;=H832,"IGUAL","DIVERGENTE"),IF(TRIM(G832&amp;"")=TRIM(F832&amp;""),"IGUAL","DIVERGENTE")))</f>
        <v/>
      </c>
      <c r="J832" s="3" t="n"/>
    </row>
    <row r="833">
      <c r="A833" s="4" t="n">
        <v>58</v>
      </c>
      <c r="B833" s="4" t="inlineStr">
        <is>
          <t>MÍNIMO, MÉDIA E MÁXIMO DO PREÇO POR TIPOLOGIA RM DE PORTO ALEGRE</t>
        </is>
      </c>
      <c r="C833" s="4" t="inlineStr">
        <is>
          <t>Tabela 1</t>
        </is>
      </c>
      <c r="D833" s="4" t="inlineStr">
        <is>
          <t>1 Dormitório</t>
        </is>
      </c>
      <c r="E833" s="4" t="inlineStr">
        <is>
          <t>R$/M² Privativo</t>
        </is>
      </c>
      <c r="F833" s="4" t="inlineStr">
        <is>
          <t>3.415</t>
        </is>
      </c>
      <c r="G833" s="4" t="n"/>
      <c r="H833" s="4" t="n"/>
      <c r="I833" s="4">
        <f>IF(G833="","PENDENTE",IF(AND(ISNUMBER(F833),ISNUMBER(G833)),IF(ABS(G833-F833)&lt;=H833,"IGUAL","DIVERGENTE"),IF(TRIM(G833&amp;"")=TRIM(F833&amp;""),"IGUAL","DIVERGENTE")))</f>
        <v/>
      </c>
      <c r="J833" s="4" t="n"/>
    </row>
    <row r="834">
      <c r="A834" s="3" t="n">
        <v>58</v>
      </c>
      <c r="B834" s="3" t="inlineStr">
        <is>
          <t>MÍNIMO, MÉDIA E MÁXIMO DO PREÇO POR TIPOLOGIA RM DE PORTO ALEGRE</t>
        </is>
      </c>
      <c r="C834" s="3" t="inlineStr">
        <is>
          <t>Tabela 1</t>
        </is>
      </c>
      <c r="D834" s="3" t="inlineStr">
        <is>
          <t>1 Dormitório</t>
        </is>
      </c>
      <c r="E834" s="3" t="inlineStr">
        <is>
          <t>Coluna 6</t>
        </is>
      </c>
      <c r="F834" s="3" t="inlineStr">
        <is>
          <t>9.545</t>
        </is>
      </c>
      <c r="G834" s="3" t="n"/>
      <c r="H834" s="3" t="n"/>
      <c r="I834" s="3">
        <f>IF(G834="","PENDENTE",IF(AND(ISNUMBER(F834),ISNUMBER(G834)),IF(ABS(G834-F834)&lt;=H834,"IGUAL","DIVERGENTE"),IF(TRIM(G834&amp;"")=TRIM(F834&amp;""),"IGUAL","DIVERGENTE")))</f>
        <v/>
      </c>
      <c r="J834" s="3" t="n"/>
    </row>
    <row r="835">
      <c r="A835" s="4" t="n">
        <v>58</v>
      </c>
      <c r="B835" s="4" t="inlineStr">
        <is>
          <t>MÍNIMO, MÉDIA E MÁXIMO DO PREÇO POR TIPOLOGIA RM DE PORTO ALEGRE</t>
        </is>
      </c>
      <c r="C835" s="4" t="inlineStr">
        <is>
          <t>Tabela 1</t>
        </is>
      </c>
      <c r="D835" s="4" t="inlineStr">
        <is>
          <t>1 Dormitório</t>
        </is>
      </c>
      <c r="E835" s="4" t="inlineStr">
        <is>
          <t>Coluna 7</t>
        </is>
      </c>
      <c r="F835" s="4" t="inlineStr">
        <is>
          <t>13.196</t>
        </is>
      </c>
      <c r="G835" s="4" t="n"/>
      <c r="H835" s="4" t="n"/>
      <c r="I835" s="4">
        <f>IF(G835="","PENDENTE",IF(AND(ISNUMBER(F835),ISNUMBER(G835)),IF(ABS(G835-F835)&lt;=H835,"IGUAL","DIVERGENTE"),IF(TRIM(G835&amp;"")=TRIM(F835&amp;""),"IGUAL","DIVERGENTE")))</f>
        <v/>
      </c>
      <c r="J835" s="4" t="n"/>
    </row>
    <row r="836">
      <c r="A836" s="3" t="n">
        <v>58</v>
      </c>
      <c r="B836" s="3" t="inlineStr">
        <is>
          <t>MÍNIMO, MÉDIA E MÁXIMO DO PREÇO POR TIPOLOGIA RM DE PORTO ALEGRE</t>
        </is>
      </c>
      <c r="C836" s="3" t="inlineStr">
        <is>
          <t>Tabela 1</t>
        </is>
      </c>
      <c r="D836" s="3" t="inlineStr">
        <is>
          <t>1 Dormitório</t>
        </is>
      </c>
      <c r="E836" s="3" t="inlineStr">
        <is>
          <t>Oferta Final</t>
        </is>
      </c>
      <c r="F836" s="3" t="inlineStr">
        <is>
          <t>199</t>
        </is>
      </c>
      <c r="G836" s="3" t="n"/>
      <c r="H836" s="3" t="n"/>
      <c r="I836" s="3">
        <f>IF(G836="","PENDENTE",IF(AND(ISNUMBER(F836),ISNUMBER(G836)),IF(ABS(G836-F836)&lt;=H836,"IGUAL","DIVERGENTE"),IF(TRIM(G836&amp;"")=TRIM(F836&amp;""),"IGUAL","DIVERGENTE")))</f>
        <v/>
      </c>
      <c r="J836" s="3" t="n"/>
    </row>
    <row r="837">
      <c r="A837" s="4" t="n">
        <v>58</v>
      </c>
      <c r="B837" s="4" t="inlineStr">
        <is>
          <t>MÍNIMO, MÉDIA E MÁXIMO DO PREÇO POR TIPOLOGIA RM DE PORTO ALEGRE</t>
        </is>
      </c>
      <c r="C837" s="4" t="inlineStr">
        <is>
          <t>Tabela 1</t>
        </is>
      </c>
      <c r="D837" s="4" t="inlineStr">
        <is>
          <t>2 Dormitórios</t>
        </is>
      </c>
      <c r="E837" s="4" t="inlineStr">
        <is>
          <t>M² Privativo</t>
        </is>
      </c>
      <c r="F837" s="4" t="inlineStr">
        <is>
          <t>36</t>
        </is>
      </c>
      <c r="G837" s="4" t="n"/>
      <c r="H837" s="4" t="n"/>
      <c r="I837" s="4">
        <f>IF(G837="","PENDENTE",IF(AND(ISNUMBER(F837),ISNUMBER(G837)),IF(ABS(G837-F837)&lt;=H837,"IGUAL","DIVERGENTE"),IF(TRIM(G837&amp;"")=TRIM(F837&amp;""),"IGUAL","DIVERGENTE")))</f>
        <v/>
      </c>
      <c r="J837" s="4" t="n"/>
    </row>
    <row r="838">
      <c r="A838" s="3" t="n">
        <v>58</v>
      </c>
      <c r="B838" s="3" t="inlineStr">
        <is>
          <t>MÍNIMO, MÉDIA E MÁXIMO DO PREÇO POR TIPOLOGIA RM DE PORTO ALEGRE</t>
        </is>
      </c>
      <c r="C838" s="3" t="inlineStr">
        <is>
          <t>Tabela 1</t>
        </is>
      </c>
      <c r="D838" s="3" t="inlineStr">
        <is>
          <t>2 Dormitórios</t>
        </is>
      </c>
      <c r="E838" s="3" t="inlineStr">
        <is>
          <t>Coluna 3</t>
        </is>
      </c>
      <c r="F838" s="3" t="inlineStr">
        <is>
          <t>49</t>
        </is>
      </c>
      <c r="G838" s="3" t="n"/>
      <c r="H838" s="3" t="n"/>
      <c r="I838" s="3">
        <f>IF(G838="","PENDENTE",IF(AND(ISNUMBER(F838),ISNUMBER(G838)),IF(ABS(G838-F838)&lt;=H838,"IGUAL","DIVERGENTE"),IF(TRIM(G838&amp;"")=TRIM(F838&amp;""),"IGUAL","DIVERGENTE")))</f>
        <v/>
      </c>
      <c r="J838" s="3" t="n"/>
    </row>
    <row r="839">
      <c r="A839" s="4" t="n">
        <v>58</v>
      </c>
      <c r="B839" s="4" t="inlineStr">
        <is>
          <t>MÍNIMO, MÉDIA E MÁXIMO DO PREÇO POR TIPOLOGIA RM DE PORTO ALEGRE</t>
        </is>
      </c>
      <c r="C839" s="4" t="inlineStr">
        <is>
          <t>Tabela 1</t>
        </is>
      </c>
      <c r="D839" s="4" t="inlineStr">
        <is>
          <t>2 Dormitórios</t>
        </is>
      </c>
      <c r="E839" s="4" t="inlineStr">
        <is>
          <t>Coluna 4</t>
        </is>
      </c>
      <c r="F839" s="4" t="inlineStr">
        <is>
          <t>115</t>
        </is>
      </c>
      <c r="G839" s="4" t="n"/>
      <c r="H839" s="4" t="n"/>
      <c r="I839" s="4">
        <f>IF(G839="","PENDENTE",IF(AND(ISNUMBER(F839),ISNUMBER(G839)),IF(ABS(G839-F839)&lt;=H839,"IGUAL","DIVERGENTE"),IF(TRIM(G839&amp;"")=TRIM(F839&amp;""),"IGUAL","DIVERGENTE")))</f>
        <v/>
      </c>
      <c r="J839" s="4" t="n"/>
    </row>
    <row r="840">
      <c r="A840" s="3" t="n">
        <v>58</v>
      </c>
      <c r="B840" s="3" t="inlineStr">
        <is>
          <t>MÍNIMO, MÉDIA E MÁXIMO DO PREÇO POR TIPOLOGIA RM DE PORTO ALEGRE</t>
        </is>
      </c>
      <c r="C840" s="3" t="inlineStr">
        <is>
          <t>Tabela 1</t>
        </is>
      </c>
      <c r="D840" s="3" t="inlineStr">
        <is>
          <t>2 Dormitórios</t>
        </is>
      </c>
      <c r="E840" s="3" t="inlineStr">
        <is>
          <t>R$/M² Privativo</t>
        </is>
      </c>
      <c r="F840" s="3" t="inlineStr">
        <is>
          <t>3.463</t>
        </is>
      </c>
      <c r="G840" s="3" t="n"/>
      <c r="H840" s="3" t="n"/>
      <c r="I840" s="3">
        <f>IF(G840="","PENDENTE",IF(AND(ISNUMBER(F840),ISNUMBER(G840)),IF(ABS(G840-F840)&lt;=H840,"IGUAL","DIVERGENTE"),IF(TRIM(G840&amp;"")=TRIM(F840&amp;""),"IGUAL","DIVERGENTE")))</f>
        <v/>
      </c>
      <c r="J840" s="3" t="n"/>
    </row>
    <row r="841">
      <c r="A841" s="4" t="n">
        <v>58</v>
      </c>
      <c r="B841" s="4" t="inlineStr">
        <is>
          <t>MÍNIMO, MÉDIA E MÁXIMO DO PREÇO POR TIPOLOGIA RM DE PORTO ALEGRE</t>
        </is>
      </c>
      <c r="C841" s="4" t="inlineStr">
        <is>
          <t>Tabela 1</t>
        </is>
      </c>
      <c r="D841" s="4" t="inlineStr">
        <is>
          <t>2 Dormitórios</t>
        </is>
      </c>
      <c r="E841" s="4" t="inlineStr">
        <is>
          <t>Coluna 6</t>
        </is>
      </c>
      <c r="F841" s="4" t="inlineStr">
        <is>
          <t>6.001</t>
        </is>
      </c>
      <c r="G841" s="4" t="n"/>
      <c r="H841" s="4" t="n"/>
      <c r="I841" s="4">
        <f>IF(G841="","PENDENTE",IF(AND(ISNUMBER(F841),ISNUMBER(G841)),IF(ABS(G841-F841)&lt;=H841,"IGUAL","DIVERGENTE"),IF(TRIM(G841&amp;"")=TRIM(F841&amp;""),"IGUAL","DIVERGENTE")))</f>
        <v/>
      </c>
      <c r="J841" s="4" t="n"/>
    </row>
    <row r="842">
      <c r="A842" s="3" t="n">
        <v>58</v>
      </c>
      <c r="B842" s="3" t="inlineStr">
        <is>
          <t>MÍNIMO, MÉDIA E MÁXIMO DO PREÇO POR TIPOLOGIA RM DE PORTO ALEGRE</t>
        </is>
      </c>
      <c r="C842" s="3" t="inlineStr">
        <is>
          <t>Tabela 1</t>
        </is>
      </c>
      <c r="D842" s="3" t="inlineStr">
        <is>
          <t>2 Dormitórios</t>
        </is>
      </c>
      <c r="E842" s="3" t="inlineStr">
        <is>
          <t>Coluna 7</t>
        </is>
      </c>
      <c r="F842" s="3" t="inlineStr">
        <is>
          <t>12.859</t>
        </is>
      </c>
      <c r="G842" s="3" t="n"/>
      <c r="H842" s="3" t="n"/>
      <c r="I842" s="3">
        <f>IF(G842="","PENDENTE",IF(AND(ISNUMBER(F842),ISNUMBER(G842)),IF(ABS(G842-F842)&lt;=H842,"IGUAL","DIVERGENTE"),IF(TRIM(G842&amp;"")=TRIM(F842&amp;""),"IGUAL","DIVERGENTE")))</f>
        <v/>
      </c>
      <c r="J842" s="3" t="n"/>
    </row>
    <row r="843">
      <c r="A843" s="4" t="n">
        <v>58</v>
      </c>
      <c r="B843" s="4" t="inlineStr">
        <is>
          <t>MÍNIMO, MÉDIA E MÁXIMO DO PREÇO POR TIPOLOGIA RM DE PORTO ALEGRE</t>
        </is>
      </c>
      <c r="C843" s="4" t="inlineStr">
        <is>
          <t>Tabela 1</t>
        </is>
      </c>
      <c r="D843" s="4" t="inlineStr">
        <is>
          <t>2 Dormitórios</t>
        </is>
      </c>
      <c r="E843" s="4" t="inlineStr">
        <is>
          <t>Oferta Final</t>
        </is>
      </c>
      <c r="F843" s="4" t="inlineStr">
        <is>
          <t>4.208</t>
        </is>
      </c>
      <c r="G843" s="4" t="n"/>
      <c r="H843" s="4" t="n"/>
      <c r="I843" s="4">
        <f>IF(G843="","PENDENTE",IF(AND(ISNUMBER(F843),ISNUMBER(G843)),IF(ABS(G843-F843)&lt;=H843,"IGUAL","DIVERGENTE"),IF(TRIM(G843&amp;"")=TRIM(F843&amp;""),"IGUAL","DIVERGENTE")))</f>
        <v/>
      </c>
      <c r="J843" s="4" t="n"/>
    </row>
    <row r="844">
      <c r="A844" s="3" t="n">
        <v>58</v>
      </c>
      <c r="B844" s="3" t="inlineStr">
        <is>
          <t>MÍNIMO, MÉDIA E MÁXIMO DO PREÇO POR TIPOLOGIA RM DE PORTO ALEGRE</t>
        </is>
      </c>
      <c r="C844" s="3" t="inlineStr">
        <is>
          <t>Tabela 1</t>
        </is>
      </c>
      <c r="D844" s="3" t="inlineStr">
        <is>
          <t>3 Dormitórios</t>
        </is>
      </c>
      <c r="E844" s="3" t="inlineStr">
        <is>
          <t>M² Privativo</t>
        </is>
      </c>
      <c r="F844" s="3" t="inlineStr">
        <is>
          <t>60</t>
        </is>
      </c>
      <c r="G844" s="3" t="n"/>
      <c r="H844" s="3" t="n"/>
      <c r="I844" s="3">
        <f>IF(G844="","PENDENTE",IF(AND(ISNUMBER(F844),ISNUMBER(G844)),IF(ABS(G844-F844)&lt;=H844,"IGUAL","DIVERGENTE"),IF(TRIM(G844&amp;"")=TRIM(F844&amp;""),"IGUAL","DIVERGENTE")))</f>
        <v/>
      </c>
      <c r="J844" s="3" t="n"/>
    </row>
    <row r="845">
      <c r="A845" s="4" t="n">
        <v>58</v>
      </c>
      <c r="B845" s="4" t="inlineStr">
        <is>
          <t>MÍNIMO, MÉDIA E MÁXIMO DO PREÇO POR TIPOLOGIA RM DE PORTO ALEGRE</t>
        </is>
      </c>
      <c r="C845" s="4" t="inlineStr">
        <is>
          <t>Tabela 1</t>
        </is>
      </c>
      <c r="D845" s="4" t="inlineStr">
        <is>
          <t>3 Dormitórios</t>
        </is>
      </c>
      <c r="E845" s="4" t="inlineStr">
        <is>
          <t>Coluna 3</t>
        </is>
      </c>
      <c r="F845" s="4" t="inlineStr">
        <is>
          <t>97</t>
        </is>
      </c>
      <c r="G845" s="4" t="n"/>
      <c r="H845" s="4" t="n"/>
      <c r="I845" s="4">
        <f>IF(G845="","PENDENTE",IF(AND(ISNUMBER(F845),ISNUMBER(G845)),IF(ABS(G845-F845)&lt;=H845,"IGUAL","DIVERGENTE"),IF(TRIM(G845&amp;"")=TRIM(F845&amp;""),"IGUAL","DIVERGENTE")))</f>
        <v/>
      </c>
      <c r="J845" s="4" t="n"/>
    </row>
    <row r="846">
      <c r="A846" s="3" t="n">
        <v>58</v>
      </c>
      <c r="B846" s="3" t="inlineStr">
        <is>
          <t>MÍNIMO, MÉDIA E MÁXIMO DO PREÇO POR TIPOLOGIA RM DE PORTO ALEGRE</t>
        </is>
      </c>
      <c r="C846" s="3" t="inlineStr">
        <is>
          <t>Tabela 1</t>
        </is>
      </c>
      <c r="D846" s="3" t="inlineStr">
        <is>
          <t>3 Dormitórios</t>
        </is>
      </c>
      <c r="E846" s="3" t="inlineStr">
        <is>
          <t>Coluna 4</t>
        </is>
      </c>
      <c r="F846" s="3" t="inlineStr">
        <is>
          <t>223</t>
        </is>
      </c>
      <c r="G846" s="3" t="n"/>
      <c r="H846" s="3" t="n"/>
      <c r="I846" s="3">
        <f>IF(G846="","PENDENTE",IF(AND(ISNUMBER(F846),ISNUMBER(G846)),IF(ABS(G846-F846)&lt;=H846,"IGUAL","DIVERGENTE"),IF(TRIM(G846&amp;"")=TRIM(F846&amp;""),"IGUAL","DIVERGENTE")))</f>
        <v/>
      </c>
      <c r="J846" s="3" t="n"/>
    </row>
    <row r="847">
      <c r="A847" s="4" t="n">
        <v>58</v>
      </c>
      <c r="B847" s="4" t="inlineStr">
        <is>
          <t>MÍNIMO, MÉDIA E MÁXIMO DO PREÇO POR TIPOLOGIA RM DE PORTO ALEGRE</t>
        </is>
      </c>
      <c r="C847" s="4" t="inlineStr">
        <is>
          <t>Tabela 1</t>
        </is>
      </c>
      <c r="D847" s="4" t="inlineStr">
        <is>
          <t>3 Dormitórios</t>
        </is>
      </c>
      <c r="E847" s="4" t="inlineStr">
        <is>
          <t>R$/M² Privativo</t>
        </is>
      </c>
      <c r="F847" s="4" t="inlineStr">
        <is>
          <t>4.154</t>
        </is>
      </c>
      <c r="G847" s="4" t="n"/>
      <c r="H847" s="4" t="n"/>
      <c r="I847" s="4">
        <f>IF(G847="","PENDENTE",IF(AND(ISNUMBER(F847),ISNUMBER(G847)),IF(ABS(G847-F847)&lt;=H847,"IGUAL","DIVERGENTE"),IF(TRIM(G847&amp;"")=TRIM(F847&amp;""),"IGUAL","DIVERGENTE")))</f>
        <v/>
      </c>
      <c r="J847" s="4" t="n"/>
    </row>
    <row r="848">
      <c r="A848" s="3" t="n">
        <v>58</v>
      </c>
      <c r="B848" s="3" t="inlineStr">
        <is>
          <t>MÍNIMO, MÉDIA E MÁXIMO DO PREÇO POR TIPOLOGIA RM DE PORTO ALEGRE</t>
        </is>
      </c>
      <c r="C848" s="3" t="inlineStr">
        <is>
          <t>Tabela 1</t>
        </is>
      </c>
      <c r="D848" s="3" t="inlineStr">
        <is>
          <t>3 Dormitórios</t>
        </is>
      </c>
      <c r="E848" s="3" t="inlineStr">
        <is>
          <t>Coluna 6</t>
        </is>
      </c>
      <c r="F848" s="3" t="inlineStr">
        <is>
          <t>9.455</t>
        </is>
      </c>
      <c r="G848" s="3" t="n"/>
      <c r="H848" s="3" t="n"/>
      <c r="I848" s="3">
        <f>IF(G848="","PENDENTE",IF(AND(ISNUMBER(F848),ISNUMBER(G848)),IF(ABS(G848-F848)&lt;=H848,"IGUAL","DIVERGENTE"),IF(TRIM(G848&amp;"")=TRIM(F848&amp;""),"IGUAL","DIVERGENTE")))</f>
        <v/>
      </c>
      <c r="J848" s="3" t="n"/>
    </row>
    <row r="849">
      <c r="A849" s="4" t="n">
        <v>58</v>
      </c>
      <c r="B849" s="4" t="inlineStr">
        <is>
          <t>MÍNIMO, MÉDIA E MÁXIMO DO PREÇO POR TIPOLOGIA RM DE PORTO ALEGRE</t>
        </is>
      </c>
      <c r="C849" s="4" t="inlineStr">
        <is>
          <t>Tabela 1</t>
        </is>
      </c>
      <c r="D849" s="4" t="inlineStr">
        <is>
          <t>3 Dormitórios</t>
        </is>
      </c>
      <c r="E849" s="4" t="inlineStr">
        <is>
          <t>Coluna 7</t>
        </is>
      </c>
      <c r="F849" s="4" t="inlineStr">
        <is>
          <t>16.925</t>
        </is>
      </c>
      <c r="G849" s="4" t="n"/>
      <c r="H849" s="4" t="n"/>
      <c r="I849" s="4">
        <f>IF(G849="","PENDENTE",IF(AND(ISNUMBER(F849),ISNUMBER(G849)),IF(ABS(G849-F849)&lt;=H849,"IGUAL","DIVERGENTE"),IF(TRIM(G849&amp;"")=TRIM(F849&amp;""),"IGUAL","DIVERGENTE")))</f>
        <v/>
      </c>
      <c r="J849" s="4" t="n"/>
    </row>
    <row r="850">
      <c r="A850" s="3" t="n">
        <v>58</v>
      </c>
      <c r="B850" s="3" t="inlineStr">
        <is>
          <t>MÍNIMO, MÉDIA E MÁXIMO DO PREÇO POR TIPOLOGIA RM DE PORTO ALEGRE</t>
        </is>
      </c>
      <c r="C850" s="3" t="inlineStr">
        <is>
          <t>Tabela 1</t>
        </is>
      </c>
      <c r="D850" s="3" t="inlineStr">
        <is>
          <t>3 Dormitórios</t>
        </is>
      </c>
      <c r="E850" s="3" t="inlineStr">
        <is>
          <t>Oferta Final</t>
        </is>
      </c>
      <c r="F850" s="3" t="inlineStr">
        <is>
          <t>442</t>
        </is>
      </c>
      <c r="G850" s="3" t="n"/>
      <c r="H850" s="3" t="n"/>
      <c r="I850" s="3">
        <f>IF(G850="","PENDENTE",IF(AND(ISNUMBER(F850),ISNUMBER(G850)),IF(ABS(G850-F850)&lt;=H850,"IGUAL","DIVERGENTE"),IF(TRIM(G850&amp;"")=TRIM(F850&amp;""),"IGUAL","DIVERGENTE")))</f>
        <v/>
      </c>
      <c r="J850" s="3" t="n"/>
    </row>
    <row r="851">
      <c r="A851" s="4" t="n">
        <v>58</v>
      </c>
      <c r="B851" s="4" t="inlineStr">
        <is>
          <t>MÍNIMO, MÉDIA E MÁXIMO DO PREÇO POR TIPOLOGIA RM DE PORTO ALEGRE</t>
        </is>
      </c>
      <c r="C851" s="4" t="inlineStr">
        <is>
          <t>Tabela 1</t>
        </is>
      </c>
      <c r="D851" s="4" t="inlineStr">
        <is>
          <t>4 Dormitórios</t>
        </is>
      </c>
      <c r="E851" s="4" t="inlineStr">
        <is>
          <t>M² Privativo</t>
        </is>
      </c>
      <c r="F851" s="4" t="inlineStr">
        <is>
          <t>-</t>
        </is>
      </c>
      <c r="G851" s="4" t="n"/>
      <c r="H851" s="4" t="n"/>
      <c r="I851" s="4">
        <f>IF(G851="","PENDENTE",IF(AND(ISNUMBER(F851),ISNUMBER(G851)),IF(ABS(G851-F851)&lt;=H851,"IGUAL","DIVERGENTE"),IF(TRIM(G851&amp;"")=TRIM(F851&amp;""),"IGUAL","DIVERGENTE")))</f>
        <v/>
      </c>
      <c r="J851" s="4" t="n"/>
    </row>
    <row r="852">
      <c r="A852" s="3" t="n">
        <v>58</v>
      </c>
      <c r="B852" s="3" t="inlineStr">
        <is>
          <t>MÍNIMO, MÉDIA E MÁXIMO DO PREÇO POR TIPOLOGIA RM DE PORTO ALEGRE</t>
        </is>
      </c>
      <c r="C852" s="3" t="inlineStr">
        <is>
          <t>Tabela 1</t>
        </is>
      </c>
      <c r="D852" s="3" t="inlineStr">
        <is>
          <t>4 Dormitórios</t>
        </is>
      </c>
      <c r="E852" s="3" t="inlineStr">
        <is>
          <t>Coluna 3</t>
        </is>
      </c>
      <c r="F852" s="3" t="inlineStr">
        <is>
          <t>-</t>
        </is>
      </c>
      <c r="G852" s="3" t="n"/>
      <c r="H852" s="3" t="n"/>
      <c r="I852" s="3">
        <f>IF(G852="","PENDENTE",IF(AND(ISNUMBER(F852),ISNUMBER(G852)),IF(ABS(G852-F852)&lt;=H852,"IGUAL","DIVERGENTE"),IF(TRIM(G852&amp;"")=TRIM(F852&amp;""),"IGUAL","DIVERGENTE")))</f>
        <v/>
      </c>
      <c r="J852" s="3" t="n"/>
    </row>
    <row r="853">
      <c r="A853" s="4" t="n">
        <v>58</v>
      </c>
      <c r="B853" s="4" t="inlineStr">
        <is>
          <t>MÍNIMO, MÉDIA E MÁXIMO DO PREÇO POR TIPOLOGIA RM DE PORTO ALEGRE</t>
        </is>
      </c>
      <c r="C853" s="4" t="inlineStr">
        <is>
          <t>Tabela 1</t>
        </is>
      </c>
      <c r="D853" s="4" t="inlineStr">
        <is>
          <t>4 Dormitórios</t>
        </is>
      </c>
      <c r="E853" s="4" t="inlineStr">
        <is>
          <t>Coluna 4</t>
        </is>
      </c>
      <c r="F853" s="4" t="inlineStr">
        <is>
          <t>-</t>
        </is>
      </c>
      <c r="G853" s="4" t="n"/>
      <c r="H853" s="4" t="n"/>
      <c r="I853" s="4">
        <f>IF(G853="","PENDENTE",IF(AND(ISNUMBER(F853),ISNUMBER(G853)),IF(ABS(G853-F853)&lt;=H853,"IGUAL","DIVERGENTE"),IF(TRIM(G853&amp;"")=TRIM(F853&amp;""),"IGUAL","DIVERGENTE")))</f>
        <v/>
      </c>
      <c r="J853" s="4" t="n"/>
    </row>
    <row r="854">
      <c r="A854" s="3" t="n">
        <v>58</v>
      </c>
      <c r="B854" s="3" t="inlineStr">
        <is>
          <t>MÍNIMO, MÉDIA E MÁXIMO DO PREÇO POR TIPOLOGIA RM DE PORTO ALEGRE</t>
        </is>
      </c>
      <c r="C854" s="3" t="inlineStr">
        <is>
          <t>Tabela 1</t>
        </is>
      </c>
      <c r="D854" s="3" t="inlineStr">
        <is>
          <t>4 Dormitórios</t>
        </is>
      </c>
      <c r="E854" s="3" t="inlineStr">
        <is>
          <t>R$/M² Privativo</t>
        </is>
      </c>
      <c r="F854" s="3" t="inlineStr">
        <is>
          <t>-</t>
        </is>
      </c>
      <c r="G854" s="3" t="n"/>
      <c r="H854" s="3" t="n"/>
      <c r="I854" s="3">
        <f>IF(G854="","PENDENTE",IF(AND(ISNUMBER(F854),ISNUMBER(G854)),IF(ABS(G854-F854)&lt;=H854,"IGUAL","DIVERGENTE"),IF(TRIM(G854&amp;"")=TRIM(F854&amp;""),"IGUAL","DIVERGENTE")))</f>
        <v/>
      </c>
      <c r="J854" s="3" t="n"/>
    </row>
    <row r="855">
      <c r="A855" s="4" t="n">
        <v>58</v>
      </c>
      <c r="B855" s="4" t="inlineStr">
        <is>
          <t>MÍNIMO, MÉDIA E MÁXIMO DO PREÇO POR TIPOLOGIA RM DE PORTO ALEGRE</t>
        </is>
      </c>
      <c r="C855" s="4" t="inlineStr">
        <is>
          <t>Tabela 1</t>
        </is>
      </c>
      <c r="D855" s="4" t="inlineStr">
        <is>
          <t>4 Dormitórios</t>
        </is>
      </c>
      <c r="E855" s="4" t="inlineStr">
        <is>
          <t>Coluna 6</t>
        </is>
      </c>
      <c r="F855" s="4" t="inlineStr">
        <is>
          <t>-</t>
        </is>
      </c>
      <c r="G855" s="4" t="n"/>
      <c r="H855" s="4" t="n"/>
      <c r="I855" s="4">
        <f>IF(G855="","PENDENTE",IF(AND(ISNUMBER(F855),ISNUMBER(G855)),IF(ABS(G855-F855)&lt;=H855,"IGUAL","DIVERGENTE"),IF(TRIM(G855&amp;"")=TRIM(F855&amp;""),"IGUAL","DIVERGENTE")))</f>
        <v/>
      </c>
      <c r="J855" s="4" t="n"/>
    </row>
    <row r="856">
      <c r="A856" s="3" t="n">
        <v>58</v>
      </c>
      <c r="B856" s="3" t="inlineStr">
        <is>
          <t>MÍNIMO, MÉDIA E MÁXIMO DO PREÇO POR TIPOLOGIA RM DE PORTO ALEGRE</t>
        </is>
      </c>
      <c r="C856" s="3" t="inlineStr">
        <is>
          <t>Tabela 1</t>
        </is>
      </c>
      <c r="D856" s="3" t="inlineStr">
        <is>
          <t>4 Dormitórios</t>
        </is>
      </c>
      <c r="E856" s="3" t="inlineStr">
        <is>
          <t>Coluna 7</t>
        </is>
      </c>
      <c r="F856" s="3" t="inlineStr">
        <is>
          <t>-</t>
        </is>
      </c>
      <c r="G856" s="3" t="n"/>
      <c r="H856" s="3" t="n"/>
      <c r="I856" s="3">
        <f>IF(G856="","PENDENTE",IF(AND(ISNUMBER(F856),ISNUMBER(G856)),IF(ABS(G856-F856)&lt;=H856,"IGUAL","DIVERGENTE"),IF(TRIM(G856&amp;"")=TRIM(F856&amp;""),"IGUAL","DIVERGENTE")))</f>
        <v/>
      </c>
      <c r="J856" s="3" t="n"/>
    </row>
    <row r="857">
      <c r="A857" s="4" t="n">
        <v>58</v>
      </c>
      <c r="B857" s="4" t="inlineStr">
        <is>
          <t>MÍNIMO, MÉDIA E MÁXIMO DO PREÇO POR TIPOLOGIA RM DE PORTO ALEGRE</t>
        </is>
      </c>
      <c r="C857" s="4" t="inlineStr">
        <is>
          <t>Tabela 1</t>
        </is>
      </c>
      <c r="D857" s="4" t="inlineStr">
        <is>
          <t>4 Dormitórios</t>
        </is>
      </c>
      <c r="E857" s="4" t="inlineStr">
        <is>
          <t>Oferta Final</t>
        </is>
      </c>
      <c r="F857" s="4" t="inlineStr">
        <is>
          <t>1</t>
        </is>
      </c>
      <c r="G857" s="4" t="n"/>
      <c r="H857" s="4" t="n"/>
      <c r="I857" s="4">
        <f>IF(G857="","PENDENTE",IF(AND(ISNUMBER(F857),ISNUMBER(G857)),IF(ABS(G857-F857)&lt;=H857,"IGUAL","DIVERGENTE"),IF(TRIM(G857&amp;"")=TRIM(F857&amp;""),"IGUAL","DIVERGENTE")))</f>
        <v/>
      </c>
      <c r="J857" s="4" t="n"/>
    </row>
    <row r="858">
      <c r="A858" s="3" t="n">
        <v>58</v>
      </c>
      <c r="B858" s="3" t="inlineStr">
        <is>
          <t>MÍNIMO, MÉDIA E MÁXIMO DO PREÇO POR TIPOLOGIA RM DE PORTO ALEGRE</t>
        </is>
      </c>
      <c r="C858" s="3" t="inlineStr">
        <is>
          <t>Tabela 1</t>
        </is>
      </c>
      <c r="D858" s="3" t="inlineStr">
        <is>
          <t>Média Geral</t>
        </is>
      </c>
      <c r="E858" s="3" t="inlineStr">
        <is>
          <t>M² Privativo</t>
        </is>
      </c>
      <c r="F858" s="3" t="inlineStr">
        <is>
          <t>-</t>
        </is>
      </c>
      <c r="G858" s="3" t="n"/>
      <c r="H858" s="3" t="n"/>
      <c r="I858" s="3">
        <f>IF(G858="","PENDENTE",IF(AND(ISNUMBER(F858),ISNUMBER(G858)),IF(ABS(G858-F858)&lt;=H858,"IGUAL","DIVERGENTE"),IF(TRIM(G858&amp;"")=TRIM(F858&amp;""),"IGUAL","DIVERGENTE")))</f>
        <v/>
      </c>
      <c r="J858" s="3" t="n"/>
    </row>
    <row r="859">
      <c r="A859" s="4" t="n">
        <v>58</v>
      </c>
      <c r="B859" s="4" t="inlineStr">
        <is>
          <t>MÍNIMO, MÉDIA E MÁXIMO DO PREÇO POR TIPOLOGIA RM DE PORTO ALEGRE</t>
        </is>
      </c>
      <c r="C859" s="4" t="inlineStr">
        <is>
          <t>Tabela 1</t>
        </is>
      </c>
      <c r="D859" s="4" t="inlineStr">
        <is>
          <t>Média Geral</t>
        </is>
      </c>
      <c r="E859" s="4" t="inlineStr">
        <is>
          <t>Coluna 3</t>
        </is>
      </c>
      <c r="F859" s="4" t="inlineStr">
        <is>
          <t>52</t>
        </is>
      </c>
      <c r="G859" s="4" t="n"/>
      <c r="H859" s="4" t="n"/>
      <c r="I859" s="4">
        <f>IF(G859="","PENDENTE",IF(AND(ISNUMBER(F859),ISNUMBER(G859)),IF(ABS(G859-F859)&lt;=H859,"IGUAL","DIVERGENTE"),IF(TRIM(G859&amp;"")=TRIM(F859&amp;""),"IGUAL","DIVERGENTE")))</f>
        <v/>
      </c>
      <c r="J859" s="4" t="n"/>
    </row>
    <row r="860">
      <c r="A860" s="3" t="n">
        <v>58</v>
      </c>
      <c r="B860" s="3" t="inlineStr">
        <is>
          <t>MÍNIMO, MÉDIA E MÁXIMO DO PREÇO POR TIPOLOGIA RM DE PORTO ALEGRE</t>
        </is>
      </c>
      <c r="C860" s="3" t="inlineStr">
        <is>
          <t>Tabela 1</t>
        </is>
      </c>
      <c r="D860" s="3" t="inlineStr">
        <is>
          <t>Média Geral</t>
        </is>
      </c>
      <c r="E860" s="3" t="inlineStr">
        <is>
          <t>Coluna 4</t>
        </is>
      </c>
      <c r="F860" s="3" t="inlineStr">
        <is>
          <t>-</t>
        </is>
      </c>
      <c r="G860" s="3" t="n"/>
      <c r="H860" s="3" t="n"/>
      <c r="I860" s="3">
        <f>IF(G860="","PENDENTE",IF(AND(ISNUMBER(F860),ISNUMBER(G860)),IF(ABS(G860-F860)&lt;=H860,"IGUAL","DIVERGENTE"),IF(TRIM(G860&amp;"")=TRIM(F860&amp;""),"IGUAL","DIVERGENTE")))</f>
        <v/>
      </c>
      <c r="J860" s="3" t="n"/>
    </row>
    <row r="861">
      <c r="A861" s="4" t="n">
        <v>58</v>
      </c>
      <c r="B861" s="4" t="inlineStr">
        <is>
          <t>MÍNIMO, MÉDIA E MÁXIMO DO PREÇO POR TIPOLOGIA RM DE PORTO ALEGRE</t>
        </is>
      </c>
      <c r="C861" s="4" t="inlineStr">
        <is>
          <t>Tabela 1</t>
        </is>
      </c>
      <c r="D861" s="4" t="inlineStr">
        <is>
          <t>Média Geral</t>
        </is>
      </c>
      <c r="E861" s="4" t="inlineStr">
        <is>
          <t>R$/M² Privativo</t>
        </is>
      </c>
      <c r="F861" s="4" t="inlineStr">
        <is>
          <t>-</t>
        </is>
      </c>
      <c r="G861" s="4" t="n"/>
      <c r="H861" s="4" t="n"/>
      <c r="I861" s="4">
        <f>IF(G861="","PENDENTE",IF(AND(ISNUMBER(F861),ISNUMBER(G861)),IF(ABS(G861-F861)&lt;=H861,"IGUAL","DIVERGENTE"),IF(TRIM(G861&amp;"")=TRIM(F861&amp;""),"IGUAL","DIVERGENTE")))</f>
        <v/>
      </c>
      <c r="J861" s="4" t="n"/>
    </row>
    <row r="862">
      <c r="A862" s="3" t="n">
        <v>58</v>
      </c>
      <c r="B862" s="3" t="inlineStr">
        <is>
          <t>MÍNIMO, MÉDIA E MÁXIMO DO PREÇO POR TIPOLOGIA RM DE PORTO ALEGRE</t>
        </is>
      </c>
      <c r="C862" s="3" t="inlineStr">
        <is>
          <t>Tabela 1</t>
        </is>
      </c>
      <c r="D862" s="3" t="inlineStr">
        <is>
          <t>Média Geral</t>
        </is>
      </c>
      <c r="E862" s="3" t="inlineStr">
        <is>
          <t>Coluna 6</t>
        </is>
      </c>
      <c r="F862" s="3" t="inlineStr">
        <is>
          <t>6.745</t>
        </is>
      </c>
      <c r="G862" s="3" t="n"/>
      <c r="H862" s="3" t="n"/>
      <c r="I862" s="3">
        <f>IF(G862="","PENDENTE",IF(AND(ISNUMBER(F862),ISNUMBER(G862)),IF(ABS(G862-F862)&lt;=H862,"IGUAL","DIVERGENTE"),IF(TRIM(G862&amp;"")=TRIM(F862&amp;""),"IGUAL","DIVERGENTE")))</f>
        <v/>
      </c>
      <c r="J862" s="3" t="n"/>
    </row>
    <row r="863">
      <c r="A863" s="4" t="n">
        <v>58</v>
      </c>
      <c r="B863" s="4" t="inlineStr">
        <is>
          <t>MÍNIMO, MÉDIA E MÁXIMO DO PREÇO POR TIPOLOGIA RM DE PORTO ALEGRE</t>
        </is>
      </c>
      <c r="C863" s="4" t="inlineStr">
        <is>
          <t>Tabela 1</t>
        </is>
      </c>
      <c r="D863" s="4" t="inlineStr">
        <is>
          <t>Média Geral</t>
        </is>
      </c>
      <c r="E863" s="4" t="inlineStr">
        <is>
          <t>Coluna 7</t>
        </is>
      </c>
      <c r="F863" s="4" t="inlineStr">
        <is>
          <t>-</t>
        </is>
      </c>
      <c r="G863" s="4" t="n"/>
      <c r="H863" s="4" t="n"/>
      <c r="I863" s="4">
        <f>IF(G863="","PENDENTE",IF(AND(ISNUMBER(F863),ISNUMBER(G863)),IF(ABS(G863-F863)&lt;=H863,"IGUAL","DIVERGENTE"),IF(TRIM(G863&amp;"")=TRIM(F863&amp;""),"IGUAL","DIVERGENTE")))</f>
        <v/>
      </c>
      <c r="J863" s="4" t="n"/>
    </row>
    <row r="864">
      <c r="A864" s="3" t="n">
        <v>58</v>
      </c>
      <c r="B864" s="3" t="inlineStr">
        <is>
          <t>MÍNIMO, MÉDIA E MÁXIMO DO PREÇO POR TIPOLOGIA RM DE PORTO ALEGRE</t>
        </is>
      </c>
      <c r="C864" s="3" t="inlineStr">
        <is>
          <t>Tabela 1</t>
        </is>
      </c>
      <c r="D864" s="3" t="inlineStr">
        <is>
          <t>Média Geral</t>
        </is>
      </c>
      <c r="E864" s="3" t="inlineStr">
        <is>
          <t>Oferta Final</t>
        </is>
      </c>
      <c r="F864" s="3" t="inlineStr">
        <is>
          <t>4.850</t>
        </is>
      </c>
      <c r="G864" s="3" t="n"/>
      <c r="H864" s="3" t="n"/>
      <c r="I864" s="3">
        <f>IF(G864="","PENDENTE",IF(AND(ISNUMBER(F864),ISNUMBER(G864)),IF(ABS(G864-F864)&lt;=H864,"IGUAL","DIVERGENTE"),IF(TRIM(G864&amp;"")=TRIM(F864&amp;""),"IGUAL","DIVERGENTE")))</f>
        <v/>
      </c>
      <c r="J864" s="3" t="n"/>
    </row>
    <row r="865">
      <c r="A865" s="4" t="n">
        <v>59</v>
      </c>
      <c r="B865" s="4" t="inlineStr">
        <is>
          <t>TEMPO MÉDIO DA OFERTA LANÇADA E FINAL POR TIPOLOGIA RM DE PORTO ALEGRE</t>
        </is>
      </c>
      <c r="C865" s="4" t="inlineStr">
        <is>
          <t>Gráfico 1 / plot 1</t>
        </is>
      </c>
      <c r="D865" s="4" t="inlineStr">
        <is>
          <t>Planta</t>
        </is>
      </c>
      <c r="E865" s="4" t="inlineStr">
        <is>
          <t>1 DORM</t>
        </is>
      </c>
      <c r="F865" s="4" t="n">
        <v>0.02005469462169553</v>
      </c>
      <c r="G865" s="4" t="n"/>
      <c r="H865" s="4" t="n">
        <v>0.005</v>
      </c>
      <c r="I865" s="4">
        <f>IF(G865="","PENDENTE",IF(AND(ISNUMBER(F865),ISNUMBER(G865)),IF(ABS(G865-F865)&lt;=H865,"IGUAL","DIVERGENTE"),IF(TRIM(G865&amp;"")=TRIM(F865&amp;""),"IGUAL","DIVERGENTE")))</f>
        <v/>
      </c>
      <c r="J865" s="4" t="n"/>
    </row>
    <row r="866">
      <c r="A866" s="3" t="n">
        <v>59</v>
      </c>
      <c r="B866" s="3" t="inlineStr">
        <is>
          <t>TEMPO MÉDIO DA OFERTA LANÇADA E FINAL POR TIPOLOGIA RM DE PORTO ALEGRE</t>
        </is>
      </c>
      <c r="C866" s="3" t="inlineStr">
        <is>
          <t>Gráfico 1 / plot 1</t>
        </is>
      </c>
      <c r="D866" s="3" t="inlineStr">
        <is>
          <t>Planta</t>
        </is>
      </c>
      <c r="E866" s="3" t="inlineStr">
        <is>
          <t>2 DORMS</t>
        </is>
      </c>
      <c r="F866" s="3" t="n">
        <v>0.1803036693378322</v>
      </c>
      <c r="G866" s="3" t="n"/>
      <c r="H866" s="3" t="n">
        <v>0.005</v>
      </c>
      <c r="I866" s="3">
        <f>IF(G866="","PENDENTE",IF(AND(ISNUMBER(F866),ISNUMBER(G866)),IF(ABS(G866-F866)&lt;=H866,"IGUAL","DIVERGENTE"),IF(TRIM(G866&amp;"")=TRIM(F866&amp;""),"IGUAL","DIVERGENTE")))</f>
        <v/>
      </c>
      <c r="J866" s="3" t="n"/>
    </row>
    <row r="867">
      <c r="A867" s="4" t="n">
        <v>59</v>
      </c>
      <c r="B867" s="4" t="inlineStr">
        <is>
          <t>TEMPO MÉDIO DA OFERTA LANÇADA E FINAL POR TIPOLOGIA RM DE PORTO ALEGRE</t>
        </is>
      </c>
      <c r="C867" s="4" t="inlineStr">
        <is>
          <t>Gráfico 1 / plot 1</t>
        </is>
      </c>
      <c r="D867" s="4" t="inlineStr">
        <is>
          <t>Planta</t>
        </is>
      </c>
      <c r="E867" s="4" t="inlineStr">
        <is>
          <t>3 DORMS</t>
        </is>
      </c>
      <c r="F867" s="4" t="n">
        <v>0.0626118067978533</v>
      </c>
      <c r="G867" s="4" t="n"/>
      <c r="H867" s="4" t="n">
        <v>0.005</v>
      </c>
      <c r="I867" s="4">
        <f>IF(G867="","PENDENTE",IF(AND(ISNUMBER(F867),ISNUMBER(G867)),IF(ABS(G867-F867)&lt;=H867,"IGUAL","DIVERGENTE"),IF(TRIM(G867&amp;"")=TRIM(F867&amp;""),"IGUAL","DIVERGENTE")))</f>
        <v/>
      </c>
      <c r="J867" s="4" t="n"/>
    </row>
    <row r="868">
      <c r="A868" s="3" t="n">
        <v>59</v>
      </c>
      <c r="B868" s="3" t="inlineStr">
        <is>
          <t>TEMPO MÉDIO DA OFERTA LANÇADA E FINAL POR TIPOLOGIA RM DE PORTO ALEGRE</t>
        </is>
      </c>
      <c r="C868" s="3" t="inlineStr">
        <is>
          <t>Gráfico 1 / plot 1</t>
        </is>
      </c>
      <c r="D868" s="3" t="inlineStr">
        <is>
          <t>Planta</t>
        </is>
      </c>
      <c r="E868" s="3" t="inlineStr">
        <is>
          <t>4 DORMS</t>
        </is>
      </c>
      <c r="F868" s="3" t="n">
        <v>0</v>
      </c>
      <c r="G868" s="3" t="n"/>
      <c r="H868" s="3" t="n">
        <v>0</v>
      </c>
      <c r="I868" s="3">
        <f>IF(G868="","PENDENTE",IF(AND(ISNUMBER(F868),ISNUMBER(G868)),IF(ABS(G868-F868)&lt;=H868,"IGUAL","DIVERGENTE"),IF(TRIM(G868&amp;"")=TRIM(F868&amp;""),"IGUAL","DIVERGENTE")))</f>
        <v/>
      </c>
      <c r="J868" s="3" t="n"/>
    </row>
    <row r="869">
      <c r="A869" s="4" t="n">
        <v>59</v>
      </c>
      <c r="B869" s="4" t="inlineStr">
        <is>
          <t>TEMPO MÉDIO DA OFERTA LANÇADA E FINAL POR TIPOLOGIA RM DE PORTO ALEGRE</t>
        </is>
      </c>
      <c r="C869" s="4" t="inlineStr">
        <is>
          <t>Gráfico 1 / plot 1</t>
        </is>
      </c>
      <c r="D869" s="4" t="inlineStr">
        <is>
          <t>Construção</t>
        </is>
      </c>
      <c r="E869" s="4" t="inlineStr">
        <is>
          <t>1 DORM</t>
        </is>
      </c>
      <c r="F869" s="4" t="n">
        <v>0.4320875113947129</v>
      </c>
      <c r="G869" s="4" t="n"/>
      <c r="H869" s="4" t="n">
        <v>0.005</v>
      </c>
      <c r="I869" s="4">
        <f>IF(G869="","PENDENTE",IF(AND(ISNUMBER(F869),ISNUMBER(G869)),IF(ABS(G869-F869)&lt;=H869,"IGUAL","DIVERGENTE"),IF(TRIM(G869&amp;"")=TRIM(F869&amp;""),"IGUAL","DIVERGENTE")))</f>
        <v/>
      </c>
      <c r="J869" s="4" t="n"/>
    </row>
    <row r="870">
      <c r="A870" s="3" t="n">
        <v>59</v>
      </c>
      <c r="B870" s="3" t="inlineStr">
        <is>
          <t>TEMPO MÉDIO DA OFERTA LANÇADA E FINAL POR TIPOLOGIA RM DE PORTO ALEGRE</t>
        </is>
      </c>
      <c r="C870" s="3" t="inlineStr">
        <is>
          <t>Gráfico 1 / plot 1</t>
        </is>
      </c>
      <c r="D870" s="3" t="inlineStr">
        <is>
          <t>Construção</t>
        </is>
      </c>
      <c r="E870" s="3" t="inlineStr">
        <is>
          <t>2 DORMS</t>
        </is>
      </c>
      <c r="F870" s="3" t="n">
        <v>0.5620694503022634</v>
      </c>
      <c r="G870" s="3" t="n"/>
      <c r="H870" s="3" t="n">
        <v>0.005</v>
      </c>
      <c r="I870" s="3">
        <f>IF(G870="","PENDENTE",IF(AND(ISNUMBER(F870),ISNUMBER(G870)),IF(ABS(G870-F870)&lt;=H870,"IGUAL","DIVERGENTE"),IF(TRIM(G870&amp;"")=TRIM(F870&amp;""),"IGUAL","DIVERGENTE")))</f>
        <v/>
      </c>
      <c r="J870" s="3" t="n"/>
    </row>
    <row r="871">
      <c r="A871" s="4" t="n">
        <v>59</v>
      </c>
      <c r="B871" s="4" t="inlineStr">
        <is>
          <t>TEMPO MÉDIO DA OFERTA LANÇADA E FINAL POR TIPOLOGIA RM DE PORTO ALEGRE</t>
        </is>
      </c>
      <c r="C871" s="4" t="inlineStr">
        <is>
          <t>Gráfico 1 / plot 1</t>
        </is>
      </c>
      <c r="D871" s="4" t="inlineStr">
        <is>
          <t>Construção</t>
        </is>
      </c>
      <c r="E871" s="4" t="inlineStr">
        <is>
          <t>3 DORMS</t>
        </is>
      </c>
      <c r="F871" s="4" t="n">
        <v>0.4335122242098987</v>
      </c>
      <c r="G871" s="4" t="n"/>
      <c r="H871" s="4" t="n">
        <v>0.005</v>
      </c>
      <c r="I871" s="4">
        <f>IF(G871="","PENDENTE",IF(AND(ISNUMBER(F871),ISNUMBER(G871)),IF(ABS(G871-F871)&lt;=H871,"IGUAL","DIVERGENTE"),IF(TRIM(G871&amp;"")=TRIM(F871&amp;""),"IGUAL","DIVERGENTE")))</f>
        <v/>
      </c>
      <c r="J871" s="4" t="n"/>
    </row>
    <row r="872">
      <c r="A872" s="3" t="n">
        <v>59</v>
      </c>
      <c r="B872" s="3" t="inlineStr">
        <is>
          <t>TEMPO MÉDIO DA OFERTA LANÇADA E FINAL POR TIPOLOGIA RM DE PORTO ALEGRE</t>
        </is>
      </c>
      <c r="C872" s="3" t="inlineStr">
        <is>
          <t>Gráfico 1 / plot 1</t>
        </is>
      </c>
      <c r="D872" s="3" t="inlineStr">
        <is>
          <t>Construção</t>
        </is>
      </c>
      <c r="E872" s="3" t="inlineStr">
        <is>
          <t>4 DORMS</t>
        </is>
      </c>
      <c r="F872" s="3" t="n">
        <v>0</v>
      </c>
      <c r="G872" s="3" t="n"/>
      <c r="H872" s="3" t="n">
        <v>0</v>
      </c>
      <c r="I872" s="3">
        <f>IF(G872="","PENDENTE",IF(AND(ISNUMBER(F872),ISNUMBER(G872)),IF(ABS(G872-F872)&lt;=H872,"IGUAL","DIVERGENTE"),IF(TRIM(G872&amp;"")=TRIM(F872&amp;""),"IGUAL","DIVERGENTE")))</f>
        <v/>
      </c>
      <c r="J872" s="3" t="n"/>
    </row>
    <row r="873">
      <c r="A873" s="4" t="n">
        <v>59</v>
      </c>
      <c r="B873" s="4" t="inlineStr">
        <is>
          <t>TEMPO MÉDIO DA OFERTA LANÇADA E FINAL POR TIPOLOGIA RM DE PORTO ALEGRE</t>
        </is>
      </c>
      <c r="C873" s="4" t="inlineStr">
        <is>
          <t>Gráfico 1 / plot 1</t>
        </is>
      </c>
      <c r="D873" s="4" t="inlineStr">
        <is>
          <t>Pronto</t>
        </is>
      </c>
      <c r="E873" s="4" t="inlineStr">
        <is>
          <t>1 DORM</t>
        </is>
      </c>
      <c r="F873" s="4" t="n">
        <v>0.5478577939835916</v>
      </c>
      <c r="G873" s="4" t="n"/>
      <c r="H873" s="4" t="n">
        <v>0.005</v>
      </c>
      <c r="I873" s="4">
        <f>IF(G873="","PENDENTE",IF(AND(ISNUMBER(F873),ISNUMBER(G873)),IF(ABS(G873-F873)&lt;=H873,"IGUAL","DIVERGENTE"),IF(TRIM(G873&amp;"")=TRIM(F873&amp;""),"IGUAL","DIVERGENTE")))</f>
        <v/>
      </c>
      <c r="J873" s="4" t="n"/>
    </row>
    <row r="874">
      <c r="A874" s="3" t="n">
        <v>59</v>
      </c>
      <c r="B874" s="3" t="inlineStr">
        <is>
          <t>TEMPO MÉDIO DA OFERTA LANÇADA E FINAL POR TIPOLOGIA RM DE PORTO ALEGRE</t>
        </is>
      </c>
      <c r="C874" s="3" t="inlineStr">
        <is>
          <t>Gráfico 1 / plot 1</t>
        </is>
      </c>
      <c r="D874" s="3" t="inlineStr">
        <is>
          <t>Pronto</t>
        </is>
      </c>
      <c r="E874" s="3" t="inlineStr">
        <is>
          <t>2 DORMS</t>
        </is>
      </c>
      <c r="F874" s="3" t="n">
        <v>0.2576268803599044</v>
      </c>
      <c r="G874" s="3" t="n"/>
      <c r="H874" s="3" t="n">
        <v>0.005</v>
      </c>
      <c r="I874" s="3">
        <f>IF(G874="","PENDENTE",IF(AND(ISNUMBER(F874),ISNUMBER(G874)),IF(ABS(G874-F874)&lt;=H874,"IGUAL","DIVERGENTE"),IF(TRIM(G874&amp;"")=TRIM(F874&amp;""),"IGUAL","DIVERGENTE")))</f>
        <v/>
      </c>
      <c r="J874" s="3" t="n"/>
    </row>
    <row r="875">
      <c r="A875" s="4" t="n">
        <v>59</v>
      </c>
      <c r="B875" s="4" t="inlineStr">
        <is>
          <t>TEMPO MÉDIO DA OFERTA LANÇADA E FINAL POR TIPOLOGIA RM DE PORTO ALEGRE</t>
        </is>
      </c>
      <c r="C875" s="4" t="inlineStr">
        <is>
          <t>Gráfico 1 / plot 1</t>
        </is>
      </c>
      <c r="D875" s="4" t="inlineStr">
        <is>
          <t>Pronto</t>
        </is>
      </c>
      <c r="E875" s="4" t="inlineStr">
        <is>
          <t>3 DORMS</t>
        </is>
      </c>
      <c r="F875" s="4" t="n">
        <v>0.5038759689922481</v>
      </c>
      <c r="G875" s="4" t="n"/>
      <c r="H875" s="4" t="n">
        <v>0.005</v>
      </c>
      <c r="I875" s="4">
        <f>IF(G875="","PENDENTE",IF(AND(ISNUMBER(F875),ISNUMBER(G875)),IF(ABS(G875-F875)&lt;=H875,"IGUAL","DIVERGENTE"),IF(TRIM(G875&amp;"")=TRIM(F875&amp;""),"IGUAL","DIVERGENTE")))</f>
        <v/>
      </c>
      <c r="J875" s="4" t="n"/>
    </row>
    <row r="876">
      <c r="A876" s="3" t="n">
        <v>59</v>
      </c>
      <c r="B876" s="3" t="inlineStr">
        <is>
          <t>TEMPO MÉDIO DA OFERTA LANÇADA E FINAL POR TIPOLOGIA RM DE PORTO ALEGRE</t>
        </is>
      </c>
      <c r="C876" s="3" t="inlineStr">
        <is>
          <t>Gráfico 1 / plot 1</t>
        </is>
      </c>
      <c r="D876" s="3" t="inlineStr">
        <is>
          <t>Pronto</t>
        </is>
      </c>
      <c r="E876" s="3" t="inlineStr">
        <is>
          <t>4 DORMS</t>
        </is>
      </c>
      <c r="F876" s="3" t="n">
        <v>1</v>
      </c>
      <c r="G876" s="3" t="n"/>
      <c r="H876" s="3" t="n">
        <v>0</v>
      </c>
      <c r="I876" s="3">
        <f>IF(G876="","PENDENTE",IF(AND(ISNUMBER(F876),ISNUMBER(G876)),IF(ABS(G876-F876)&lt;=H876,"IGUAL","DIVERGENTE"),IF(TRIM(G876&amp;"")=TRIM(F876&amp;""),"IGUAL","DIVERGENTE")))</f>
        <v/>
      </c>
      <c r="J876" s="3" t="n"/>
    </row>
    <row r="877">
      <c r="A877" s="4" t="n">
        <v>59</v>
      </c>
      <c r="B877" s="4" t="inlineStr">
        <is>
          <t>TEMPO MÉDIO DA OFERTA LANÇADA E FINAL POR TIPOLOGIA RM DE PORTO ALEGRE</t>
        </is>
      </c>
      <c r="C877" s="4" t="inlineStr">
        <is>
          <t>Gráfico 2 / plot 1</t>
        </is>
      </c>
      <c r="D877" s="4" t="inlineStr">
        <is>
          <t>Planta</t>
        </is>
      </c>
      <c r="E877" s="4" t="inlineStr">
        <is>
          <t>1 DORM</t>
        </is>
      </c>
      <c r="F877" s="4" t="n">
        <v>0.09045226130653267</v>
      </c>
      <c r="G877" s="4" t="n"/>
      <c r="H877" s="4" t="n">
        <v>0.005</v>
      </c>
      <c r="I877" s="4">
        <f>IF(G877="","PENDENTE",IF(AND(ISNUMBER(F877),ISNUMBER(G877)),IF(ABS(G877-F877)&lt;=H877,"IGUAL","DIVERGENTE"),IF(TRIM(G877&amp;"")=TRIM(F877&amp;""),"IGUAL","DIVERGENTE")))</f>
        <v/>
      </c>
      <c r="J877" s="4" t="n"/>
    </row>
    <row r="878">
      <c r="A878" s="3" t="n">
        <v>59</v>
      </c>
      <c r="B878" s="3" t="inlineStr">
        <is>
          <t>TEMPO MÉDIO DA OFERTA LANÇADA E FINAL POR TIPOLOGIA RM DE PORTO ALEGRE</t>
        </is>
      </c>
      <c r="C878" s="3" t="inlineStr">
        <is>
          <t>Gráfico 2 / plot 1</t>
        </is>
      </c>
      <c r="D878" s="3" t="inlineStr">
        <is>
          <t>Planta</t>
        </is>
      </c>
      <c r="E878" s="3" t="inlineStr">
        <is>
          <t>2 DORMS</t>
        </is>
      </c>
      <c r="F878" s="3" t="n">
        <v>0.444146994402531</v>
      </c>
      <c r="G878" s="3" t="n"/>
      <c r="H878" s="3" t="n">
        <v>0.005</v>
      </c>
      <c r="I878" s="3">
        <f>IF(G878="","PENDENTE",IF(AND(ISNUMBER(F878),ISNUMBER(G878)),IF(ABS(G878-F878)&lt;=H878,"IGUAL","DIVERGENTE"),IF(TRIM(G878&amp;"")=TRIM(F878&amp;""),"IGUAL","DIVERGENTE")))</f>
        <v/>
      </c>
      <c r="J878" s="3" t="n"/>
    </row>
    <row r="879">
      <c r="A879" s="4" t="n">
        <v>59</v>
      </c>
      <c r="B879" s="4" t="inlineStr">
        <is>
          <t>TEMPO MÉDIO DA OFERTA LANÇADA E FINAL POR TIPOLOGIA RM DE PORTO ALEGRE</t>
        </is>
      </c>
      <c r="C879" s="4" t="inlineStr">
        <is>
          <t>Gráfico 2 / plot 1</t>
        </is>
      </c>
      <c r="D879" s="4" t="inlineStr">
        <is>
          <t>Planta</t>
        </is>
      </c>
      <c r="E879" s="4" t="inlineStr">
        <is>
          <t>3 DORMS</t>
        </is>
      </c>
      <c r="F879" s="4" t="n">
        <v>0.1877828054298643</v>
      </c>
      <c r="G879" s="4" t="n"/>
      <c r="H879" s="4" t="n">
        <v>0.005</v>
      </c>
      <c r="I879" s="4">
        <f>IF(G879="","PENDENTE",IF(AND(ISNUMBER(F879),ISNUMBER(G879)),IF(ABS(G879-F879)&lt;=H879,"IGUAL","DIVERGENTE"),IF(TRIM(G879&amp;"")=TRIM(F879&amp;""),"IGUAL","DIVERGENTE")))</f>
        <v/>
      </c>
      <c r="J879" s="4" t="n"/>
    </row>
    <row r="880">
      <c r="A880" s="3" t="n">
        <v>59</v>
      </c>
      <c r="B880" s="3" t="inlineStr">
        <is>
          <t>TEMPO MÉDIO DA OFERTA LANÇADA E FINAL POR TIPOLOGIA RM DE PORTO ALEGRE</t>
        </is>
      </c>
      <c r="C880" s="3" t="inlineStr">
        <is>
          <t>Gráfico 2 / plot 1</t>
        </is>
      </c>
      <c r="D880" s="3" t="inlineStr">
        <is>
          <t>Planta</t>
        </is>
      </c>
      <c r="E880" s="3" t="inlineStr">
        <is>
          <t>4 DORMS</t>
        </is>
      </c>
      <c r="F880" s="3" t="n">
        <v>0</v>
      </c>
      <c r="G880" s="3" t="n"/>
      <c r="H880" s="3" t="n">
        <v>0</v>
      </c>
      <c r="I880" s="3">
        <f>IF(G880="","PENDENTE",IF(AND(ISNUMBER(F880),ISNUMBER(G880)),IF(ABS(G880-F880)&lt;=H880,"IGUAL","DIVERGENTE"),IF(TRIM(G880&amp;"")=TRIM(F880&amp;""),"IGUAL","DIVERGENTE")))</f>
        <v/>
      </c>
      <c r="J880" s="3" t="n"/>
    </row>
    <row r="881">
      <c r="A881" s="4" t="n">
        <v>59</v>
      </c>
      <c r="B881" s="4" t="inlineStr">
        <is>
          <t>TEMPO MÉDIO DA OFERTA LANÇADA E FINAL POR TIPOLOGIA RM DE PORTO ALEGRE</t>
        </is>
      </c>
      <c r="C881" s="4" t="inlineStr">
        <is>
          <t>Gráfico 2 / plot 1</t>
        </is>
      </c>
      <c r="D881" s="4" t="inlineStr">
        <is>
          <t>Construção</t>
        </is>
      </c>
      <c r="E881" s="4" t="inlineStr">
        <is>
          <t>1 DORM</t>
        </is>
      </c>
      <c r="F881" s="4" t="n">
        <v>0.1959798994974874</v>
      </c>
      <c r="G881" s="4" t="n"/>
      <c r="H881" s="4" t="n">
        <v>0.005</v>
      </c>
      <c r="I881" s="4">
        <f>IF(G881="","PENDENTE",IF(AND(ISNUMBER(F881),ISNUMBER(G881)),IF(ABS(G881-F881)&lt;=H881,"IGUAL","DIVERGENTE"),IF(TRIM(G881&amp;"")=TRIM(F881&amp;""),"IGUAL","DIVERGENTE")))</f>
        <v/>
      </c>
      <c r="J881" s="4" t="n"/>
    </row>
    <row r="882">
      <c r="A882" s="3" t="n">
        <v>59</v>
      </c>
      <c r="B882" s="3" t="inlineStr">
        <is>
          <t>TEMPO MÉDIO DA OFERTA LANÇADA E FINAL POR TIPOLOGIA RM DE PORTO ALEGRE</t>
        </is>
      </c>
      <c r="C882" s="3" t="inlineStr">
        <is>
          <t>Gráfico 2 / plot 1</t>
        </is>
      </c>
      <c r="D882" s="3" t="inlineStr">
        <is>
          <t>Construção</t>
        </is>
      </c>
      <c r="E882" s="3" t="inlineStr">
        <is>
          <t>2 DORMS</t>
        </is>
      </c>
      <c r="F882" s="3" t="n">
        <v>0.4711608663908494</v>
      </c>
      <c r="G882" s="3" t="n"/>
      <c r="H882" s="3" t="n">
        <v>0.005</v>
      </c>
      <c r="I882" s="3">
        <f>IF(G882="","PENDENTE",IF(AND(ISNUMBER(F882),ISNUMBER(G882)),IF(ABS(G882-F882)&lt;=H882,"IGUAL","DIVERGENTE"),IF(TRIM(G882&amp;"")=TRIM(F882&amp;""),"IGUAL","DIVERGENTE")))</f>
        <v/>
      </c>
      <c r="J882" s="3" t="n"/>
    </row>
    <row r="883">
      <c r="A883" s="4" t="n">
        <v>59</v>
      </c>
      <c r="B883" s="4" t="inlineStr">
        <is>
          <t>TEMPO MÉDIO DA OFERTA LANÇADA E FINAL POR TIPOLOGIA RM DE PORTO ALEGRE</t>
        </is>
      </c>
      <c r="C883" s="4" t="inlineStr">
        <is>
          <t>Gráfico 2 / plot 1</t>
        </is>
      </c>
      <c r="D883" s="4" t="inlineStr">
        <is>
          <t>Construção</t>
        </is>
      </c>
      <c r="E883" s="4" t="inlineStr">
        <is>
          <t>3 DORMS</t>
        </is>
      </c>
      <c r="F883" s="4" t="n">
        <v>0.5475113122171946</v>
      </c>
      <c r="G883" s="4" t="n"/>
      <c r="H883" s="4" t="n">
        <v>0.005</v>
      </c>
      <c r="I883" s="4">
        <f>IF(G883="","PENDENTE",IF(AND(ISNUMBER(F883),ISNUMBER(G883)),IF(ABS(G883-F883)&lt;=H883,"IGUAL","DIVERGENTE"),IF(TRIM(G883&amp;"")=TRIM(F883&amp;""),"IGUAL","DIVERGENTE")))</f>
        <v/>
      </c>
      <c r="J883" s="4" t="n"/>
    </row>
    <row r="884">
      <c r="A884" s="3" t="n">
        <v>59</v>
      </c>
      <c r="B884" s="3" t="inlineStr">
        <is>
          <t>TEMPO MÉDIO DA OFERTA LANÇADA E FINAL POR TIPOLOGIA RM DE PORTO ALEGRE</t>
        </is>
      </c>
      <c r="C884" s="3" t="inlineStr">
        <is>
          <t>Gráfico 2 / plot 1</t>
        </is>
      </c>
      <c r="D884" s="3" t="inlineStr">
        <is>
          <t>Construção</t>
        </is>
      </c>
      <c r="E884" s="3" t="inlineStr">
        <is>
          <t>4 DORMS</t>
        </is>
      </c>
      <c r="F884" s="3" t="n">
        <v>0</v>
      </c>
      <c r="G884" s="3" t="n"/>
      <c r="H884" s="3" t="n">
        <v>0</v>
      </c>
      <c r="I884" s="3">
        <f>IF(G884="","PENDENTE",IF(AND(ISNUMBER(F884),ISNUMBER(G884)),IF(ABS(G884-F884)&lt;=H884,"IGUAL","DIVERGENTE"),IF(TRIM(G884&amp;"")=TRIM(F884&amp;""),"IGUAL","DIVERGENTE")))</f>
        <v/>
      </c>
      <c r="J884" s="3" t="n"/>
    </row>
    <row r="885">
      <c r="A885" s="4" t="n">
        <v>59</v>
      </c>
      <c r="B885" s="4" t="inlineStr">
        <is>
          <t>TEMPO MÉDIO DA OFERTA LANÇADA E FINAL POR TIPOLOGIA RM DE PORTO ALEGRE</t>
        </is>
      </c>
      <c r="C885" s="4" t="inlineStr">
        <is>
          <t>Gráfico 2 / plot 1</t>
        </is>
      </c>
      <c r="D885" s="4" t="inlineStr">
        <is>
          <t>Pronto</t>
        </is>
      </c>
      <c r="E885" s="4" t="inlineStr">
        <is>
          <t>1 DORM</t>
        </is>
      </c>
      <c r="F885" s="4" t="n">
        <v>0.7135678391959799</v>
      </c>
      <c r="G885" s="4" t="n"/>
      <c r="H885" s="4" t="n">
        <v>0.005</v>
      </c>
      <c r="I885" s="4">
        <f>IF(G885="","PENDENTE",IF(AND(ISNUMBER(F885),ISNUMBER(G885)),IF(ABS(G885-F885)&lt;=H885,"IGUAL","DIVERGENTE"),IF(TRIM(G885&amp;"")=TRIM(F885&amp;""),"IGUAL","DIVERGENTE")))</f>
        <v/>
      </c>
      <c r="J885" s="4" t="n"/>
    </row>
    <row r="886">
      <c r="A886" s="3" t="n">
        <v>59</v>
      </c>
      <c r="B886" s="3" t="inlineStr">
        <is>
          <t>TEMPO MÉDIO DA OFERTA LANÇADA E FINAL POR TIPOLOGIA RM DE PORTO ALEGRE</t>
        </is>
      </c>
      <c r="C886" s="3" t="inlineStr">
        <is>
          <t>Gráfico 2 / plot 1</t>
        </is>
      </c>
      <c r="D886" s="3" t="inlineStr">
        <is>
          <t>Pronto</t>
        </is>
      </c>
      <c r="E886" s="3" t="inlineStr">
        <is>
          <t>2 DORMS</t>
        </is>
      </c>
      <c r="F886" s="3" t="n">
        <v>0.08469213920661961</v>
      </c>
      <c r="G886" s="3" t="n"/>
      <c r="H886" s="3" t="n">
        <v>0.005</v>
      </c>
      <c r="I886" s="3">
        <f>IF(G886="","PENDENTE",IF(AND(ISNUMBER(F886),ISNUMBER(G886)),IF(ABS(G886-F886)&lt;=H886,"IGUAL","DIVERGENTE"),IF(TRIM(G886&amp;"")=TRIM(F886&amp;""),"IGUAL","DIVERGENTE")))</f>
        <v/>
      </c>
      <c r="J886" s="3" t="n"/>
    </row>
    <row r="887">
      <c r="A887" s="4" t="n">
        <v>59</v>
      </c>
      <c r="B887" s="4" t="inlineStr">
        <is>
          <t>TEMPO MÉDIO DA OFERTA LANÇADA E FINAL POR TIPOLOGIA RM DE PORTO ALEGRE</t>
        </is>
      </c>
      <c r="C887" s="4" t="inlineStr">
        <is>
          <t>Gráfico 2 / plot 1</t>
        </is>
      </c>
      <c r="D887" s="4" t="inlineStr">
        <is>
          <t>Pronto</t>
        </is>
      </c>
      <c r="E887" s="4" t="inlineStr">
        <is>
          <t>3 DORMS</t>
        </is>
      </c>
      <c r="F887" s="4" t="n">
        <v>0.2647058823529412</v>
      </c>
      <c r="G887" s="4" t="n"/>
      <c r="H887" s="4" t="n">
        <v>0.005</v>
      </c>
      <c r="I887" s="4">
        <f>IF(G887="","PENDENTE",IF(AND(ISNUMBER(F887),ISNUMBER(G887)),IF(ABS(G887-F887)&lt;=H887,"IGUAL","DIVERGENTE"),IF(TRIM(G887&amp;"")=TRIM(F887&amp;""),"IGUAL","DIVERGENTE")))</f>
        <v/>
      </c>
      <c r="J887" s="4" t="n"/>
    </row>
    <row r="888">
      <c r="A888" s="3" t="n">
        <v>59</v>
      </c>
      <c r="B888" s="3" t="inlineStr">
        <is>
          <t>TEMPO MÉDIO DA OFERTA LANÇADA E FINAL POR TIPOLOGIA RM DE PORTO ALEGRE</t>
        </is>
      </c>
      <c r="C888" s="3" t="inlineStr">
        <is>
          <t>Gráfico 2 / plot 1</t>
        </is>
      </c>
      <c r="D888" s="3" t="inlineStr">
        <is>
          <t>Pronto</t>
        </is>
      </c>
      <c r="E888" s="3" t="inlineStr">
        <is>
          <t>4 DORMS</t>
        </is>
      </c>
      <c r="F888" s="3" t="n">
        <v>1</v>
      </c>
      <c r="G888" s="3" t="n"/>
      <c r="H888" s="3" t="n">
        <v>0</v>
      </c>
      <c r="I888" s="3">
        <f>IF(G888="","PENDENTE",IF(AND(ISNUMBER(F888),ISNUMBER(G888)),IF(ABS(G888-F888)&lt;=H888,"IGUAL","DIVERGENTE"),IF(TRIM(G888&amp;"")=TRIM(F888&amp;""),"IGUAL","DIVERGENTE")))</f>
        <v/>
      </c>
      <c r="J888" s="3" t="n"/>
    </row>
    <row r="889">
      <c r="A889" s="4" t="n">
        <v>60</v>
      </c>
      <c r="B889" s="4" t="inlineStr">
        <is>
          <t>TEMPO MÉDIO DA OFERTA LANÇADA FINAL POR PADRÃO RM DE PORTO ALEGRE</t>
        </is>
      </c>
      <c r="C889" s="4" t="inlineStr">
        <is>
          <t>Gráfico 1 / plot 1</t>
        </is>
      </c>
      <c r="D889" s="4" t="inlineStr">
        <is>
          <t>Planta</t>
        </is>
      </c>
      <c r="E889" s="4" t="inlineStr">
        <is>
          <t>COMPACTOS</t>
        </is>
      </c>
      <c r="F889" s="4" t="n">
        <v>0</v>
      </c>
      <c r="G889" s="4" t="n"/>
      <c r="H889" s="4" t="n">
        <v>0</v>
      </c>
      <c r="I889" s="4">
        <f>IF(G889="","PENDENTE",IF(AND(ISNUMBER(F889),ISNUMBER(G889)),IF(ABS(G889-F889)&lt;=H889,"IGUAL","DIVERGENTE"),IF(TRIM(G889&amp;"")=TRIM(F889&amp;""),"IGUAL","DIVERGENTE")))</f>
        <v/>
      </c>
      <c r="J889" s="4" t="n"/>
    </row>
    <row r="890">
      <c r="A890" s="3" t="n">
        <v>60</v>
      </c>
      <c r="B890" s="3" t="inlineStr">
        <is>
          <t>TEMPO MÉDIO DA OFERTA LANÇADA FINAL POR PADRÃO RM DE PORTO ALEGRE</t>
        </is>
      </c>
      <c r="C890" s="3" t="inlineStr">
        <is>
          <t>Gráfico 1 / plot 1</t>
        </is>
      </c>
      <c r="D890" s="3" t="inlineStr">
        <is>
          <t>Planta</t>
        </is>
      </c>
      <c r="E890" s="3" t="inlineStr">
        <is>
          <t>MCMV</t>
        </is>
      </c>
      <c r="F890" s="3" t="n">
        <v>0.2805146632664889</v>
      </c>
      <c r="G890" s="3" t="n"/>
      <c r="H890" s="3" t="n">
        <v>0.005</v>
      </c>
      <c r="I890" s="3">
        <f>IF(G890="","PENDENTE",IF(AND(ISNUMBER(F890),ISNUMBER(G890)),IF(ABS(G890-F890)&lt;=H890,"IGUAL","DIVERGENTE"),IF(TRIM(G890&amp;"")=TRIM(F890&amp;""),"IGUAL","DIVERGENTE")))</f>
        <v/>
      </c>
      <c r="J890" s="3" t="n"/>
    </row>
    <row r="891">
      <c r="A891" s="4" t="n">
        <v>60</v>
      </c>
      <c r="B891" s="4" t="inlineStr">
        <is>
          <t>TEMPO MÉDIO DA OFERTA LANÇADA FINAL POR PADRÃO RM DE PORTO ALEGRE</t>
        </is>
      </c>
      <c r="C891" s="4" t="inlineStr">
        <is>
          <t>Gráfico 1 / plot 1</t>
        </is>
      </c>
      <c r="D891" s="4" t="inlineStr">
        <is>
          <t>Planta</t>
        </is>
      </c>
      <c r="E891" s="4" t="inlineStr">
        <is>
          <t>MÉDIO PADRÃO</t>
        </is>
      </c>
      <c r="F891" s="4" t="n">
        <v>0.03650026838432636</v>
      </c>
      <c r="G891" s="4" t="n"/>
      <c r="H891" s="4" t="n">
        <v>0.005</v>
      </c>
      <c r="I891" s="4">
        <f>IF(G891="","PENDENTE",IF(AND(ISNUMBER(F891),ISNUMBER(G891)),IF(ABS(G891-F891)&lt;=H891,"IGUAL","DIVERGENTE"),IF(TRIM(G891&amp;"")=TRIM(F891&amp;""),"IGUAL","DIVERGENTE")))</f>
        <v/>
      </c>
      <c r="J891" s="4" t="n"/>
    </row>
    <row r="892">
      <c r="A892" s="3" t="n">
        <v>60</v>
      </c>
      <c r="B892" s="3" t="inlineStr">
        <is>
          <t>TEMPO MÉDIO DA OFERTA LANÇADA FINAL POR PADRÃO RM DE PORTO ALEGRE</t>
        </is>
      </c>
      <c r="C892" s="3" t="inlineStr">
        <is>
          <t>Gráfico 1 / plot 1</t>
        </is>
      </c>
      <c r="D892" s="3" t="inlineStr">
        <is>
          <t>Planta</t>
        </is>
      </c>
      <c r="E892" s="3" t="inlineStr">
        <is>
          <t>LUXO</t>
        </is>
      </c>
      <c r="F892" s="3" t="n">
        <v>0</v>
      </c>
      <c r="G892" s="3" t="n"/>
      <c r="H892" s="3" t="n">
        <v>0</v>
      </c>
      <c r="I892" s="3">
        <f>IF(G892="","PENDENTE",IF(AND(ISNUMBER(F892),ISNUMBER(G892)),IF(ABS(G892-F892)&lt;=H892,"IGUAL","DIVERGENTE"),IF(TRIM(G892&amp;"")=TRIM(F892&amp;""),"IGUAL","DIVERGENTE")))</f>
        <v/>
      </c>
      <c r="J892" s="3" t="n"/>
    </row>
    <row r="893">
      <c r="A893" s="4" t="n">
        <v>60</v>
      </c>
      <c r="B893" s="4" t="inlineStr">
        <is>
          <t>TEMPO MÉDIO DA OFERTA LANÇADA FINAL POR PADRÃO RM DE PORTO ALEGRE</t>
        </is>
      </c>
      <c r="C893" s="4" t="inlineStr">
        <is>
          <t>Gráfico 1 / plot 1</t>
        </is>
      </c>
      <c r="D893" s="4" t="inlineStr">
        <is>
          <t>Construção</t>
        </is>
      </c>
      <c r="E893" s="4" t="inlineStr">
        <is>
          <t>COMPACTOS</t>
        </is>
      </c>
      <c r="F893" s="4" t="n">
        <v>0.3867403314917127</v>
      </c>
      <c r="G893" s="4" t="n"/>
      <c r="H893" s="4" t="n">
        <v>0.005</v>
      </c>
      <c r="I893" s="4">
        <f>IF(G893="","PENDENTE",IF(AND(ISNUMBER(F893),ISNUMBER(G893)),IF(ABS(G893-F893)&lt;=H893,"IGUAL","DIVERGENTE"),IF(TRIM(G893&amp;"")=TRIM(F893&amp;""),"IGUAL","DIVERGENTE")))</f>
        <v/>
      </c>
      <c r="J893" s="4" t="n"/>
    </row>
    <row r="894">
      <c r="A894" s="3" t="n">
        <v>60</v>
      </c>
      <c r="B894" s="3" t="inlineStr">
        <is>
          <t>TEMPO MÉDIO DA OFERTA LANÇADA FINAL POR PADRÃO RM DE PORTO ALEGRE</t>
        </is>
      </c>
      <c r="C894" s="3" t="inlineStr">
        <is>
          <t>Gráfico 1 / plot 1</t>
        </is>
      </c>
      <c r="D894" s="3" t="inlineStr">
        <is>
          <t>Construção</t>
        </is>
      </c>
      <c r="E894" s="3" t="inlineStr">
        <is>
          <t>MCMV</t>
        </is>
      </c>
      <c r="F894" s="3" t="n">
        <v>0.7069665005216181</v>
      </c>
      <c r="G894" s="3" t="n"/>
      <c r="H894" s="3" t="n">
        <v>0.005</v>
      </c>
      <c r="I894" s="3">
        <f>IF(G894="","PENDENTE",IF(AND(ISNUMBER(F894),ISNUMBER(G894)),IF(ABS(G894-F894)&lt;=H894,"IGUAL","DIVERGENTE"),IF(TRIM(G894&amp;"")=TRIM(F894&amp;""),"IGUAL","DIVERGENTE")))</f>
        <v/>
      </c>
      <c r="J894" s="3" t="n"/>
    </row>
    <row r="895">
      <c r="A895" s="4" t="n">
        <v>60</v>
      </c>
      <c r="B895" s="4" t="inlineStr">
        <is>
          <t>TEMPO MÉDIO DA OFERTA LANÇADA FINAL POR PADRÃO RM DE PORTO ALEGRE</t>
        </is>
      </c>
      <c r="C895" s="4" t="inlineStr">
        <is>
          <t>Gráfico 1 / plot 1</t>
        </is>
      </c>
      <c r="D895" s="4" t="inlineStr">
        <is>
          <t>Construção</t>
        </is>
      </c>
      <c r="E895" s="4" t="inlineStr">
        <is>
          <t>MÉDIO PADRÃO</t>
        </is>
      </c>
      <c r="F895" s="4" t="n">
        <v>0.3687600644122383</v>
      </c>
      <c r="G895" s="4" t="n"/>
      <c r="H895" s="4" t="n">
        <v>0.005</v>
      </c>
      <c r="I895" s="4">
        <f>IF(G895="","PENDENTE",IF(AND(ISNUMBER(F895),ISNUMBER(G895)),IF(ABS(G895-F895)&lt;=H895,"IGUAL","DIVERGENTE"),IF(TRIM(G895&amp;"")=TRIM(F895&amp;""),"IGUAL","DIVERGENTE")))</f>
        <v/>
      </c>
      <c r="J895" s="4" t="n"/>
    </row>
    <row r="896">
      <c r="A896" s="3" t="n">
        <v>60</v>
      </c>
      <c r="B896" s="3" t="inlineStr">
        <is>
          <t>TEMPO MÉDIO DA OFERTA LANÇADA FINAL POR PADRÃO RM DE PORTO ALEGRE</t>
        </is>
      </c>
      <c r="C896" s="3" t="inlineStr">
        <is>
          <t>Gráfico 1 / plot 1</t>
        </is>
      </c>
      <c r="D896" s="3" t="inlineStr">
        <is>
          <t>Construção</t>
        </is>
      </c>
      <c r="E896" s="3" t="inlineStr">
        <is>
          <t>LUXO</t>
        </is>
      </c>
      <c r="F896" s="3" t="n">
        <v>0</v>
      </c>
      <c r="G896" s="3" t="n"/>
      <c r="H896" s="3" t="n">
        <v>0</v>
      </c>
      <c r="I896" s="3">
        <f>IF(G896="","PENDENTE",IF(AND(ISNUMBER(F896),ISNUMBER(G896)),IF(ABS(G896-F896)&lt;=H896,"IGUAL","DIVERGENTE"),IF(TRIM(G896&amp;"")=TRIM(F896&amp;""),"IGUAL","DIVERGENTE")))</f>
        <v/>
      </c>
      <c r="J896" s="3" t="n"/>
    </row>
    <row r="897">
      <c r="A897" s="4" t="n">
        <v>60</v>
      </c>
      <c r="B897" s="4" t="inlineStr">
        <is>
          <t>TEMPO MÉDIO DA OFERTA LANÇADA FINAL POR PADRÃO RM DE PORTO ALEGRE</t>
        </is>
      </c>
      <c r="C897" s="4" t="inlineStr">
        <is>
          <t>Gráfico 1 / plot 1</t>
        </is>
      </c>
      <c r="D897" s="4" t="inlineStr">
        <is>
          <t>Pronto</t>
        </is>
      </c>
      <c r="E897" s="4" t="inlineStr">
        <is>
          <t>COMPACTOS</t>
        </is>
      </c>
      <c r="F897" s="4" t="n">
        <v>0.6132596685082873</v>
      </c>
      <c r="G897" s="4" t="n"/>
      <c r="H897" s="4" t="n">
        <v>0.005</v>
      </c>
      <c r="I897" s="4">
        <f>IF(G897="","PENDENTE",IF(AND(ISNUMBER(F897),ISNUMBER(G897)),IF(ABS(G897-F897)&lt;=H897,"IGUAL","DIVERGENTE"),IF(TRIM(G897&amp;"")=TRIM(F897&amp;""),"IGUAL","DIVERGENTE")))</f>
        <v/>
      </c>
      <c r="J897" s="4" t="n"/>
    </row>
    <row r="898">
      <c r="A898" s="3" t="n">
        <v>60</v>
      </c>
      <c r="B898" s="3" t="inlineStr">
        <is>
          <t>TEMPO MÉDIO DA OFERTA LANÇADA FINAL POR PADRÃO RM DE PORTO ALEGRE</t>
        </is>
      </c>
      <c r="C898" s="3" t="inlineStr">
        <is>
          <t>Gráfico 1 / plot 1</t>
        </is>
      </c>
      <c r="D898" s="3" t="inlineStr">
        <is>
          <t>Pronto</t>
        </is>
      </c>
      <c r="E898" s="3" t="inlineStr">
        <is>
          <t>MCMV</t>
        </is>
      </c>
      <c r="F898" s="3" t="n">
        <v>0.01251883621189289</v>
      </c>
      <c r="G898" s="3" t="n"/>
      <c r="H898" s="3" t="n">
        <v>0.005</v>
      </c>
      <c r="I898" s="3">
        <f>IF(G898="","PENDENTE",IF(AND(ISNUMBER(F898),ISNUMBER(G898)),IF(ABS(G898-F898)&lt;=H898,"IGUAL","DIVERGENTE"),IF(TRIM(G898&amp;"")=TRIM(F898&amp;""),"IGUAL","DIVERGENTE")))</f>
        <v/>
      </c>
      <c r="J898" s="3" t="n"/>
    </row>
    <row r="899">
      <c r="A899" s="4" t="n">
        <v>60</v>
      </c>
      <c r="B899" s="4" t="inlineStr">
        <is>
          <t>TEMPO MÉDIO DA OFERTA LANÇADA FINAL POR PADRÃO RM DE PORTO ALEGRE</t>
        </is>
      </c>
      <c r="C899" s="4" t="inlineStr">
        <is>
          <t>Gráfico 1 / plot 1</t>
        </is>
      </c>
      <c r="D899" s="4" t="inlineStr">
        <is>
          <t>Pronto</t>
        </is>
      </c>
      <c r="E899" s="4" t="inlineStr">
        <is>
          <t>MÉDIO PADRÃO</t>
        </is>
      </c>
      <c r="F899" s="4" t="n">
        <v>0.5947396672034353</v>
      </c>
      <c r="G899" s="4" t="n"/>
      <c r="H899" s="4" t="n">
        <v>0.005</v>
      </c>
      <c r="I899" s="4">
        <f>IF(G899="","PENDENTE",IF(AND(ISNUMBER(F899),ISNUMBER(G899)),IF(ABS(G899-F899)&lt;=H899,"IGUAL","DIVERGENTE"),IF(TRIM(G899&amp;"")=TRIM(F899&amp;""),"IGUAL","DIVERGENTE")))</f>
        <v/>
      </c>
      <c r="J899" s="4" t="n"/>
    </row>
    <row r="900">
      <c r="A900" s="3" t="n">
        <v>60</v>
      </c>
      <c r="B900" s="3" t="inlineStr">
        <is>
          <t>TEMPO MÉDIO DA OFERTA LANÇADA FINAL POR PADRÃO RM DE PORTO ALEGRE</t>
        </is>
      </c>
      <c r="C900" s="3" t="inlineStr">
        <is>
          <t>Gráfico 1 / plot 1</t>
        </is>
      </c>
      <c r="D900" s="3" t="inlineStr">
        <is>
          <t>Pronto</t>
        </is>
      </c>
      <c r="E900" s="3" t="inlineStr">
        <is>
          <t>LUXO</t>
        </is>
      </c>
      <c r="F900" s="3" t="n">
        <v>1</v>
      </c>
      <c r="G900" s="3" t="n"/>
      <c r="H900" s="3" t="n">
        <v>0</v>
      </c>
      <c r="I900" s="3">
        <f>IF(G900="","PENDENTE",IF(AND(ISNUMBER(F900),ISNUMBER(G900)),IF(ABS(G900-F900)&lt;=H900,"IGUAL","DIVERGENTE"),IF(TRIM(G900&amp;"")=TRIM(F900&amp;""),"IGUAL","DIVERGENTE")))</f>
        <v/>
      </c>
      <c r="J900" s="3" t="n"/>
    </row>
    <row r="901">
      <c r="A901" s="4" t="n">
        <v>60</v>
      </c>
      <c r="B901" s="4" t="inlineStr">
        <is>
          <t>TEMPO MÉDIO DA OFERTA LANÇADA FINAL POR PADRÃO RM DE PORTO ALEGRE</t>
        </is>
      </c>
      <c r="C901" s="4" t="inlineStr">
        <is>
          <t>Gráfico 2 / plot 1</t>
        </is>
      </c>
      <c r="D901" s="4" t="inlineStr">
        <is>
          <t>Planta</t>
        </is>
      </c>
      <c r="E901" s="4" t="inlineStr">
        <is>
          <t>COMPACTOS</t>
        </is>
      </c>
      <c r="F901" s="4" t="n">
        <v>0</v>
      </c>
      <c r="G901" s="4" t="n"/>
      <c r="H901" s="4" t="n">
        <v>0</v>
      </c>
      <c r="I901" s="4">
        <f>IF(G901="","PENDENTE",IF(AND(ISNUMBER(F901),ISNUMBER(G901)),IF(ABS(G901-F901)&lt;=H901,"IGUAL","DIVERGENTE"),IF(TRIM(G901&amp;"")=TRIM(F901&amp;""),"IGUAL","DIVERGENTE")))</f>
        <v/>
      </c>
      <c r="J901" s="4" t="n"/>
    </row>
    <row r="902">
      <c r="A902" s="3" t="n">
        <v>60</v>
      </c>
      <c r="B902" s="3" t="inlineStr">
        <is>
          <t>TEMPO MÉDIO DA OFERTA LANÇADA FINAL POR PADRÃO RM DE PORTO ALEGRE</t>
        </is>
      </c>
      <c r="C902" s="3" t="inlineStr">
        <is>
          <t>Gráfico 2 / plot 1</t>
        </is>
      </c>
      <c r="D902" s="3" t="inlineStr">
        <is>
          <t>Planta</t>
        </is>
      </c>
      <c r="E902" s="3" t="inlineStr">
        <is>
          <t>MCMV</t>
        </is>
      </c>
      <c r="F902" s="3" t="n">
        <v>0.5204892966360857</v>
      </c>
      <c r="G902" s="3" t="n"/>
      <c r="H902" s="3" t="n">
        <v>0.005</v>
      </c>
      <c r="I902" s="3">
        <f>IF(G902="","PENDENTE",IF(AND(ISNUMBER(F902),ISNUMBER(G902)),IF(ABS(G902-F902)&lt;=H902,"IGUAL","DIVERGENTE"),IF(TRIM(G902&amp;"")=TRIM(F902&amp;""),"IGUAL","DIVERGENTE")))</f>
        <v/>
      </c>
      <c r="J902" s="3" t="n"/>
    </row>
    <row r="903">
      <c r="A903" s="4" t="n">
        <v>60</v>
      </c>
      <c r="B903" s="4" t="inlineStr">
        <is>
          <t>TEMPO MÉDIO DA OFERTA LANÇADA FINAL POR PADRÃO RM DE PORTO ALEGRE</t>
        </is>
      </c>
      <c r="C903" s="4" t="inlineStr">
        <is>
          <t>Gráfico 2 / plot 1</t>
        </is>
      </c>
      <c r="D903" s="4" t="inlineStr">
        <is>
          <t>Planta</t>
        </is>
      </c>
      <c r="E903" s="4" t="inlineStr">
        <is>
          <t>MÉDIO PADRÃO</t>
        </is>
      </c>
      <c r="F903" s="4" t="n">
        <v>0.1672890216579537</v>
      </c>
      <c r="G903" s="4" t="n"/>
      <c r="H903" s="4" t="n">
        <v>0.005</v>
      </c>
      <c r="I903" s="4">
        <f>IF(G903="","PENDENTE",IF(AND(ISNUMBER(F903),ISNUMBER(G903)),IF(ABS(G903-F903)&lt;=H903,"IGUAL","DIVERGENTE"),IF(TRIM(G903&amp;"")=TRIM(F903&amp;""),"IGUAL","DIVERGENTE")))</f>
        <v/>
      </c>
      <c r="J903" s="4" t="n"/>
    </row>
    <row r="904">
      <c r="A904" s="3" t="n">
        <v>60</v>
      </c>
      <c r="B904" s="3" t="inlineStr">
        <is>
          <t>TEMPO MÉDIO DA OFERTA LANÇADA FINAL POR PADRÃO RM DE PORTO ALEGRE</t>
        </is>
      </c>
      <c r="C904" s="3" t="inlineStr">
        <is>
          <t>Gráfico 2 / plot 1</t>
        </is>
      </c>
      <c r="D904" s="3" t="inlineStr">
        <is>
          <t>Planta</t>
        </is>
      </c>
      <c r="E904" s="3" t="inlineStr">
        <is>
          <t>LUXO</t>
        </is>
      </c>
      <c r="F904" s="3" t="n">
        <v>0</v>
      </c>
      <c r="G904" s="3" t="n"/>
      <c r="H904" s="3" t="n">
        <v>0</v>
      </c>
      <c r="I904" s="3">
        <f>IF(G904="","PENDENTE",IF(AND(ISNUMBER(F904),ISNUMBER(G904)),IF(ABS(G904-F904)&lt;=H904,"IGUAL","DIVERGENTE"),IF(TRIM(G904&amp;"")=TRIM(F904&amp;""),"IGUAL","DIVERGENTE")))</f>
        <v/>
      </c>
      <c r="J904" s="3" t="n"/>
    </row>
    <row r="905">
      <c r="A905" s="4" t="n">
        <v>60</v>
      </c>
      <c r="B905" s="4" t="inlineStr">
        <is>
          <t>TEMPO MÉDIO DA OFERTA LANÇADA FINAL POR PADRÃO RM DE PORTO ALEGRE</t>
        </is>
      </c>
      <c r="C905" s="4" t="inlineStr">
        <is>
          <t>Gráfico 2 / plot 1</t>
        </is>
      </c>
      <c r="D905" s="4" t="inlineStr">
        <is>
          <t>Construção</t>
        </is>
      </c>
      <c r="E905" s="4" t="inlineStr">
        <is>
          <t>COMPACTOS</t>
        </is>
      </c>
      <c r="F905" s="4" t="n">
        <v>0.03597122302158273</v>
      </c>
      <c r="G905" s="4" t="n"/>
      <c r="H905" s="4" t="n">
        <v>0.005</v>
      </c>
      <c r="I905" s="4">
        <f>IF(G905="","PENDENTE",IF(AND(ISNUMBER(F905),ISNUMBER(G905)),IF(ABS(G905-F905)&lt;=H905,"IGUAL","DIVERGENTE"),IF(TRIM(G905&amp;"")=TRIM(F905&amp;""),"IGUAL","DIVERGENTE")))</f>
        <v/>
      </c>
      <c r="J905" s="4" t="n"/>
    </row>
    <row r="906">
      <c r="A906" s="3" t="n">
        <v>60</v>
      </c>
      <c r="B906" s="3" t="inlineStr">
        <is>
          <t>TEMPO MÉDIO DA OFERTA LANÇADA FINAL POR PADRÃO RM DE PORTO ALEGRE</t>
        </is>
      </c>
      <c r="C906" s="3" t="inlineStr">
        <is>
          <t>Gráfico 2 / plot 1</t>
        </is>
      </c>
      <c r="D906" s="3" t="inlineStr">
        <is>
          <t>Construção</t>
        </is>
      </c>
      <c r="E906" s="3" t="inlineStr">
        <is>
          <t>MCMV</t>
        </is>
      </c>
      <c r="F906" s="3" t="n">
        <v>0.4792048929663609</v>
      </c>
      <c r="G906" s="3" t="n"/>
      <c r="H906" s="3" t="n">
        <v>0.005</v>
      </c>
      <c r="I906" s="3">
        <f>IF(G906="","PENDENTE",IF(AND(ISNUMBER(F906),ISNUMBER(G906)),IF(ABS(G906-F906)&lt;=H906,"IGUAL","DIVERGENTE"),IF(TRIM(G906&amp;"")=TRIM(F906&amp;""),"IGUAL","DIVERGENTE")))</f>
        <v/>
      </c>
      <c r="J906" s="3" t="n"/>
    </row>
    <row r="907">
      <c r="A907" s="4" t="n">
        <v>60</v>
      </c>
      <c r="B907" s="4" t="inlineStr">
        <is>
          <t>TEMPO MÉDIO DA OFERTA LANÇADA FINAL POR PADRÃO RM DE PORTO ALEGRE</t>
        </is>
      </c>
      <c r="C907" s="4" t="inlineStr">
        <is>
          <t>Gráfico 2 / plot 1</t>
        </is>
      </c>
      <c r="D907" s="4" t="inlineStr">
        <is>
          <t>Construção</t>
        </is>
      </c>
      <c r="E907" s="4" t="inlineStr">
        <is>
          <t>MÉDIO PADRÃO</t>
        </is>
      </c>
      <c r="F907" s="4" t="n">
        <v>0.4817027632561613</v>
      </c>
      <c r="G907" s="4" t="n"/>
      <c r="H907" s="4" t="n">
        <v>0.005</v>
      </c>
      <c r="I907" s="4">
        <f>IF(G907="","PENDENTE",IF(AND(ISNUMBER(F907),ISNUMBER(G907)),IF(ABS(G907-F907)&lt;=H907,"IGUAL","DIVERGENTE"),IF(TRIM(G907&amp;"")=TRIM(F907&amp;""),"IGUAL","DIVERGENTE")))</f>
        <v/>
      </c>
      <c r="J907" s="4" t="n"/>
    </row>
    <row r="908">
      <c r="A908" s="3" t="n">
        <v>60</v>
      </c>
      <c r="B908" s="3" t="inlineStr">
        <is>
          <t>TEMPO MÉDIO DA OFERTA LANÇADA FINAL POR PADRÃO RM DE PORTO ALEGRE</t>
        </is>
      </c>
      <c r="C908" s="3" t="inlineStr">
        <is>
          <t>Gráfico 2 / plot 1</t>
        </is>
      </c>
      <c r="D908" s="3" t="inlineStr">
        <is>
          <t>Construção</t>
        </is>
      </c>
      <c r="E908" s="3" t="inlineStr">
        <is>
          <t>LUXO</t>
        </is>
      </c>
      <c r="F908" s="3" t="n">
        <v>0</v>
      </c>
      <c r="G908" s="3" t="n"/>
      <c r="H908" s="3" t="n">
        <v>0</v>
      </c>
      <c r="I908" s="3">
        <f>IF(G908="","PENDENTE",IF(AND(ISNUMBER(F908),ISNUMBER(G908)),IF(ABS(G908-F908)&lt;=H908,"IGUAL","DIVERGENTE"),IF(TRIM(G908&amp;"")=TRIM(F908&amp;""),"IGUAL","DIVERGENTE")))</f>
        <v/>
      </c>
      <c r="J908" s="3" t="n"/>
    </row>
    <row r="909">
      <c r="A909" s="4" t="n">
        <v>60</v>
      </c>
      <c r="B909" s="4" t="inlineStr">
        <is>
          <t>TEMPO MÉDIO DA OFERTA LANÇADA FINAL POR PADRÃO RM DE PORTO ALEGRE</t>
        </is>
      </c>
      <c r="C909" s="4" t="inlineStr">
        <is>
          <t>Gráfico 2 / plot 1</t>
        </is>
      </c>
      <c r="D909" s="4" t="inlineStr">
        <is>
          <t>Pronto</t>
        </is>
      </c>
      <c r="E909" s="4" t="inlineStr">
        <is>
          <t>COMPACTOS</t>
        </is>
      </c>
      <c r="F909" s="4" t="n">
        <v>0.9640287769784173</v>
      </c>
      <c r="G909" s="4" t="n"/>
      <c r="H909" s="4" t="n">
        <v>0.005</v>
      </c>
      <c r="I909" s="4">
        <f>IF(G909="","PENDENTE",IF(AND(ISNUMBER(F909),ISNUMBER(G909)),IF(ABS(G909-F909)&lt;=H909,"IGUAL","DIVERGENTE"),IF(TRIM(G909&amp;"")=TRIM(F909&amp;""),"IGUAL","DIVERGENTE")))</f>
        <v/>
      </c>
      <c r="J909" s="4" t="n"/>
    </row>
    <row r="910">
      <c r="A910" s="3" t="n">
        <v>60</v>
      </c>
      <c r="B910" s="3" t="inlineStr">
        <is>
          <t>TEMPO MÉDIO DA OFERTA LANÇADA FINAL POR PADRÃO RM DE PORTO ALEGRE</t>
        </is>
      </c>
      <c r="C910" s="3" t="inlineStr">
        <is>
          <t>Gráfico 2 / plot 1</t>
        </is>
      </c>
      <c r="D910" s="3" t="inlineStr">
        <is>
          <t>Pronto</t>
        </is>
      </c>
      <c r="E910" s="3" t="inlineStr">
        <is>
          <t>MCMV</t>
        </is>
      </c>
      <c r="F910" s="3" t="n">
        <v>0.0003058103975535168</v>
      </c>
      <c r="G910" s="3" t="n"/>
      <c r="H910" s="3" t="n">
        <v>0.005</v>
      </c>
      <c r="I910" s="3">
        <f>IF(G910="","PENDENTE",IF(AND(ISNUMBER(F910),ISNUMBER(G910)),IF(ABS(G910-F910)&lt;=H910,"IGUAL","DIVERGENTE"),IF(TRIM(G910&amp;"")=TRIM(F910&amp;""),"IGUAL","DIVERGENTE")))</f>
        <v/>
      </c>
      <c r="J910" s="3" t="n"/>
    </row>
    <row r="911">
      <c r="A911" s="4" t="n">
        <v>60</v>
      </c>
      <c r="B911" s="4" t="inlineStr">
        <is>
          <t>TEMPO MÉDIO DA OFERTA LANÇADA FINAL POR PADRÃO RM DE PORTO ALEGRE</t>
        </is>
      </c>
      <c r="C911" s="4" t="inlineStr">
        <is>
          <t>Gráfico 2 / plot 1</t>
        </is>
      </c>
      <c r="D911" s="4" t="inlineStr">
        <is>
          <t>Pronto</t>
        </is>
      </c>
      <c r="E911" s="4" t="inlineStr">
        <is>
          <t>MÉDIO PADRÃO</t>
        </is>
      </c>
      <c r="F911" s="4" t="n">
        <v>0.351008215085885</v>
      </c>
      <c r="G911" s="4" t="n"/>
      <c r="H911" s="4" t="n">
        <v>0.005</v>
      </c>
      <c r="I911" s="4">
        <f>IF(G911="","PENDENTE",IF(AND(ISNUMBER(F911),ISNUMBER(G911)),IF(ABS(G911-F911)&lt;=H911,"IGUAL","DIVERGENTE"),IF(TRIM(G911&amp;"")=TRIM(F911&amp;""),"IGUAL","DIVERGENTE")))</f>
        <v/>
      </c>
      <c r="J911" s="4" t="n"/>
    </row>
    <row r="912">
      <c r="A912" s="3" t="n">
        <v>60</v>
      </c>
      <c r="B912" s="3" t="inlineStr">
        <is>
          <t>TEMPO MÉDIO DA OFERTA LANÇADA FINAL POR PADRÃO RM DE PORTO ALEGRE</t>
        </is>
      </c>
      <c r="C912" s="3" t="inlineStr">
        <is>
          <t>Gráfico 2 / plot 1</t>
        </is>
      </c>
      <c r="D912" s="3" t="inlineStr">
        <is>
          <t>Pronto</t>
        </is>
      </c>
      <c r="E912" s="3" t="inlineStr">
        <is>
          <t>LUXO</t>
        </is>
      </c>
      <c r="F912" s="3" t="n">
        <v>1</v>
      </c>
      <c r="G912" s="3" t="n"/>
      <c r="H912" s="3" t="n">
        <v>0</v>
      </c>
      <c r="I912" s="3">
        <f>IF(G912="","PENDENTE",IF(AND(ISNUMBER(F912),ISNUMBER(G912)),IF(ABS(G912-F912)&lt;=H912,"IGUAL","DIVERGENTE"),IF(TRIM(G912&amp;"")=TRIM(F912&amp;""),"IGUAL","DIVERGENTE")))</f>
        <v/>
      </c>
      <c r="J912" s="3" t="n"/>
    </row>
    <row r="913">
      <c r="A913" s="4" t="n">
        <v>61</v>
      </c>
      <c r="B913" s="4" t="inlineStr">
        <is>
          <t>VGV OFERTADO E DISPONÍVEL POR PADRÃO RM DE PORTO ALEGRE</t>
        </is>
      </c>
      <c r="C913" s="4" t="inlineStr">
        <is>
          <t>Tabela 1</t>
        </is>
      </c>
      <c r="D913" s="4" t="inlineStr"/>
      <c r="E913" s="4" t="inlineStr">
        <is>
          <t>UNIDADES EM OFERTA</t>
        </is>
      </c>
      <c r="F913" s="4" t="inlineStr">
        <is>
          <t>Oferta Lançada</t>
        </is>
      </c>
      <c r="G913" s="4" t="n"/>
      <c r="H913" s="4" t="n"/>
      <c r="I913" s="4">
        <f>IF(G913="","PENDENTE",IF(AND(ISNUMBER(F913),ISNUMBER(G913)),IF(ABS(G913-F913)&lt;=H913,"IGUAL","DIVERGENTE"),IF(TRIM(G913&amp;"")=TRIM(F913&amp;""),"IGUAL","DIVERGENTE")))</f>
        <v/>
      </c>
      <c r="J913" s="4" t="n"/>
    </row>
    <row r="914">
      <c r="A914" s="3" t="n">
        <v>61</v>
      </c>
      <c r="B914" s="3" t="inlineStr">
        <is>
          <t>VGV OFERTADO E DISPONÍVEL POR PADRÃO RM DE PORTO ALEGRE</t>
        </is>
      </c>
      <c r="C914" s="3" t="inlineStr">
        <is>
          <t>Tabela 1</t>
        </is>
      </c>
      <c r="D914" s="3" t="inlineStr"/>
      <c r="E914" s="3" t="inlineStr">
        <is>
          <t>Coluna 4</t>
        </is>
      </c>
      <c r="F914" s="3" t="inlineStr">
        <is>
          <t>Oferta Final</t>
        </is>
      </c>
      <c r="G914" s="3" t="n"/>
      <c r="H914" s="3" t="n"/>
      <c r="I914" s="3">
        <f>IF(G914="","PENDENTE",IF(AND(ISNUMBER(F914),ISNUMBER(G914)),IF(ABS(G914-F914)&lt;=H914,"IGUAL","DIVERGENTE"),IF(TRIM(G914&amp;"")=TRIM(F914&amp;""),"IGUAL","DIVERGENTE")))</f>
        <v/>
      </c>
      <c r="J914" s="3" t="n"/>
    </row>
    <row r="915">
      <c r="A915" s="4" t="n">
        <v>61</v>
      </c>
      <c r="B915" s="4" t="inlineStr">
        <is>
          <t>VGV OFERTADO E DISPONÍVEL POR PADRÃO RM DE PORTO ALEGRE</t>
        </is>
      </c>
      <c r="C915" s="4" t="inlineStr">
        <is>
          <t>Tabela 1</t>
        </is>
      </c>
      <c r="D915" s="4" t="inlineStr"/>
      <c r="E915" s="4" t="inlineStr">
        <is>
          <t>Coluna 5</t>
        </is>
      </c>
      <c r="F915" s="4" t="inlineStr">
        <is>
          <t>Vendidas</t>
        </is>
      </c>
      <c r="G915" s="4" t="n"/>
      <c r="H915" s="4" t="n"/>
      <c r="I915" s="4">
        <f>IF(G915="","PENDENTE",IF(AND(ISNUMBER(F915),ISNUMBER(G915)),IF(ABS(G915-F915)&lt;=H915,"IGUAL","DIVERGENTE"),IF(TRIM(G915&amp;"")=TRIM(F915&amp;""),"IGUAL","DIVERGENTE")))</f>
        <v/>
      </c>
      <c r="J915" s="4" t="n"/>
    </row>
    <row r="916">
      <c r="A916" s="3" t="n">
        <v>61</v>
      </c>
      <c r="B916" s="3" t="inlineStr">
        <is>
          <t>VGV OFERTADO E DISPONÍVEL POR PADRÃO RM DE PORTO ALEGRE</t>
        </is>
      </c>
      <c r="C916" s="3" t="inlineStr">
        <is>
          <t>Tabela 1</t>
        </is>
      </c>
      <c r="D916" s="3" t="inlineStr"/>
      <c r="E916" s="3" t="inlineStr">
        <is>
          <t>OFERTA EM VGV</t>
        </is>
      </c>
      <c r="F916" s="3" t="inlineStr">
        <is>
          <t>Lançada (R$ MIL)</t>
        </is>
      </c>
      <c r="G916" s="3" t="n"/>
      <c r="H916" s="3" t="n"/>
      <c r="I916" s="3">
        <f>IF(G916="","PENDENTE",IF(AND(ISNUMBER(F916),ISNUMBER(G916)),IF(ABS(G916-F916)&lt;=H916,"IGUAL","DIVERGENTE"),IF(TRIM(G916&amp;"")=TRIM(F916&amp;""),"IGUAL","DIVERGENTE")))</f>
        <v/>
      </c>
      <c r="J916" s="3" t="n"/>
    </row>
    <row r="917">
      <c r="A917" s="4" t="n">
        <v>61</v>
      </c>
      <c r="B917" s="4" t="inlineStr">
        <is>
          <t>VGV OFERTADO E DISPONÍVEL POR PADRÃO RM DE PORTO ALEGRE</t>
        </is>
      </c>
      <c r="C917" s="4" t="inlineStr">
        <is>
          <t>Tabela 1</t>
        </is>
      </c>
      <c r="D917" s="4" t="inlineStr"/>
      <c r="E917" s="4" t="inlineStr">
        <is>
          <t>Coluna 7</t>
        </is>
      </c>
      <c r="F917" s="4" t="inlineStr">
        <is>
          <t>Final (R$ MIL)</t>
        </is>
      </c>
      <c r="G917" s="4" t="n"/>
      <c r="H917" s="4" t="n"/>
      <c r="I917" s="4">
        <f>IF(G917="","PENDENTE",IF(AND(ISNUMBER(F917),ISNUMBER(G917)),IF(ABS(G917-F917)&lt;=H917,"IGUAL","DIVERGENTE"),IF(TRIM(G917&amp;"")=TRIM(F917&amp;""),"IGUAL","DIVERGENTE")))</f>
        <v/>
      </c>
      <c r="J917" s="4" t="n"/>
    </row>
    <row r="918">
      <c r="A918" s="3" t="n">
        <v>61</v>
      </c>
      <c r="B918" s="3" t="inlineStr">
        <is>
          <t>VGV OFERTADO E DISPONÍVEL POR PADRÃO RM DE PORTO ALEGRE</t>
        </is>
      </c>
      <c r="C918" s="3" t="inlineStr">
        <is>
          <t>Tabela 1</t>
        </is>
      </c>
      <c r="D918" s="3" t="inlineStr"/>
      <c r="E918" s="3" t="inlineStr">
        <is>
          <t>Coluna 8</t>
        </is>
      </c>
      <c r="F918" s="3" t="inlineStr">
        <is>
          <t>Vendidas (R$ MIL)</t>
        </is>
      </c>
      <c r="G918" s="3" t="n"/>
      <c r="H918" s="3" t="n"/>
      <c r="I918" s="3">
        <f>IF(G918="","PENDENTE",IF(AND(ISNUMBER(F918),ISNUMBER(G918)),IF(ABS(G918-F918)&lt;=H918,"IGUAL","DIVERGENTE"),IF(TRIM(G918&amp;"")=TRIM(F918&amp;""),"IGUAL","DIVERGENTE")))</f>
        <v/>
      </c>
      <c r="J918" s="3" t="n"/>
    </row>
    <row r="919">
      <c r="A919" s="4" t="n">
        <v>61</v>
      </c>
      <c r="B919" s="4" t="inlineStr">
        <is>
          <t>VGV OFERTADO E DISPONÍVEL POR PADRÃO RM DE PORTO ALEGRE</t>
        </is>
      </c>
      <c r="C919" s="4" t="inlineStr">
        <is>
          <t>Tabela 1</t>
        </is>
      </c>
      <c r="D919" s="4" t="inlineStr">
        <is>
          <t>Compacto</t>
        </is>
      </c>
      <c r="E919" s="4" t="inlineStr">
        <is>
          <t>Ticket Médio</t>
        </is>
      </c>
      <c r="F919" s="4" t="inlineStr">
        <is>
          <t>294.949</t>
        </is>
      </c>
      <c r="G919" s="4" t="n"/>
      <c r="H919" s="4" t="n"/>
      <c r="I919" s="4">
        <f>IF(G919="","PENDENTE",IF(AND(ISNUMBER(F919),ISNUMBER(G919)),IF(ABS(G919-F919)&lt;=H919,"IGUAL","DIVERGENTE"),IF(TRIM(G919&amp;"")=TRIM(F919&amp;""),"IGUAL","DIVERGENTE")))</f>
        <v/>
      </c>
      <c r="J919" s="4" t="n"/>
    </row>
    <row r="920">
      <c r="A920" s="3" t="n">
        <v>61</v>
      </c>
      <c r="B920" s="3" t="inlineStr">
        <is>
          <t>VGV OFERTADO E DISPONÍVEL POR PADRÃO RM DE PORTO ALEGRE</t>
        </is>
      </c>
      <c r="C920" s="3" t="inlineStr">
        <is>
          <t>Tabela 1</t>
        </is>
      </c>
      <c r="D920" s="3" t="inlineStr">
        <is>
          <t>Compacto</t>
        </is>
      </c>
      <c r="E920" s="3" t="inlineStr">
        <is>
          <t>UNIDADES EM OFERTA</t>
        </is>
      </c>
      <c r="F920" s="3" t="inlineStr">
        <is>
          <t>905</t>
        </is>
      </c>
      <c r="G920" s="3" t="n"/>
      <c r="H920" s="3" t="n"/>
      <c r="I920" s="3">
        <f>IF(G920="","PENDENTE",IF(AND(ISNUMBER(F920),ISNUMBER(G920)),IF(ABS(G920-F920)&lt;=H920,"IGUAL","DIVERGENTE"),IF(TRIM(G920&amp;"")=TRIM(F920&amp;""),"IGUAL","DIVERGENTE")))</f>
        <v/>
      </c>
      <c r="J920" s="3" t="n"/>
    </row>
    <row r="921">
      <c r="A921" s="4" t="n">
        <v>61</v>
      </c>
      <c r="B921" s="4" t="inlineStr">
        <is>
          <t>VGV OFERTADO E DISPONÍVEL POR PADRÃO RM DE PORTO ALEGRE</t>
        </is>
      </c>
      <c r="C921" s="4" t="inlineStr">
        <is>
          <t>Tabela 1</t>
        </is>
      </c>
      <c r="D921" s="4" t="inlineStr">
        <is>
          <t>Compacto</t>
        </is>
      </c>
      <c r="E921" s="4" t="inlineStr">
        <is>
          <t>Coluna 4</t>
        </is>
      </c>
      <c r="F921" s="4" t="inlineStr">
        <is>
          <t>139</t>
        </is>
      </c>
      <c r="G921" s="4" t="n"/>
      <c r="H921" s="4" t="n"/>
      <c r="I921" s="4">
        <f>IF(G921="","PENDENTE",IF(AND(ISNUMBER(F921),ISNUMBER(G921)),IF(ABS(G921-F921)&lt;=H921,"IGUAL","DIVERGENTE"),IF(TRIM(G921&amp;"")=TRIM(F921&amp;""),"IGUAL","DIVERGENTE")))</f>
        <v/>
      </c>
      <c r="J921" s="4" t="n"/>
    </row>
    <row r="922">
      <c r="A922" s="3" t="n">
        <v>61</v>
      </c>
      <c r="B922" s="3" t="inlineStr">
        <is>
          <t>VGV OFERTADO E DISPONÍVEL POR PADRÃO RM DE PORTO ALEGRE</t>
        </is>
      </c>
      <c r="C922" s="3" t="inlineStr">
        <is>
          <t>Tabela 1</t>
        </is>
      </c>
      <c r="D922" s="3" t="inlineStr">
        <is>
          <t>Compacto</t>
        </is>
      </c>
      <c r="E922" s="3" t="inlineStr">
        <is>
          <t>Coluna 5</t>
        </is>
      </c>
      <c r="F922" s="3" t="inlineStr">
        <is>
          <t>766</t>
        </is>
      </c>
      <c r="G922" s="3" t="n"/>
      <c r="H922" s="3" t="n"/>
      <c r="I922" s="3">
        <f>IF(G922="","PENDENTE",IF(AND(ISNUMBER(F922),ISNUMBER(G922)),IF(ABS(G922-F922)&lt;=H922,"IGUAL","DIVERGENTE"),IF(TRIM(G922&amp;"")=TRIM(F922&amp;""),"IGUAL","DIVERGENTE")))</f>
        <v/>
      </c>
      <c r="J922" s="3" t="n"/>
    </row>
    <row r="923">
      <c r="A923" s="4" t="n">
        <v>61</v>
      </c>
      <c r="B923" s="4" t="inlineStr">
        <is>
          <t>VGV OFERTADO E DISPONÍVEL POR PADRÃO RM DE PORTO ALEGRE</t>
        </is>
      </c>
      <c r="C923" s="4" t="inlineStr">
        <is>
          <t>Tabela 1</t>
        </is>
      </c>
      <c r="D923" s="4" t="inlineStr">
        <is>
          <t>Compacto</t>
        </is>
      </c>
      <c r="E923" s="4" t="inlineStr">
        <is>
          <t>OFERTA EM VGV</t>
        </is>
      </c>
      <c r="F923" s="4" t="inlineStr">
        <is>
          <t>R$ 266.929</t>
        </is>
      </c>
      <c r="G923" s="4" t="n"/>
      <c r="H923" s="4" t="n"/>
      <c r="I923" s="4">
        <f>IF(G923="","PENDENTE",IF(AND(ISNUMBER(F923),ISNUMBER(G923)),IF(ABS(G923-F923)&lt;=H923,"IGUAL","DIVERGENTE"),IF(TRIM(G923&amp;"")=TRIM(F923&amp;""),"IGUAL","DIVERGENTE")))</f>
        <v/>
      </c>
      <c r="J923" s="4" t="n"/>
    </row>
    <row r="924">
      <c r="A924" s="3" t="n">
        <v>61</v>
      </c>
      <c r="B924" s="3" t="inlineStr">
        <is>
          <t>VGV OFERTADO E DISPONÍVEL POR PADRÃO RM DE PORTO ALEGRE</t>
        </is>
      </c>
      <c r="C924" s="3" t="inlineStr">
        <is>
          <t>Tabela 1</t>
        </is>
      </c>
      <c r="D924" s="3" t="inlineStr">
        <is>
          <t>Compacto</t>
        </is>
      </c>
      <c r="E924" s="3" t="inlineStr">
        <is>
          <t>Coluna 7</t>
        </is>
      </c>
      <c r="F924" s="3" t="inlineStr">
        <is>
          <t>R$ 40.998</t>
        </is>
      </c>
      <c r="G924" s="3" t="n"/>
      <c r="H924" s="3" t="n"/>
      <c r="I924" s="3">
        <f>IF(G924="","PENDENTE",IF(AND(ISNUMBER(F924),ISNUMBER(G924)),IF(ABS(G924-F924)&lt;=H924,"IGUAL","DIVERGENTE"),IF(TRIM(G924&amp;"")=TRIM(F924&amp;""),"IGUAL","DIVERGENTE")))</f>
        <v/>
      </c>
      <c r="J924" s="3" t="n"/>
    </row>
    <row r="925">
      <c r="A925" s="4" t="n">
        <v>61</v>
      </c>
      <c r="B925" s="4" t="inlineStr">
        <is>
          <t>VGV OFERTADO E DISPONÍVEL POR PADRÃO RM DE PORTO ALEGRE</t>
        </is>
      </c>
      <c r="C925" s="4" t="inlineStr">
        <is>
          <t>Tabela 1</t>
        </is>
      </c>
      <c r="D925" s="4" t="inlineStr">
        <is>
          <t>Compacto</t>
        </is>
      </c>
      <c r="E925" s="4" t="inlineStr">
        <is>
          <t>Coluna 8</t>
        </is>
      </c>
      <c r="F925" s="4" t="inlineStr">
        <is>
          <t>R$ 225.931</t>
        </is>
      </c>
      <c r="G925" s="4" t="n"/>
      <c r="H925" s="4" t="n"/>
      <c r="I925" s="4">
        <f>IF(G925="","PENDENTE",IF(AND(ISNUMBER(F925),ISNUMBER(G925)),IF(ABS(G925-F925)&lt;=H925,"IGUAL","DIVERGENTE"),IF(TRIM(G925&amp;"")=TRIM(F925&amp;""),"IGUAL","DIVERGENTE")))</f>
        <v/>
      </c>
      <c r="J925" s="4" t="n"/>
    </row>
    <row r="926">
      <c r="A926" s="3" t="n">
        <v>61</v>
      </c>
      <c r="B926" s="3" t="inlineStr">
        <is>
          <t>VGV OFERTADO E DISPONÍVEL POR PADRÃO RM DE PORTO ALEGRE</t>
        </is>
      </c>
      <c r="C926" s="3" t="inlineStr">
        <is>
          <t>Tabela 1</t>
        </is>
      </c>
      <c r="D926" s="3" t="inlineStr">
        <is>
          <t>Econômico</t>
        </is>
      </c>
      <c r="E926" s="3" t="inlineStr">
        <is>
          <t>Ticket Médio</t>
        </is>
      </c>
      <c r="F926" s="3" t="inlineStr">
        <is>
          <t>243.908</t>
        </is>
      </c>
      <c r="G926" s="3" t="n"/>
      <c r="H926" s="3" t="n"/>
      <c r="I926" s="3">
        <f>IF(G926="","PENDENTE",IF(AND(ISNUMBER(F926),ISNUMBER(G926)),IF(ABS(G926-F926)&lt;=H926,"IGUAL","DIVERGENTE"),IF(TRIM(G926&amp;"")=TRIM(F926&amp;""),"IGUAL","DIVERGENTE")))</f>
        <v/>
      </c>
      <c r="J926" s="3" t="n"/>
    </row>
    <row r="927">
      <c r="A927" s="4" t="n">
        <v>61</v>
      </c>
      <c r="B927" s="4" t="inlineStr">
        <is>
          <t>VGV OFERTADO E DISPONÍVEL POR PADRÃO RM DE PORTO ALEGRE</t>
        </is>
      </c>
      <c r="C927" s="4" t="inlineStr">
        <is>
          <t>Tabela 1</t>
        </is>
      </c>
      <c r="D927" s="4" t="inlineStr">
        <is>
          <t>Econômico</t>
        </is>
      </c>
      <c r="E927" s="4" t="inlineStr">
        <is>
          <t>UNIDADES EM OFERTA</t>
        </is>
      </c>
      <c r="F927" s="4" t="inlineStr">
        <is>
          <t>8.747</t>
        </is>
      </c>
      <c r="G927" s="4" t="n"/>
      <c r="H927" s="4" t="n"/>
      <c r="I927" s="4">
        <f>IF(G927="","PENDENTE",IF(AND(ISNUMBER(F927),ISNUMBER(G927)),IF(ABS(G927-F927)&lt;=H927,"IGUAL","DIVERGENTE"),IF(TRIM(G927&amp;"")=TRIM(F927&amp;""),"IGUAL","DIVERGENTE")))</f>
        <v/>
      </c>
      <c r="J927" s="4" t="n"/>
    </row>
    <row r="928">
      <c r="A928" s="3" t="n">
        <v>61</v>
      </c>
      <c r="B928" s="3" t="inlineStr">
        <is>
          <t>VGV OFERTADO E DISPONÍVEL POR PADRÃO RM DE PORTO ALEGRE</t>
        </is>
      </c>
      <c r="C928" s="3" t="inlineStr">
        <is>
          <t>Tabela 1</t>
        </is>
      </c>
      <c r="D928" s="3" t="inlineStr">
        <is>
          <t>Econômico</t>
        </is>
      </c>
      <c r="E928" s="3" t="inlineStr">
        <is>
          <t>Coluna 4</t>
        </is>
      </c>
      <c r="F928" s="3" t="inlineStr">
        <is>
          <t>3.369</t>
        </is>
      </c>
      <c r="G928" s="3" t="n"/>
      <c r="H928" s="3" t="n"/>
      <c r="I928" s="3">
        <f>IF(G928="","PENDENTE",IF(AND(ISNUMBER(F928),ISNUMBER(G928)),IF(ABS(G928-F928)&lt;=H928,"IGUAL","DIVERGENTE"),IF(TRIM(G928&amp;"")=TRIM(F928&amp;""),"IGUAL","DIVERGENTE")))</f>
        <v/>
      </c>
      <c r="J928" s="3" t="n"/>
    </row>
    <row r="929">
      <c r="A929" s="4" t="n">
        <v>61</v>
      </c>
      <c r="B929" s="4" t="inlineStr">
        <is>
          <t>VGV OFERTADO E DISPONÍVEL POR PADRÃO RM DE PORTO ALEGRE</t>
        </is>
      </c>
      <c r="C929" s="4" t="inlineStr">
        <is>
          <t>Tabela 1</t>
        </is>
      </c>
      <c r="D929" s="4" t="inlineStr">
        <is>
          <t>Econômico</t>
        </is>
      </c>
      <c r="E929" s="4" t="inlineStr">
        <is>
          <t>Coluna 5</t>
        </is>
      </c>
      <c r="F929" s="4" t="inlineStr">
        <is>
          <t>5.378</t>
        </is>
      </c>
      <c r="G929" s="4" t="n"/>
      <c r="H929" s="4" t="n"/>
      <c r="I929" s="4">
        <f>IF(G929="","PENDENTE",IF(AND(ISNUMBER(F929),ISNUMBER(G929)),IF(ABS(G929-F929)&lt;=H929,"IGUAL","DIVERGENTE"),IF(TRIM(G929&amp;"")=TRIM(F929&amp;""),"IGUAL","DIVERGENTE")))</f>
        <v/>
      </c>
      <c r="J929" s="4" t="n"/>
    </row>
    <row r="930">
      <c r="A930" s="3" t="n">
        <v>61</v>
      </c>
      <c r="B930" s="3" t="inlineStr">
        <is>
          <t>VGV OFERTADO E DISPONÍVEL POR PADRÃO RM DE PORTO ALEGRE</t>
        </is>
      </c>
      <c r="C930" s="3" t="inlineStr">
        <is>
          <t>Tabela 1</t>
        </is>
      </c>
      <c r="D930" s="3" t="inlineStr">
        <is>
          <t>Econômico</t>
        </is>
      </c>
      <c r="E930" s="3" t="inlineStr">
        <is>
          <t>OFERTA EM VGV</t>
        </is>
      </c>
      <c r="F930" s="3" t="inlineStr">
        <is>
          <t>R$ 2.133.463</t>
        </is>
      </c>
      <c r="G930" s="3" t="n"/>
      <c r="H930" s="3" t="n"/>
      <c r="I930" s="3">
        <f>IF(G930="","PENDENTE",IF(AND(ISNUMBER(F930),ISNUMBER(G930)),IF(ABS(G930-F930)&lt;=H930,"IGUAL","DIVERGENTE"),IF(TRIM(G930&amp;"")=TRIM(F930&amp;""),"IGUAL","DIVERGENTE")))</f>
        <v/>
      </c>
      <c r="J930" s="3" t="n"/>
    </row>
    <row r="931">
      <c r="A931" s="4" t="n">
        <v>61</v>
      </c>
      <c r="B931" s="4" t="inlineStr">
        <is>
          <t>VGV OFERTADO E DISPONÍVEL POR PADRÃO RM DE PORTO ALEGRE</t>
        </is>
      </c>
      <c r="C931" s="4" t="inlineStr">
        <is>
          <t>Tabela 1</t>
        </is>
      </c>
      <c r="D931" s="4" t="inlineStr">
        <is>
          <t>Econômico</t>
        </is>
      </c>
      <c r="E931" s="4" t="inlineStr">
        <is>
          <t>Coluna 7</t>
        </is>
      </c>
      <c r="F931" s="4" t="inlineStr">
        <is>
          <t>R$ 821.726</t>
        </is>
      </c>
      <c r="G931" s="4" t="n"/>
      <c r="H931" s="4" t="n"/>
      <c r="I931" s="4">
        <f>IF(G931="","PENDENTE",IF(AND(ISNUMBER(F931),ISNUMBER(G931)),IF(ABS(G931-F931)&lt;=H931,"IGUAL","DIVERGENTE"),IF(TRIM(G931&amp;"")=TRIM(F931&amp;""),"IGUAL","DIVERGENTE")))</f>
        <v/>
      </c>
      <c r="J931" s="4" t="n"/>
    </row>
    <row r="932">
      <c r="A932" s="3" t="n">
        <v>61</v>
      </c>
      <c r="B932" s="3" t="inlineStr">
        <is>
          <t>VGV OFERTADO E DISPONÍVEL POR PADRÃO RM DE PORTO ALEGRE</t>
        </is>
      </c>
      <c r="C932" s="3" t="inlineStr">
        <is>
          <t>Tabela 1</t>
        </is>
      </c>
      <c r="D932" s="3" t="inlineStr">
        <is>
          <t>Econômico</t>
        </is>
      </c>
      <c r="E932" s="3" t="inlineStr">
        <is>
          <t>Coluna 8</t>
        </is>
      </c>
      <c r="F932" s="3" t="inlineStr">
        <is>
          <t>R$ 1.311.737</t>
        </is>
      </c>
      <c r="G932" s="3" t="n"/>
      <c r="H932" s="3" t="n"/>
      <c r="I932" s="3">
        <f>IF(G932="","PENDENTE",IF(AND(ISNUMBER(F932),ISNUMBER(G932)),IF(ABS(G932-F932)&lt;=H932,"IGUAL","DIVERGENTE"),IF(TRIM(G932&amp;"")=TRIM(F932&amp;""),"IGUAL","DIVERGENTE")))</f>
        <v/>
      </c>
      <c r="J932" s="3" t="n"/>
    </row>
    <row r="933">
      <c r="A933" s="4" t="n">
        <v>61</v>
      </c>
      <c r="B933" s="4" t="inlineStr">
        <is>
          <t>VGV OFERTADO E DISPONÍVEL POR PADRÃO RM DE PORTO ALEGRE</t>
        </is>
      </c>
      <c r="C933" s="4" t="inlineStr">
        <is>
          <t>Tabela 1</t>
        </is>
      </c>
      <c r="D933" s="4" t="inlineStr">
        <is>
          <t>Standard</t>
        </is>
      </c>
      <c r="E933" s="4" t="inlineStr">
        <is>
          <t>Ticket Médio</t>
        </is>
      </c>
      <c r="F933" s="4" t="inlineStr">
        <is>
          <t>374.766</t>
        </is>
      </c>
      <c r="G933" s="4" t="n"/>
      <c r="H933" s="4" t="n"/>
      <c r="I933" s="4">
        <f>IF(G933="","PENDENTE",IF(AND(ISNUMBER(F933),ISNUMBER(G933)),IF(ABS(G933-F933)&lt;=H933,"IGUAL","DIVERGENTE"),IF(TRIM(G933&amp;"")=TRIM(F933&amp;""),"IGUAL","DIVERGENTE")))</f>
        <v/>
      </c>
      <c r="J933" s="4" t="n"/>
    </row>
    <row r="934">
      <c r="A934" s="3" t="n">
        <v>61</v>
      </c>
      <c r="B934" s="3" t="inlineStr">
        <is>
          <t>VGV OFERTADO E DISPONÍVEL POR PADRÃO RM DE PORTO ALEGRE</t>
        </is>
      </c>
      <c r="C934" s="3" t="inlineStr">
        <is>
          <t>Tabela 1</t>
        </is>
      </c>
      <c r="D934" s="3" t="inlineStr">
        <is>
          <t>Standard</t>
        </is>
      </c>
      <c r="E934" s="3" t="inlineStr">
        <is>
          <t>UNIDADES EM OFERTA</t>
        </is>
      </c>
      <c r="F934" s="3" t="inlineStr">
        <is>
          <t>6.296</t>
        </is>
      </c>
      <c r="G934" s="3" t="n"/>
      <c r="H934" s="3" t="n"/>
      <c r="I934" s="3">
        <f>IF(G934="","PENDENTE",IF(AND(ISNUMBER(F934),ISNUMBER(G934)),IF(ABS(G934-F934)&lt;=H934,"IGUAL","DIVERGENTE"),IF(TRIM(G934&amp;"")=TRIM(F934&amp;""),"IGUAL","DIVERGENTE")))</f>
        <v/>
      </c>
      <c r="J934" s="3" t="n"/>
    </row>
    <row r="935">
      <c r="A935" s="4" t="n">
        <v>61</v>
      </c>
      <c r="B935" s="4" t="inlineStr">
        <is>
          <t>VGV OFERTADO E DISPONÍVEL POR PADRÃO RM DE PORTO ALEGRE</t>
        </is>
      </c>
      <c r="C935" s="4" t="inlineStr">
        <is>
          <t>Tabela 1</t>
        </is>
      </c>
      <c r="D935" s="4" t="inlineStr">
        <is>
          <t>Standard</t>
        </is>
      </c>
      <c r="E935" s="4" t="inlineStr">
        <is>
          <t>Coluna 4</t>
        </is>
      </c>
      <c r="F935" s="4" t="inlineStr">
        <is>
          <t>930</t>
        </is>
      </c>
      <c r="G935" s="4" t="n"/>
      <c r="H935" s="4" t="n"/>
      <c r="I935" s="4">
        <f>IF(G935="","PENDENTE",IF(AND(ISNUMBER(F935),ISNUMBER(G935)),IF(ABS(G935-F935)&lt;=H935,"IGUAL","DIVERGENTE"),IF(TRIM(G935&amp;"")=TRIM(F935&amp;""),"IGUAL","DIVERGENTE")))</f>
        <v/>
      </c>
      <c r="J935" s="4" t="n"/>
    </row>
    <row r="936">
      <c r="A936" s="3" t="n">
        <v>61</v>
      </c>
      <c r="B936" s="3" t="inlineStr">
        <is>
          <t>VGV OFERTADO E DISPONÍVEL POR PADRÃO RM DE PORTO ALEGRE</t>
        </is>
      </c>
      <c r="C936" s="3" t="inlineStr">
        <is>
          <t>Tabela 1</t>
        </is>
      </c>
      <c r="D936" s="3" t="inlineStr">
        <is>
          <t>Standard</t>
        </is>
      </c>
      <c r="E936" s="3" t="inlineStr">
        <is>
          <t>Coluna 5</t>
        </is>
      </c>
      <c r="F936" s="3" t="inlineStr">
        <is>
          <t>5.366</t>
        </is>
      </c>
      <c r="G936" s="3" t="n"/>
      <c r="H936" s="3" t="n"/>
      <c r="I936" s="3">
        <f>IF(G936="","PENDENTE",IF(AND(ISNUMBER(F936),ISNUMBER(G936)),IF(ABS(G936-F936)&lt;=H936,"IGUAL","DIVERGENTE"),IF(TRIM(G936&amp;"")=TRIM(F936&amp;""),"IGUAL","DIVERGENTE")))</f>
        <v/>
      </c>
      <c r="J936" s="3" t="n"/>
    </row>
    <row r="937">
      <c r="A937" s="4" t="n">
        <v>61</v>
      </c>
      <c r="B937" s="4" t="inlineStr">
        <is>
          <t>VGV OFERTADO E DISPONÍVEL POR PADRÃO RM DE PORTO ALEGRE</t>
        </is>
      </c>
      <c r="C937" s="4" t="inlineStr">
        <is>
          <t>Tabela 1</t>
        </is>
      </c>
      <c r="D937" s="4" t="inlineStr">
        <is>
          <t>Standard</t>
        </is>
      </c>
      <c r="E937" s="4" t="inlineStr">
        <is>
          <t>OFERTA EM VGV</t>
        </is>
      </c>
      <c r="F937" s="4" t="inlineStr">
        <is>
          <t>R$ 2.359.527</t>
        </is>
      </c>
      <c r="G937" s="4" t="n"/>
      <c r="H937" s="4" t="n"/>
      <c r="I937" s="4">
        <f>IF(G937="","PENDENTE",IF(AND(ISNUMBER(F937),ISNUMBER(G937)),IF(ABS(G937-F937)&lt;=H937,"IGUAL","DIVERGENTE"),IF(TRIM(G937&amp;"")=TRIM(F937&amp;""),"IGUAL","DIVERGENTE")))</f>
        <v/>
      </c>
      <c r="J937" s="4" t="n"/>
    </row>
    <row r="938">
      <c r="A938" s="3" t="n">
        <v>61</v>
      </c>
      <c r="B938" s="3" t="inlineStr">
        <is>
          <t>VGV OFERTADO E DISPONÍVEL POR PADRÃO RM DE PORTO ALEGRE</t>
        </is>
      </c>
      <c r="C938" s="3" t="inlineStr">
        <is>
          <t>Tabela 1</t>
        </is>
      </c>
      <c r="D938" s="3" t="inlineStr">
        <is>
          <t>Standard</t>
        </is>
      </c>
      <c r="E938" s="3" t="inlineStr">
        <is>
          <t>Coluna 7</t>
        </is>
      </c>
      <c r="F938" s="3" t="inlineStr">
        <is>
          <t>R$ 348.532</t>
        </is>
      </c>
      <c r="G938" s="3" t="n"/>
      <c r="H938" s="3" t="n"/>
      <c r="I938" s="3">
        <f>IF(G938="","PENDENTE",IF(AND(ISNUMBER(F938),ISNUMBER(G938)),IF(ABS(G938-F938)&lt;=H938,"IGUAL","DIVERGENTE"),IF(TRIM(G938&amp;"")=TRIM(F938&amp;""),"IGUAL","DIVERGENTE")))</f>
        <v/>
      </c>
      <c r="J938" s="3" t="n"/>
    </row>
    <row r="939">
      <c r="A939" s="4" t="n">
        <v>61</v>
      </c>
      <c r="B939" s="4" t="inlineStr">
        <is>
          <t>VGV OFERTADO E DISPONÍVEL POR PADRÃO RM DE PORTO ALEGRE</t>
        </is>
      </c>
      <c r="C939" s="4" t="inlineStr">
        <is>
          <t>Tabela 1</t>
        </is>
      </c>
      <c r="D939" s="4" t="inlineStr">
        <is>
          <t>Standard</t>
        </is>
      </c>
      <c r="E939" s="4" t="inlineStr">
        <is>
          <t>Coluna 8</t>
        </is>
      </c>
      <c r="F939" s="4" t="inlineStr">
        <is>
          <t>R$ 2.010.994</t>
        </is>
      </c>
      <c r="G939" s="4" t="n"/>
      <c r="H939" s="4" t="n"/>
      <c r="I939" s="4">
        <f>IF(G939="","PENDENTE",IF(AND(ISNUMBER(F939),ISNUMBER(G939)),IF(ABS(G939-F939)&lt;=H939,"IGUAL","DIVERGENTE"),IF(TRIM(G939&amp;"")=TRIM(F939&amp;""),"IGUAL","DIVERGENTE")))</f>
        <v/>
      </c>
      <c r="J939" s="4" t="n"/>
    </row>
    <row r="940">
      <c r="A940" s="3" t="n">
        <v>61</v>
      </c>
      <c r="B940" s="3" t="inlineStr">
        <is>
          <t>VGV OFERTADO E DISPONÍVEL POR PADRÃO RM DE PORTO ALEGRE</t>
        </is>
      </c>
      <c r="C940" s="3" t="inlineStr">
        <is>
          <t>Tabela 1</t>
        </is>
      </c>
      <c r="D940" s="3" t="inlineStr">
        <is>
          <t>Médio</t>
        </is>
      </c>
      <c r="E940" s="3" t="inlineStr">
        <is>
          <t>Ticket Médio</t>
        </is>
      </c>
      <c r="F940" s="3" t="inlineStr">
        <is>
          <t>844.699</t>
        </is>
      </c>
      <c r="G940" s="3" t="n"/>
      <c r="H940" s="3" t="n"/>
      <c r="I940" s="3">
        <f>IF(G940="","PENDENTE",IF(AND(ISNUMBER(F940),ISNUMBER(G940)),IF(ABS(G940-F940)&lt;=H940,"IGUAL","DIVERGENTE"),IF(TRIM(G940&amp;"")=TRIM(F940&amp;""),"IGUAL","DIVERGENTE")))</f>
        <v/>
      </c>
      <c r="J940" s="3" t="n"/>
    </row>
    <row r="941">
      <c r="A941" s="4" t="n">
        <v>61</v>
      </c>
      <c r="B941" s="4" t="inlineStr">
        <is>
          <t>VGV OFERTADO E DISPONÍVEL POR PADRÃO RM DE PORTO ALEGRE</t>
        </is>
      </c>
      <c r="C941" s="4" t="inlineStr">
        <is>
          <t>Tabela 1</t>
        </is>
      </c>
      <c r="D941" s="4" t="inlineStr">
        <is>
          <t>Médio</t>
        </is>
      </c>
      <c r="E941" s="4" t="inlineStr">
        <is>
          <t>UNIDADES EM OFERTA</t>
        </is>
      </c>
      <c r="F941" s="4" t="inlineStr">
        <is>
          <t>766</t>
        </is>
      </c>
      <c r="G941" s="4" t="n"/>
      <c r="H941" s="4" t="n"/>
      <c r="I941" s="4">
        <f>IF(G941="","PENDENTE",IF(AND(ISNUMBER(F941),ISNUMBER(G941)),IF(ABS(G941-F941)&lt;=H941,"IGUAL","DIVERGENTE"),IF(TRIM(G941&amp;"")=TRIM(F941&amp;""),"IGUAL","DIVERGENTE")))</f>
        <v/>
      </c>
      <c r="J941" s="4" t="n"/>
    </row>
    <row r="942">
      <c r="A942" s="3" t="n">
        <v>61</v>
      </c>
      <c r="B942" s="3" t="inlineStr">
        <is>
          <t>VGV OFERTADO E DISPONÍVEL POR PADRÃO RM DE PORTO ALEGRE</t>
        </is>
      </c>
      <c r="C942" s="3" t="inlineStr">
        <is>
          <t>Tabela 1</t>
        </is>
      </c>
      <c r="D942" s="3" t="inlineStr">
        <is>
          <t>Médio</t>
        </is>
      </c>
      <c r="E942" s="3" t="inlineStr">
        <is>
          <t>Coluna 4</t>
        </is>
      </c>
      <c r="F942" s="3" t="inlineStr">
        <is>
          <t>308</t>
        </is>
      </c>
      <c r="G942" s="3" t="n"/>
      <c r="H942" s="3" t="n"/>
      <c r="I942" s="3">
        <f>IF(G942="","PENDENTE",IF(AND(ISNUMBER(F942),ISNUMBER(G942)),IF(ABS(G942-F942)&lt;=H942,"IGUAL","DIVERGENTE"),IF(TRIM(G942&amp;"")=TRIM(F942&amp;""),"IGUAL","DIVERGENTE")))</f>
        <v/>
      </c>
      <c r="J942" s="3" t="n"/>
    </row>
    <row r="943">
      <c r="A943" s="4" t="n">
        <v>61</v>
      </c>
      <c r="B943" s="4" t="inlineStr">
        <is>
          <t>VGV OFERTADO E DISPONÍVEL POR PADRÃO RM DE PORTO ALEGRE</t>
        </is>
      </c>
      <c r="C943" s="4" t="inlineStr">
        <is>
          <t>Tabela 1</t>
        </is>
      </c>
      <c r="D943" s="4" t="inlineStr">
        <is>
          <t>Médio</t>
        </is>
      </c>
      <c r="E943" s="4" t="inlineStr">
        <is>
          <t>Coluna 5</t>
        </is>
      </c>
      <c r="F943" s="4" t="inlineStr">
        <is>
          <t>458</t>
        </is>
      </c>
      <c r="G943" s="4" t="n"/>
      <c r="H943" s="4" t="n"/>
      <c r="I943" s="4">
        <f>IF(G943="","PENDENTE",IF(AND(ISNUMBER(F943),ISNUMBER(G943)),IF(ABS(G943-F943)&lt;=H943,"IGUAL","DIVERGENTE"),IF(TRIM(G943&amp;"")=TRIM(F943&amp;""),"IGUAL","DIVERGENTE")))</f>
        <v/>
      </c>
      <c r="J943" s="4" t="n"/>
    </row>
    <row r="944">
      <c r="A944" s="3" t="n">
        <v>61</v>
      </c>
      <c r="B944" s="3" t="inlineStr">
        <is>
          <t>VGV OFERTADO E DISPONÍVEL POR PADRÃO RM DE PORTO ALEGRE</t>
        </is>
      </c>
      <c r="C944" s="3" t="inlineStr">
        <is>
          <t>Tabela 1</t>
        </is>
      </c>
      <c r="D944" s="3" t="inlineStr">
        <is>
          <t>Médio</t>
        </is>
      </c>
      <c r="E944" s="3" t="inlineStr">
        <is>
          <t>OFERTA EM VGV</t>
        </is>
      </c>
      <c r="F944" s="3" t="inlineStr">
        <is>
          <t>R$ 647.039</t>
        </is>
      </c>
      <c r="G944" s="3" t="n"/>
      <c r="H944" s="3" t="n"/>
      <c r="I944" s="3">
        <f>IF(G944="","PENDENTE",IF(AND(ISNUMBER(F944),ISNUMBER(G944)),IF(ABS(G944-F944)&lt;=H944,"IGUAL","DIVERGENTE"),IF(TRIM(G944&amp;"")=TRIM(F944&amp;""),"IGUAL","DIVERGENTE")))</f>
        <v/>
      </c>
      <c r="J944" s="3" t="n"/>
    </row>
    <row r="945">
      <c r="A945" s="4" t="n">
        <v>61</v>
      </c>
      <c r="B945" s="4" t="inlineStr">
        <is>
          <t>VGV OFERTADO E DISPONÍVEL POR PADRÃO RM DE PORTO ALEGRE</t>
        </is>
      </c>
      <c r="C945" s="4" t="inlineStr">
        <is>
          <t>Tabela 1</t>
        </is>
      </c>
      <c r="D945" s="4" t="inlineStr">
        <is>
          <t>Médio</t>
        </is>
      </c>
      <c r="E945" s="4" t="inlineStr">
        <is>
          <t>Coluna 7</t>
        </is>
      </c>
      <c r="F945" s="4" t="inlineStr">
        <is>
          <t>R$ 260.167</t>
        </is>
      </c>
      <c r="G945" s="4" t="n"/>
      <c r="H945" s="4" t="n"/>
      <c r="I945" s="4">
        <f>IF(G945="","PENDENTE",IF(AND(ISNUMBER(F945),ISNUMBER(G945)),IF(ABS(G945-F945)&lt;=H945,"IGUAL","DIVERGENTE"),IF(TRIM(G945&amp;"")=TRIM(F945&amp;""),"IGUAL","DIVERGENTE")))</f>
        <v/>
      </c>
      <c r="J945" s="4" t="n"/>
    </row>
    <row r="946">
      <c r="A946" s="3" t="n">
        <v>61</v>
      </c>
      <c r="B946" s="3" t="inlineStr">
        <is>
          <t>VGV OFERTADO E DISPONÍVEL POR PADRÃO RM DE PORTO ALEGRE</t>
        </is>
      </c>
      <c r="C946" s="3" t="inlineStr">
        <is>
          <t>Tabela 1</t>
        </is>
      </c>
      <c r="D946" s="3" t="inlineStr">
        <is>
          <t>Médio</t>
        </is>
      </c>
      <c r="E946" s="3" t="inlineStr">
        <is>
          <t>Coluna 8</t>
        </is>
      </c>
      <c r="F946" s="3" t="inlineStr">
        <is>
          <t>R$ 386.872</t>
        </is>
      </c>
      <c r="G946" s="3" t="n"/>
      <c r="H946" s="3" t="n"/>
      <c r="I946" s="3">
        <f>IF(G946="","PENDENTE",IF(AND(ISNUMBER(F946),ISNUMBER(G946)),IF(ABS(G946-F946)&lt;=H946,"IGUAL","DIVERGENTE"),IF(TRIM(G946&amp;"")=TRIM(F946&amp;""),"IGUAL","DIVERGENTE")))</f>
        <v/>
      </c>
      <c r="J946" s="3" t="n"/>
    </row>
    <row r="947">
      <c r="A947" s="4" t="n">
        <v>61</v>
      </c>
      <c r="B947" s="4" t="inlineStr">
        <is>
          <t>VGV OFERTADO E DISPONÍVEL POR PADRÃO RM DE PORTO ALEGRE</t>
        </is>
      </c>
      <c r="C947" s="4" t="inlineStr">
        <is>
          <t>Tabela 1</t>
        </is>
      </c>
      <c r="D947" s="4" t="inlineStr">
        <is>
          <t>Alto</t>
        </is>
      </c>
      <c r="E947" s="4" t="inlineStr">
        <is>
          <t>Ticket Médio</t>
        </is>
      </c>
      <c r="F947" s="4" t="inlineStr">
        <is>
          <t>1.482.603</t>
        </is>
      </c>
      <c r="G947" s="4" t="n"/>
      <c r="H947" s="4" t="n"/>
      <c r="I947" s="4">
        <f>IF(G947="","PENDENTE",IF(AND(ISNUMBER(F947),ISNUMBER(G947)),IF(ABS(G947-F947)&lt;=H947,"IGUAL","DIVERGENTE"),IF(TRIM(G947&amp;"")=TRIM(F947&amp;""),"IGUAL","DIVERGENTE")))</f>
        <v/>
      </c>
      <c r="J947" s="4" t="n"/>
    </row>
    <row r="948">
      <c r="A948" s="3" t="n">
        <v>61</v>
      </c>
      <c r="B948" s="3" t="inlineStr">
        <is>
          <t>VGV OFERTADO E DISPONÍVEL POR PADRÃO RM DE PORTO ALEGRE</t>
        </is>
      </c>
      <c r="C948" s="3" t="inlineStr">
        <is>
          <t>Tabela 1</t>
        </is>
      </c>
      <c r="D948" s="3" t="inlineStr">
        <is>
          <t>Alto</t>
        </is>
      </c>
      <c r="E948" s="3" t="inlineStr">
        <is>
          <t>UNIDADES EM OFERTA</t>
        </is>
      </c>
      <c r="F948" s="3" t="inlineStr">
        <is>
          <t>390</t>
        </is>
      </c>
      <c r="G948" s="3" t="n"/>
      <c r="H948" s="3" t="n"/>
      <c r="I948" s="3">
        <f>IF(G948="","PENDENTE",IF(AND(ISNUMBER(F948),ISNUMBER(G948)),IF(ABS(G948-F948)&lt;=H948,"IGUAL","DIVERGENTE"),IF(TRIM(G948&amp;"")=TRIM(F948&amp;""),"IGUAL","DIVERGENTE")))</f>
        <v/>
      </c>
      <c r="J948" s="3" t="n"/>
    </row>
    <row r="949">
      <c r="A949" s="4" t="n">
        <v>61</v>
      </c>
      <c r="B949" s="4" t="inlineStr">
        <is>
          <t>VGV OFERTADO E DISPONÍVEL POR PADRÃO RM DE PORTO ALEGRE</t>
        </is>
      </c>
      <c r="C949" s="4" t="inlineStr">
        <is>
          <t>Tabela 1</t>
        </is>
      </c>
      <c r="D949" s="4" t="inlineStr">
        <is>
          <t>Alto</t>
        </is>
      </c>
      <c r="E949" s="4" t="inlineStr">
        <is>
          <t>Coluna 4</t>
        </is>
      </c>
      <c r="F949" s="4" t="inlineStr">
        <is>
          <t>101</t>
        </is>
      </c>
      <c r="G949" s="4" t="n"/>
      <c r="H949" s="4" t="n"/>
      <c r="I949" s="4">
        <f>IF(G949="","PENDENTE",IF(AND(ISNUMBER(F949),ISNUMBER(G949)),IF(ABS(G949-F949)&lt;=H949,"IGUAL","DIVERGENTE"),IF(TRIM(G949&amp;"")=TRIM(F949&amp;""),"IGUAL","DIVERGENTE")))</f>
        <v/>
      </c>
      <c r="J949" s="4" t="n"/>
    </row>
    <row r="950">
      <c r="A950" s="3" t="n">
        <v>61</v>
      </c>
      <c r="B950" s="3" t="inlineStr">
        <is>
          <t>VGV OFERTADO E DISPONÍVEL POR PADRÃO RM DE PORTO ALEGRE</t>
        </is>
      </c>
      <c r="C950" s="3" t="inlineStr">
        <is>
          <t>Tabela 1</t>
        </is>
      </c>
      <c r="D950" s="3" t="inlineStr">
        <is>
          <t>Alto</t>
        </is>
      </c>
      <c r="E950" s="3" t="inlineStr">
        <is>
          <t>Coluna 5</t>
        </is>
      </c>
      <c r="F950" s="3" t="inlineStr">
        <is>
          <t>289</t>
        </is>
      </c>
      <c r="G950" s="3" t="n"/>
      <c r="H950" s="3" t="n"/>
      <c r="I950" s="3">
        <f>IF(G950="","PENDENTE",IF(AND(ISNUMBER(F950),ISNUMBER(G950)),IF(ABS(G950-F950)&lt;=H950,"IGUAL","DIVERGENTE"),IF(TRIM(G950&amp;"")=TRIM(F950&amp;""),"IGUAL","DIVERGENTE")))</f>
        <v/>
      </c>
      <c r="J950" s="3" t="n"/>
    </row>
    <row r="951">
      <c r="A951" s="4" t="n">
        <v>61</v>
      </c>
      <c r="B951" s="4" t="inlineStr">
        <is>
          <t>VGV OFERTADO E DISPONÍVEL POR PADRÃO RM DE PORTO ALEGRE</t>
        </is>
      </c>
      <c r="C951" s="4" t="inlineStr">
        <is>
          <t>Tabela 1</t>
        </is>
      </c>
      <c r="D951" s="4" t="inlineStr">
        <is>
          <t>Alto</t>
        </is>
      </c>
      <c r="E951" s="4" t="inlineStr">
        <is>
          <t>OFERTA EM VGV</t>
        </is>
      </c>
      <c r="F951" s="4" t="inlineStr">
        <is>
          <t>R$ 578.215</t>
        </is>
      </c>
      <c r="G951" s="4" t="n"/>
      <c r="H951" s="4" t="n"/>
      <c r="I951" s="4">
        <f>IF(G951="","PENDENTE",IF(AND(ISNUMBER(F951),ISNUMBER(G951)),IF(ABS(G951-F951)&lt;=H951,"IGUAL","DIVERGENTE"),IF(TRIM(G951&amp;"")=TRIM(F951&amp;""),"IGUAL","DIVERGENTE")))</f>
        <v/>
      </c>
      <c r="J951" s="4" t="n"/>
    </row>
    <row r="952">
      <c r="A952" s="3" t="n">
        <v>61</v>
      </c>
      <c r="B952" s="3" t="inlineStr">
        <is>
          <t>VGV OFERTADO E DISPONÍVEL POR PADRÃO RM DE PORTO ALEGRE</t>
        </is>
      </c>
      <c r="C952" s="3" t="inlineStr">
        <is>
          <t>Tabela 1</t>
        </is>
      </c>
      <c r="D952" s="3" t="inlineStr">
        <is>
          <t>Alto</t>
        </is>
      </c>
      <c r="E952" s="3" t="inlineStr">
        <is>
          <t>Coluna 7</t>
        </is>
      </c>
      <c r="F952" s="3" t="inlineStr">
        <is>
          <t>R$ 149.743</t>
        </is>
      </c>
      <c r="G952" s="3" t="n"/>
      <c r="H952" s="3" t="n"/>
      <c r="I952" s="3">
        <f>IF(G952="","PENDENTE",IF(AND(ISNUMBER(F952),ISNUMBER(G952)),IF(ABS(G952-F952)&lt;=H952,"IGUAL","DIVERGENTE"),IF(TRIM(G952&amp;"")=TRIM(F952&amp;""),"IGUAL","DIVERGENTE")))</f>
        <v/>
      </c>
      <c r="J952" s="3" t="n"/>
    </row>
    <row r="953">
      <c r="A953" s="4" t="n">
        <v>61</v>
      </c>
      <c r="B953" s="4" t="inlineStr">
        <is>
          <t>VGV OFERTADO E DISPONÍVEL POR PADRÃO RM DE PORTO ALEGRE</t>
        </is>
      </c>
      <c r="C953" s="4" t="inlineStr">
        <is>
          <t>Tabela 1</t>
        </is>
      </c>
      <c r="D953" s="4" t="inlineStr">
        <is>
          <t>Alto</t>
        </is>
      </c>
      <c r="E953" s="4" t="inlineStr">
        <is>
          <t>Coluna 8</t>
        </is>
      </c>
      <c r="F953" s="4" t="inlineStr">
        <is>
          <t>R$ 428.472</t>
        </is>
      </c>
      <c r="G953" s="4" t="n"/>
      <c r="H953" s="4" t="n"/>
      <c r="I953" s="4">
        <f>IF(G953="","PENDENTE",IF(AND(ISNUMBER(F953),ISNUMBER(G953)),IF(ABS(G953-F953)&lt;=H953,"IGUAL","DIVERGENTE"),IF(TRIM(G953&amp;"")=TRIM(F953&amp;""),"IGUAL","DIVERGENTE")))</f>
        <v/>
      </c>
      <c r="J953" s="4" t="n"/>
    </row>
    <row r="954">
      <c r="A954" s="3" t="n">
        <v>61</v>
      </c>
      <c r="B954" s="3" t="inlineStr">
        <is>
          <t>VGV OFERTADO E DISPONÍVEL POR PADRÃO RM DE PORTO ALEGRE</t>
        </is>
      </c>
      <c r="C954" s="3" t="inlineStr">
        <is>
          <t>Tabela 1</t>
        </is>
      </c>
      <c r="D954" s="3" t="inlineStr">
        <is>
          <t>Luxo</t>
        </is>
      </c>
      <c r="E954" s="3" t="inlineStr">
        <is>
          <t>Ticket Médio</t>
        </is>
      </c>
      <c r="F954" s="3" t="inlineStr">
        <is>
          <t>3.005.325</t>
        </is>
      </c>
      <c r="G954" s="3" t="n"/>
      <c r="H954" s="3" t="n"/>
      <c r="I954" s="3">
        <f>IF(G954="","PENDENTE",IF(AND(ISNUMBER(F954),ISNUMBER(G954)),IF(ABS(G954-F954)&lt;=H954,"IGUAL","DIVERGENTE"),IF(TRIM(G954&amp;"")=TRIM(F954&amp;""),"IGUAL","DIVERGENTE")))</f>
        <v/>
      </c>
      <c r="J954" s="3" t="n"/>
    </row>
    <row r="955">
      <c r="A955" s="4" t="n">
        <v>61</v>
      </c>
      <c r="B955" s="4" t="inlineStr">
        <is>
          <t>VGV OFERTADO E DISPONÍVEL POR PADRÃO RM DE PORTO ALEGRE</t>
        </is>
      </c>
      <c r="C955" s="4" t="inlineStr">
        <is>
          <t>Tabela 1</t>
        </is>
      </c>
      <c r="D955" s="4" t="inlineStr">
        <is>
          <t>Luxo</t>
        </is>
      </c>
      <c r="E955" s="4" t="inlineStr">
        <is>
          <t>UNIDADES EM OFERTA</t>
        </is>
      </c>
      <c r="F955" s="4" t="inlineStr">
        <is>
          <t>23</t>
        </is>
      </c>
      <c r="G955" s="4" t="n"/>
      <c r="H955" s="4" t="n"/>
      <c r="I955" s="4">
        <f>IF(G955="","PENDENTE",IF(AND(ISNUMBER(F955),ISNUMBER(G955)),IF(ABS(G955-F955)&lt;=H955,"IGUAL","DIVERGENTE"),IF(TRIM(G955&amp;"")=TRIM(F955&amp;""),"IGUAL","DIVERGENTE")))</f>
        <v/>
      </c>
      <c r="J955" s="4" t="n"/>
    </row>
    <row r="956">
      <c r="A956" s="3" t="n">
        <v>61</v>
      </c>
      <c r="B956" s="3" t="inlineStr">
        <is>
          <t>VGV OFERTADO E DISPONÍVEL POR PADRÃO RM DE PORTO ALEGRE</t>
        </is>
      </c>
      <c r="C956" s="3" t="inlineStr">
        <is>
          <t>Tabela 1</t>
        </is>
      </c>
      <c r="D956" s="3" t="inlineStr">
        <is>
          <t>Luxo</t>
        </is>
      </c>
      <c r="E956" s="3" t="inlineStr">
        <is>
          <t>Coluna 4</t>
        </is>
      </c>
      <c r="F956" s="3" t="inlineStr">
        <is>
          <t>3</t>
        </is>
      </c>
      <c r="G956" s="3" t="n"/>
      <c r="H956" s="3" t="n"/>
      <c r="I956" s="3">
        <f>IF(G956="","PENDENTE",IF(AND(ISNUMBER(F956),ISNUMBER(G956)),IF(ABS(G956-F956)&lt;=H956,"IGUAL","DIVERGENTE"),IF(TRIM(G956&amp;"")=TRIM(F956&amp;""),"IGUAL","DIVERGENTE")))</f>
        <v/>
      </c>
      <c r="J956" s="3" t="n"/>
    </row>
    <row r="957">
      <c r="A957" s="4" t="n">
        <v>61</v>
      </c>
      <c r="B957" s="4" t="inlineStr">
        <is>
          <t>VGV OFERTADO E DISPONÍVEL POR PADRÃO RM DE PORTO ALEGRE</t>
        </is>
      </c>
      <c r="C957" s="4" t="inlineStr">
        <is>
          <t>Tabela 1</t>
        </is>
      </c>
      <c r="D957" s="4" t="inlineStr">
        <is>
          <t>Luxo</t>
        </is>
      </c>
      <c r="E957" s="4" t="inlineStr">
        <is>
          <t>Coluna 5</t>
        </is>
      </c>
      <c r="F957" s="4" t="inlineStr">
        <is>
          <t>20</t>
        </is>
      </c>
      <c r="G957" s="4" t="n"/>
      <c r="H957" s="4" t="n"/>
      <c r="I957" s="4">
        <f>IF(G957="","PENDENTE",IF(AND(ISNUMBER(F957),ISNUMBER(G957)),IF(ABS(G957-F957)&lt;=H957,"IGUAL","DIVERGENTE"),IF(TRIM(G957&amp;"")=TRIM(F957&amp;""),"IGUAL","DIVERGENTE")))</f>
        <v/>
      </c>
      <c r="J957" s="4" t="n"/>
    </row>
    <row r="958">
      <c r="A958" s="3" t="n">
        <v>61</v>
      </c>
      <c r="B958" s="3" t="inlineStr">
        <is>
          <t>VGV OFERTADO E DISPONÍVEL POR PADRÃO RM DE PORTO ALEGRE</t>
        </is>
      </c>
      <c r="C958" s="3" t="inlineStr">
        <is>
          <t>Tabela 1</t>
        </is>
      </c>
      <c r="D958" s="3" t="inlineStr">
        <is>
          <t>Luxo</t>
        </is>
      </c>
      <c r="E958" s="3" t="inlineStr">
        <is>
          <t>OFERTA EM VGV</t>
        </is>
      </c>
      <c r="F958" s="3" t="inlineStr">
        <is>
          <t>R$ 69.122</t>
        </is>
      </c>
      <c r="G958" s="3" t="n"/>
      <c r="H958" s="3" t="n"/>
      <c r="I958" s="3">
        <f>IF(G958="","PENDENTE",IF(AND(ISNUMBER(F958),ISNUMBER(G958)),IF(ABS(G958-F958)&lt;=H958,"IGUAL","DIVERGENTE"),IF(TRIM(G958&amp;"")=TRIM(F958&amp;""),"IGUAL","DIVERGENTE")))</f>
        <v/>
      </c>
      <c r="J958" s="3" t="n"/>
    </row>
    <row r="959">
      <c r="A959" s="4" t="n">
        <v>61</v>
      </c>
      <c r="B959" s="4" t="inlineStr">
        <is>
          <t>VGV OFERTADO E DISPONÍVEL POR PADRÃO RM DE PORTO ALEGRE</t>
        </is>
      </c>
      <c r="C959" s="4" t="inlineStr">
        <is>
          <t>Tabela 1</t>
        </is>
      </c>
      <c r="D959" s="4" t="inlineStr">
        <is>
          <t>Luxo</t>
        </is>
      </c>
      <c r="E959" s="4" t="inlineStr">
        <is>
          <t>Coluna 7</t>
        </is>
      </c>
      <c r="F959" s="4" t="inlineStr">
        <is>
          <t>R$ 9.016</t>
        </is>
      </c>
      <c r="G959" s="4" t="n"/>
      <c r="H959" s="4" t="n"/>
      <c r="I959" s="4">
        <f>IF(G959="","PENDENTE",IF(AND(ISNUMBER(F959),ISNUMBER(G959)),IF(ABS(G959-F959)&lt;=H959,"IGUAL","DIVERGENTE"),IF(TRIM(G959&amp;"")=TRIM(F959&amp;""),"IGUAL","DIVERGENTE")))</f>
        <v/>
      </c>
      <c r="J959" s="4" t="n"/>
    </row>
    <row r="960">
      <c r="A960" s="3" t="n">
        <v>61</v>
      </c>
      <c r="B960" s="3" t="inlineStr">
        <is>
          <t>VGV OFERTADO E DISPONÍVEL POR PADRÃO RM DE PORTO ALEGRE</t>
        </is>
      </c>
      <c r="C960" s="3" t="inlineStr">
        <is>
          <t>Tabela 1</t>
        </is>
      </c>
      <c r="D960" s="3" t="inlineStr">
        <is>
          <t>Luxo</t>
        </is>
      </c>
      <c r="E960" s="3" t="inlineStr">
        <is>
          <t>Coluna 8</t>
        </is>
      </c>
      <c r="F960" s="3" t="inlineStr">
        <is>
          <t>R$ 60.107</t>
        </is>
      </c>
      <c r="G960" s="3" t="n"/>
      <c r="H960" s="3" t="n"/>
      <c r="I960" s="3">
        <f>IF(G960="","PENDENTE",IF(AND(ISNUMBER(F960),ISNUMBER(G960)),IF(ABS(G960-F960)&lt;=H960,"IGUAL","DIVERGENTE"),IF(TRIM(G960&amp;"")=TRIM(F960&amp;""),"IGUAL","DIVERGENTE")))</f>
        <v/>
      </c>
      <c r="J960" s="3" t="n"/>
    </row>
    <row r="961">
      <c r="A961" s="4" t="n">
        <v>61</v>
      </c>
      <c r="B961" s="4" t="inlineStr">
        <is>
          <t>VGV OFERTADO E DISPONÍVEL POR PADRÃO RM DE PORTO ALEGRE</t>
        </is>
      </c>
      <c r="C961" s="4" t="inlineStr">
        <is>
          <t>Tabela 1</t>
        </is>
      </c>
      <c r="D961" s="4" t="inlineStr">
        <is>
          <t>Super Luxo</t>
        </is>
      </c>
      <c r="E961" s="4" t="inlineStr">
        <is>
          <t>Ticket Médio</t>
        </is>
      </c>
      <c r="F961" s="4" t="inlineStr">
        <is>
          <t>-</t>
        </is>
      </c>
      <c r="G961" s="4" t="n"/>
      <c r="H961" s="4" t="n"/>
      <c r="I961" s="4">
        <f>IF(G961="","PENDENTE",IF(AND(ISNUMBER(F961),ISNUMBER(G961)),IF(ABS(G961-F961)&lt;=H961,"IGUAL","DIVERGENTE"),IF(TRIM(G961&amp;"")=TRIM(F961&amp;""),"IGUAL","DIVERGENTE")))</f>
        <v/>
      </c>
      <c r="J961" s="4" t="n"/>
    </row>
    <row r="962">
      <c r="A962" s="3" t="n">
        <v>61</v>
      </c>
      <c r="B962" s="3" t="inlineStr">
        <is>
          <t>VGV OFERTADO E DISPONÍVEL POR PADRÃO RM DE PORTO ALEGRE</t>
        </is>
      </c>
      <c r="C962" s="3" t="inlineStr">
        <is>
          <t>Tabela 1</t>
        </is>
      </c>
      <c r="D962" s="3" t="inlineStr">
        <is>
          <t>Super Luxo</t>
        </is>
      </c>
      <c r="E962" s="3" t="inlineStr">
        <is>
          <t>UNIDADES EM OFERTA</t>
        </is>
      </c>
      <c r="F962" s="3" t="inlineStr">
        <is>
          <t>-</t>
        </is>
      </c>
      <c r="G962" s="3" t="n"/>
      <c r="H962" s="3" t="n"/>
      <c r="I962" s="3">
        <f>IF(G962="","PENDENTE",IF(AND(ISNUMBER(F962),ISNUMBER(G962)),IF(ABS(G962-F962)&lt;=H962,"IGUAL","DIVERGENTE"),IF(TRIM(G962&amp;"")=TRIM(F962&amp;""),"IGUAL","DIVERGENTE")))</f>
        <v/>
      </c>
      <c r="J962" s="3" t="n"/>
    </row>
    <row r="963">
      <c r="A963" s="4" t="n">
        <v>61</v>
      </c>
      <c r="B963" s="4" t="inlineStr">
        <is>
          <t>VGV OFERTADO E DISPONÍVEL POR PADRÃO RM DE PORTO ALEGRE</t>
        </is>
      </c>
      <c r="C963" s="4" t="inlineStr">
        <is>
          <t>Tabela 1</t>
        </is>
      </c>
      <c r="D963" s="4" t="inlineStr">
        <is>
          <t>Super Luxo</t>
        </is>
      </c>
      <c r="E963" s="4" t="inlineStr">
        <is>
          <t>Coluna 4</t>
        </is>
      </c>
      <c r="F963" s="4" t="inlineStr">
        <is>
          <t>-</t>
        </is>
      </c>
      <c r="G963" s="4" t="n"/>
      <c r="H963" s="4" t="n"/>
      <c r="I963" s="4">
        <f>IF(G963="","PENDENTE",IF(AND(ISNUMBER(F963),ISNUMBER(G963)),IF(ABS(G963-F963)&lt;=H963,"IGUAL","DIVERGENTE"),IF(TRIM(G963&amp;"")=TRIM(F963&amp;""),"IGUAL","DIVERGENTE")))</f>
        <v/>
      </c>
      <c r="J963" s="4" t="n"/>
    </row>
    <row r="964">
      <c r="A964" s="3" t="n">
        <v>61</v>
      </c>
      <c r="B964" s="3" t="inlineStr">
        <is>
          <t>VGV OFERTADO E DISPONÍVEL POR PADRÃO RM DE PORTO ALEGRE</t>
        </is>
      </c>
      <c r="C964" s="3" t="inlineStr">
        <is>
          <t>Tabela 1</t>
        </is>
      </c>
      <c r="D964" s="3" t="inlineStr">
        <is>
          <t>Super Luxo</t>
        </is>
      </c>
      <c r="E964" s="3" t="inlineStr">
        <is>
          <t>Coluna 5</t>
        </is>
      </c>
      <c r="F964" s="3" t="inlineStr">
        <is>
          <t>-</t>
        </is>
      </c>
      <c r="G964" s="3" t="n"/>
      <c r="H964" s="3" t="n"/>
      <c r="I964" s="3">
        <f>IF(G964="","PENDENTE",IF(AND(ISNUMBER(F964),ISNUMBER(G964)),IF(ABS(G964-F964)&lt;=H964,"IGUAL","DIVERGENTE"),IF(TRIM(G964&amp;"")=TRIM(F964&amp;""),"IGUAL","DIVERGENTE")))</f>
        <v/>
      </c>
      <c r="J964" s="3" t="n"/>
    </row>
    <row r="965">
      <c r="A965" s="4" t="n">
        <v>61</v>
      </c>
      <c r="B965" s="4" t="inlineStr">
        <is>
          <t>VGV OFERTADO E DISPONÍVEL POR PADRÃO RM DE PORTO ALEGRE</t>
        </is>
      </c>
      <c r="C965" s="4" t="inlineStr">
        <is>
          <t>Tabela 1</t>
        </is>
      </c>
      <c r="D965" s="4" t="inlineStr">
        <is>
          <t>Super Luxo</t>
        </is>
      </c>
      <c r="E965" s="4" t="inlineStr">
        <is>
          <t>OFERTA EM VGV</t>
        </is>
      </c>
      <c r="F965" s="4" t="inlineStr">
        <is>
          <t>-</t>
        </is>
      </c>
      <c r="G965" s="4" t="n"/>
      <c r="H965" s="4" t="n"/>
      <c r="I965" s="4">
        <f>IF(G965="","PENDENTE",IF(AND(ISNUMBER(F965),ISNUMBER(G965)),IF(ABS(G965-F965)&lt;=H965,"IGUAL","DIVERGENTE"),IF(TRIM(G965&amp;"")=TRIM(F965&amp;""),"IGUAL","DIVERGENTE")))</f>
        <v/>
      </c>
      <c r="J965" s="4" t="n"/>
    </row>
    <row r="966">
      <c r="A966" s="3" t="n">
        <v>61</v>
      </c>
      <c r="B966" s="3" t="inlineStr">
        <is>
          <t>VGV OFERTADO E DISPONÍVEL POR PADRÃO RM DE PORTO ALEGRE</t>
        </is>
      </c>
      <c r="C966" s="3" t="inlineStr">
        <is>
          <t>Tabela 1</t>
        </is>
      </c>
      <c r="D966" s="3" t="inlineStr">
        <is>
          <t>Super Luxo</t>
        </is>
      </c>
      <c r="E966" s="3" t="inlineStr">
        <is>
          <t>Coluna 7</t>
        </is>
      </c>
      <c r="F966" s="3" t="inlineStr">
        <is>
          <t>-</t>
        </is>
      </c>
      <c r="G966" s="3" t="n"/>
      <c r="H966" s="3" t="n"/>
      <c r="I966" s="3">
        <f>IF(G966="","PENDENTE",IF(AND(ISNUMBER(F966),ISNUMBER(G966)),IF(ABS(G966-F966)&lt;=H966,"IGUAL","DIVERGENTE"),IF(TRIM(G966&amp;"")=TRIM(F966&amp;""),"IGUAL","DIVERGENTE")))</f>
        <v/>
      </c>
      <c r="J966" s="3" t="n"/>
    </row>
    <row r="967">
      <c r="A967" s="4" t="n">
        <v>61</v>
      </c>
      <c r="B967" s="4" t="inlineStr">
        <is>
          <t>VGV OFERTADO E DISPONÍVEL POR PADRÃO RM DE PORTO ALEGRE</t>
        </is>
      </c>
      <c r="C967" s="4" t="inlineStr">
        <is>
          <t>Tabela 1</t>
        </is>
      </c>
      <c r="D967" s="4" t="inlineStr">
        <is>
          <t>Super Luxo</t>
        </is>
      </c>
      <c r="E967" s="4" t="inlineStr">
        <is>
          <t>Coluna 8</t>
        </is>
      </c>
      <c r="F967" s="4" t="inlineStr">
        <is>
          <t>-</t>
        </is>
      </c>
      <c r="G967" s="4" t="n"/>
      <c r="H967" s="4" t="n"/>
      <c r="I967" s="4">
        <f>IF(G967="","PENDENTE",IF(AND(ISNUMBER(F967),ISNUMBER(G967)),IF(ABS(G967-F967)&lt;=H967,"IGUAL","DIVERGENTE"),IF(TRIM(G967&amp;"")=TRIM(F967&amp;""),"IGUAL","DIVERGENTE")))</f>
        <v/>
      </c>
      <c r="J967" s="4" t="n"/>
    </row>
    <row r="968">
      <c r="A968" s="3" t="n">
        <v>61</v>
      </c>
      <c r="B968" s="3" t="inlineStr">
        <is>
          <t>VGV OFERTADO E DISPONÍVEL POR PADRÃO RM DE PORTO ALEGRE</t>
        </is>
      </c>
      <c r="C968" s="3" t="inlineStr">
        <is>
          <t>Tabela 1</t>
        </is>
      </c>
      <c r="D968" s="3" t="inlineStr">
        <is>
          <t>Total Residenciais</t>
        </is>
      </c>
      <c r="E968" s="3" t="inlineStr">
        <is>
          <t>Ticket Médio</t>
        </is>
      </c>
      <c r="F968" s="3" t="inlineStr">
        <is>
          <t>353.546</t>
        </is>
      </c>
      <c r="G968" s="3" t="n"/>
      <c r="H968" s="3" t="n"/>
      <c r="I968" s="3">
        <f>IF(G968="","PENDENTE",IF(AND(ISNUMBER(F968),ISNUMBER(G968)),IF(ABS(G968-F968)&lt;=H968,"IGUAL","DIVERGENTE"),IF(TRIM(G968&amp;"")=TRIM(F968&amp;""),"IGUAL","DIVERGENTE")))</f>
        <v/>
      </c>
      <c r="J968" s="3" t="n"/>
    </row>
    <row r="969">
      <c r="A969" s="4" t="n">
        <v>61</v>
      </c>
      <c r="B969" s="4" t="inlineStr">
        <is>
          <t>VGV OFERTADO E DISPONÍVEL POR PADRÃO RM DE PORTO ALEGRE</t>
        </is>
      </c>
      <c r="C969" s="4" t="inlineStr">
        <is>
          <t>Tabela 1</t>
        </is>
      </c>
      <c r="D969" s="4" t="inlineStr">
        <is>
          <t>Total Residenciais</t>
        </is>
      </c>
      <c r="E969" s="4" t="inlineStr">
        <is>
          <t>UNIDADES EM OFERTA</t>
        </is>
      </c>
      <c r="F969" s="4" t="inlineStr">
        <is>
          <t>17.127</t>
        </is>
      </c>
      <c r="G969" s="4" t="n"/>
      <c r="H969" s="4" t="n"/>
      <c r="I969" s="4">
        <f>IF(G969="","PENDENTE",IF(AND(ISNUMBER(F969),ISNUMBER(G969)),IF(ABS(G969-F969)&lt;=H969,"IGUAL","DIVERGENTE"),IF(TRIM(G969&amp;"")=TRIM(F969&amp;""),"IGUAL","DIVERGENTE")))</f>
        <v/>
      </c>
      <c r="J969" s="4" t="n"/>
    </row>
    <row r="970">
      <c r="A970" s="3" t="n">
        <v>61</v>
      </c>
      <c r="B970" s="3" t="inlineStr">
        <is>
          <t>VGV OFERTADO E DISPONÍVEL POR PADRÃO RM DE PORTO ALEGRE</t>
        </is>
      </c>
      <c r="C970" s="3" t="inlineStr">
        <is>
          <t>Tabela 1</t>
        </is>
      </c>
      <c r="D970" s="3" t="inlineStr">
        <is>
          <t>Total Residenciais</t>
        </is>
      </c>
      <c r="E970" s="3" t="inlineStr">
        <is>
          <t>Coluna 4</t>
        </is>
      </c>
      <c r="F970" s="3" t="inlineStr">
        <is>
          <t>4.850</t>
        </is>
      </c>
      <c r="G970" s="3" t="n"/>
      <c r="H970" s="3" t="n"/>
      <c r="I970" s="3">
        <f>IF(G970="","PENDENTE",IF(AND(ISNUMBER(F970),ISNUMBER(G970)),IF(ABS(G970-F970)&lt;=H970,"IGUAL","DIVERGENTE"),IF(TRIM(G970&amp;"")=TRIM(F970&amp;""),"IGUAL","DIVERGENTE")))</f>
        <v/>
      </c>
      <c r="J970" s="3" t="n"/>
    </row>
    <row r="971">
      <c r="A971" s="4" t="n">
        <v>61</v>
      </c>
      <c r="B971" s="4" t="inlineStr">
        <is>
          <t>VGV OFERTADO E DISPONÍVEL POR PADRÃO RM DE PORTO ALEGRE</t>
        </is>
      </c>
      <c r="C971" s="4" t="inlineStr">
        <is>
          <t>Tabela 1</t>
        </is>
      </c>
      <c r="D971" s="4" t="inlineStr">
        <is>
          <t>Total Residenciais</t>
        </is>
      </c>
      <c r="E971" s="4" t="inlineStr">
        <is>
          <t>Coluna 5</t>
        </is>
      </c>
      <c r="F971" s="4" t="inlineStr">
        <is>
          <t>12.277</t>
        </is>
      </c>
      <c r="G971" s="4" t="n"/>
      <c r="H971" s="4" t="n"/>
      <c r="I971" s="4">
        <f>IF(G971="","PENDENTE",IF(AND(ISNUMBER(F971),ISNUMBER(G971)),IF(ABS(G971-F971)&lt;=H971,"IGUAL","DIVERGENTE"),IF(TRIM(G971&amp;"")=TRIM(F971&amp;""),"IGUAL","DIVERGENTE")))</f>
        <v/>
      </c>
      <c r="J971" s="4" t="n"/>
    </row>
    <row r="972">
      <c r="A972" s="3" t="n">
        <v>61</v>
      </c>
      <c r="B972" s="3" t="inlineStr">
        <is>
          <t>VGV OFERTADO E DISPONÍVEL POR PADRÃO RM DE PORTO ALEGRE</t>
        </is>
      </c>
      <c r="C972" s="3" t="inlineStr">
        <is>
          <t>Tabela 1</t>
        </is>
      </c>
      <c r="D972" s="3" t="inlineStr">
        <is>
          <t>Total Residenciais</t>
        </is>
      </c>
      <c r="E972" s="3" t="inlineStr">
        <is>
          <t>OFERTA EM VGV</t>
        </is>
      </c>
      <c r="F972" s="3" t="inlineStr">
        <is>
          <t>R$ 6.055.182</t>
        </is>
      </c>
      <c r="G972" s="3" t="n"/>
      <c r="H972" s="3" t="n"/>
      <c r="I972" s="3">
        <f>IF(G972="","PENDENTE",IF(AND(ISNUMBER(F972),ISNUMBER(G972)),IF(ABS(G972-F972)&lt;=H972,"IGUAL","DIVERGENTE"),IF(TRIM(G972&amp;"")=TRIM(F972&amp;""),"IGUAL","DIVERGENTE")))</f>
        <v/>
      </c>
      <c r="J972" s="3" t="n"/>
    </row>
    <row r="973">
      <c r="A973" s="4" t="n">
        <v>61</v>
      </c>
      <c r="B973" s="4" t="inlineStr">
        <is>
          <t>VGV OFERTADO E DISPONÍVEL POR PADRÃO RM DE PORTO ALEGRE</t>
        </is>
      </c>
      <c r="C973" s="4" t="inlineStr">
        <is>
          <t>Tabela 1</t>
        </is>
      </c>
      <c r="D973" s="4" t="inlineStr">
        <is>
          <t>Total Residenciais</t>
        </is>
      </c>
      <c r="E973" s="4" t="inlineStr">
        <is>
          <t>Coluna 7</t>
        </is>
      </c>
      <c r="F973" s="4" t="inlineStr">
        <is>
          <t>R$ 1.714.698</t>
        </is>
      </c>
      <c r="G973" s="4" t="n"/>
      <c r="H973" s="4" t="n"/>
      <c r="I973" s="4">
        <f>IF(G973="","PENDENTE",IF(AND(ISNUMBER(F973),ISNUMBER(G973)),IF(ABS(G973-F973)&lt;=H973,"IGUAL","DIVERGENTE"),IF(TRIM(G973&amp;"")=TRIM(F973&amp;""),"IGUAL","DIVERGENTE")))</f>
        <v/>
      </c>
      <c r="J973" s="4" t="n"/>
    </row>
    <row r="974">
      <c r="A974" s="3" t="n">
        <v>61</v>
      </c>
      <c r="B974" s="3" t="inlineStr">
        <is>
          <t>VGV OFERTADO E DISPONÍVEL POR PADRÃO RM DE PORTO ALEGRE</t>
        </is>
      </c>
      <c r="C974" s="3" t="inlineStr">
        <is>
          <t>Tabela 1</t>
        </is>
      </c>
      <c r="D974" s="3" t="inlineStr">
        <is>
          <t>Total Residenciais</t>
        </is>
      </c>
      <c r="E974" s="3" t="inlineStr">
        <is>
          <t>Coluna 8</t>
        </is>
      </c>
      <c r="F974" s="3" t="inlineStr">
        <is>
          <t>R$ 4.340.484</t>
        </is>
      </c>
      <c r="G974" s="3" t="n"/>
      <c r="H974" s="3" t="n"/>
      <c r="I974" s="3">
        <f>IF(G974="","PENDENTE",IF(AND(ISNUMBER(F974),ISNUMBER(G974)),IF(ABS(G974-F974)&lt;=H974,"IGUAL","DIVERGENTE"),IF(TRIM(G974&amp;"")=TRIM(F974&amp;""),"IGUAL","DIVERGENTE")))</f>
        <v/>
      </c>
      <c r="J974" s="3" t="n"/>
    </row>
    <row r="975">
      <c r="A975" s="4" t="n">
        <v>67</v>
      </c>
      <c r="B975" s="4" t="inlineStr">
        <is>
          <t>MAPA DE LOCALIZAÇÃO POR PADRÃO</t>
        </is>
      </c>
      <c r="C975" s="4" t="inlineStr">
        <is>
          <t>Tabela 1</t>
        </is>
      </c>
      <c r="D975" s="4" t="inlineStr"/>
      <c r="E975" s="4" t="inlineStr">
        <is>
          <t>Coluna 2</t>
        </is>
      </c>
      <c r="F975" s="4" t="inlineStr">
        <is>
          <t>Compacto</t>
        </is>
      </c>
      <c r="G975" s="4" t="n"/>
      <c r="H975" s="4" t="n"/>
      <c r="I975" s="4">
        <f>IF(G975="","PENDENTE",IF(AND(ISNUMBER(F975),ISNUMBER(G975)),IF(ABS(G975-F975)&lt;=H975,"IGUAL","DIVERGENTE"),IF(TRIM(G975&amp;"")=TRIM(F975&amp;""),"IGUAL","DIVERGENTE")))</f>
        <v/>
      </c>
      <c r="J975" s="4" t="n"/>
    </row>
    <row r="976">
      <c r="A976" s="3" t="n">
        <v>67</v>
      </c>
      <c r="B976" s="3" t="inlineStr">
        <is>
          <t>MAPA DE LOCALIZAÇÃO POR PADRÃO</t>
        </is>
      </c>
      <c r="C976" s="3" t="inlineStr">
        <is>
          <t>Tabela 1</t>
        </is>
      </c>
      <c r="D976" s="3" t="inlineStr"/>
      <c r="E976" s="3" t="inlineStr">
        <is>
          <t>Coluna 2</t>
        </is>
      </c>
      <c r="F976" s="3" t="inlineStr">
        <is>
          <t>Econômico</t>
        </is>
      </c>
      <c r="G976" s="3" t="n"/>
      <c r="H976" s="3" t="n"/>
      <c r="I976" s="3">
        <f>IF(G976="","PENDENTE",IF(AND(ISNUMBER(F976),ISNUMBER(G976)),IF(ABS(G976-F976)&lt;=H976,"IGUAL","DIVERGENTE"),IF(TRIM(G976&amp;"")=TRIM(F976&amp;""),"IGUAL","DIVERGENTE")))</f>
        <v/>
      </c>
      <c r="J976" s="3" t="n"/>
    </row>
    <row r="977">
      <c r="A977" s="4" t="n">
        <v>67</v>
      </c>
      <c r="B977" s="4" t="inlineStr">
        <is>
          <t>MAPA DE LOCALIZAÇÃO POR PADRÃO</t>
        </is>
      </c>
      <c r="C977" s="4" t="inlineStr">
        <is>
          <t>Tabela 1</t>
        </is>
      </c>
      <c r="D977" s="4" t="inlineStr"/>
      <c r="E977" s="4" t="inlineStr">
        <is>
          <t>Coluna 2</t>
        </is>
      </c>
      <c r="F977" s="4" t="inlineStr">
        <is>
          <t>Médio</t>
        </is>
      </c>
      <c r="G977" s="4" t="n"/>
      <c r="H977" s="4" t="n"/>
      <c r="I977" s="4">
        <f>IF(G977="","PENDENTE",IF(AND(ISNUMBER(F977),ISNUMBER(G977)),IF(ABS(G977-F977)&lt;=H977,"IGUAL","DIVERGENTE"),IF(TRIM(G977&amp;"")=TRIM(F977&amp;""),"IGUAL","DIVERGENTE")))</f>
        <v/>
      </c>
      <c r="J977" s="4" t="n"/>
    </row>
    <row r="978">
      <c r="A978" s="3" t="n">
        <v>67</v>
      </c>
      <c r="B978" s="3" t="inlineStr">
        <is>
          <t>MAPA DE LOCALIZAÇÃO POR PADRÃO</t>
        </is>
      </c>
      <c r="C978" s="3" t="inlineStr">
        <is>
          <t>Tabela 1</t>
        </is>
      </c>
      <c r="D978" s="3" t="inlineStr"/>
      <c r="E978" s="3" t="inlineStr">
        <is>
          <t>Coluna 2</t>
        </is>
      </c>
      <c r="F978" s="3" t="inlineStr">
        <is>
          <t>Luxo</t>
        </is>
      </c>
      <c r="G978" s="3" t="n"/>
      <c r="H978" s="3" t="n"/>
      <c r="I978" s="3">
        <f>IF(G978="","PENDENTE",IF(AND(ISNUMBER(F978),ISNUMBER(G978)),IF(ABS(G978-F978)&lt;=H978,"IGUAL","DIVERGENTE"),IF(TRIM(G978&amp;"")=TRIM(F978&amp;""),"IGUAL","DIVERGENTE")))</f>
        <v/>
      </c>
      <c r="J978" s="3" t="n"/>
    </row>
    <row r="979">
      <c r="A979" s="4" t="n">
        <v>68</v>
      </c>
      <c r="B979" s="4" t="inlineStr">
        <is>
          <t>MAPA DE LOCALIZAÇÃO POR ESTOQUE</t>
        </is>
      </c>
      <c r="C979" s="4" t="inlineStr">
        <is>
          <t>Tabela 1</t>
        </is>
      </c>
      <c r="D979" s="4" t="inlineStr"/>
      <c r="E979" s="4" t="inlineStr">
        <is>
          <t>Coluna 2</t>
        </is>
      </c>
      <c r="F979" s="4" t="inlineStr">
        <is>
          <t>Acima de 101 unidades</t>
        </is>
      </c>
      <c r="G979" s="4" t="n"/>
      <c r="H979" s="4" t="n"/>
      <c r="I979" s="4">
        <f>IF(G979="","PENDENTE",IF(AND(ISNUMBER(F979),ISNUMBER(G979)),IF(ABS(G979-F979)&lt;=H979,"IGUAL","DIVERGENTE"),IF(TRIM(G979&amp;"")=TRIM(F979&amp;""),"IGUAL","DIVERGENTE")))</f>
        <v/>
      </c>
      <c r="J979" s="4" t="n"/>
    </row>
    <row r="980">
      <c r="A980" s="3" t="n">
        <v>68</v>
      </c>
      <c r="B980" s="3" t="inlineStr">
        <is>
          <t>MAPA DE LOCALIZAÇÃO POR ESTOQUE</t>
        </is>
      </c>
      <c r="C980" s="3" t="inlineStr">
        <is>
          <t>Tabela 1</t>
        </is>
      </c>
      <c r="D980" s="3" t="inlineStr"/>
      <c r="E980" s="3" t="inlineStr">
        <is>
          <t>Coluna 2</t>
        </is>
      </c>
      <c r="F980" s="3" t="inlineStr">
        <is>
          <t>De 51 a 100 unidades</t>
        </is>
      </c>
      <c r="G980" s="3" t="n"/>
      <c r="H980" s="3" t="n"/>
      <c r="I980" s="3">
        <f>IF(G980="","PENDENTE",IF(AND(ISNUMBER(F980),ISNUMBER(G980)),IF(ABS(G980-F980)&lt;=H980,"IGUAL","DIVERGENTE"),IF(TRIM(G980&amp;"")=TRIM(F980&amp;""),"IGUAL","DIVERGENTE")))</f>
        <v/>
      </c>
      <c r="J980" s="3" t="n"/>
    </row>
    <row r="981">
      <c r="A981" s="4" t="n">
        <v>68</v>
      </c>
      <c r="B981" s="4" t="inlineStr">
        <is>
          <t>MAPA DE LOCALIZAÇÃO POR ESTOQUE</t>
        </is>
      </c>
      <c r="C981" s="4" t="inlineStr">
        <is>
          <t>Tabela 1</t>
        </is>
      </c>
      <c r="D981" s="4" t="inlineStr"/>
      <c r="E981" s="4" t="inlineStr">
        <is>
          <t>Coluna 2</t>
        </is>
      </c>
      <c r="F981" s="4" t="inlineStr">
        <is>
          <t>De 11 a 50 unidades</t>
        </is>
      </c>
      <c r="G981" s="4" t="n"/>
      <c r="H981" s="4" t="n"/>
      <c r="I981" s="4">
        <f>IF(G981="","PENDENTE",IF(AND(ISNUMBER(F981),ISNUMBER(G981)),IF(ABS(G981-F981)&lt;=H981,"IGUAL","DIVERGENTE"),IF(TRIM(G981&amp;"")=TRIM(F981&amp;""),"IGUAL","DIVERGENTE")))</f>
        <v/>
      </c>
      <c r="J981" s="4" t="n"/>
    </row>
    <row r="982">
      <c r="A982" s="3" t="n">
        <v>68</v>
      </c>
      <c r="B982" s="3" t="inlineStr">
        <is>
          <t>MAPA DE LOCALIZAÇÃO POR ESTOQUE</t>
        </is>
      </c>
      <c r="C982" s="3" t="inlineStr">
        <is>
          <t>Tabela 1</t>
        </is>
      </c>
      <c r="D982" s="3" t="inlineStr"/>
      <c r="E982" s="3" t="inlineStr">
        <is>
          <t>Coluna 2</t>
        </is>
      </c>
      <c r="F982" s="3" t="inlineStr">
        <is>
          <t>Até 10 unidades</t>
        </is>
      </c>
      <c r="G982" s="3" t="n"/>
      <c r="H982" s="3" t="n"/>
      <c r="I982" s="3">
        <f>IF(G982="","PENDENTE",IF(AND(ISNUMBER(F982),ISNUMBER(G982)),IF(ABS(G982-F982)&lt;=H982,"IGUAL","DIVERGENTE"),IF(TRIM(G982&amp;"")=TRIM(F982&amp;""),"IGUAL","DIVERGENTE")))</f>
        <v/>
      </c>
      <c r="J982" s="3" t="n"/>
    </row>
    <row r="983">
      <c r="A983" s="4" t="n">
        <v>69</v>
      </c>
      <c r="B983" s="4" t="inlineStr">
        <is>
          <t>MAPA DE LOCALIZAÇÃO POR R$/M²</t>
        </is>
      </c>
      <c r="C983" s="4" t="inlineStr">
        <is>
          <t>Tabela 1</t>
        </is>
      </c>
      <c r="D983" s="4" t="inlineStr"/>
      <c r="E983" s="4" t="inlineStr">
        <is>
          <t>Coluna 2</t>
        </is>
      </c>
      <c r="F983" s="4" t="inlineStr">
        <is>
          <t>Acima de R$/m² 15.000</t>
        </is>
      </c>
      <c r="G983" s="4" t="n"/>
      <c r="H983" s="4" t="n"/>
      <c r="I983" s="4">
        <f>IF(G983="","PENDENTE",IF(AND(ISNUMBER(F983),ISNUMBER(G983)),IF(ABS(G983-F983)&lt;=H983,"IGUAL","DIVERGENTE"),IF(TRIM(G983&amp;"")=TRIM(F983&amp;""),"IGUAL","DIVERGENTE")))</f>
        <v/>
      </c>
      <c r="J983" s="4" t="n"/>
    </row>
    <row r="984">
      <c r="A984" s="3" t="n">
        <v>69</v>
      </c>
      <c r="B984" s="3" t="inlineStr">
        <is>
          <t>MAPA DE LOCALIZAÇÃO POR R$/M²</t>
        </is>
      </c>
      <c r="C984" s="3" t="inlineStr">
        <is>
          <t>Tabela 1</t>
        </is>
      </c>
      <c r="D984" s="3" t="inlineStr"/>
      <c r="E984" s="3" t="inlineStr">
        <is>
          <t>Coluna 2</t>
        </is>
      </c>
      <c r="F984" s="3" t="inlineStr">
        <is>
          <t>De R$/m² 10.001 a R$/m² 15.000</t>
        </is>
      </c>
      <c r="G984" s="3" t="n"/>
      <c r="H984" s="3" t="n"/>
      <c r="I984" s="3">
        <f>IF(G984="","PENDENTE",IF(AND(ISNUMBER(F984),ISNUMBER(G984)),IF(ABS(G984-F984)&lt;=H984,"IGUAL","DIVERGENTE"),IF(TRIM(G984&amp;"")=TRIM(F984&amp;""),"IGUAL","DIVERGENTE")))</f>
        <v/>
      </c>
      <c r="J984" s="3" t="n"/>
    </row>
    <row r="985">
      <c r="A985" s="4" t="n">
        <v>69</v>
      </c>
      <c r="B985" s="4" t="inlineStr">
        <is>
          <t>MAPA DE LOCALIZAÇÃO POR R$/M²</t>
        </is>
      </c>
      <c r="C985" s="4" t="inlineStr">
        <is>
          <t>Tabela 1</t>
        </is>
      </c>
      <c r="D985" s="4" t="inlineStr"/>
      <c r="E985" s="4" t="inlineStr">
        <is>
          <t>Coluna 2</t>
        </is>
      </c>
      <c r="F985" s="4" t="inlineStr">
        <is>
          <t>De R$/m² 5.001 a R$/m² 10.000</t>
        </is>
      </c>
      <c r="G985" s="4" t="n"/>
      <c r="H985" s="4" t="n"/>
      <c r="I985" s="4">
        <f>IF(G985="","PENDENTE",IF(AND(ISNUMBER(F985),ISNUMBER(G985)),IF(ABS(G985-F985)&lt;=H985,"IGUAL","DIVERGENTE"),IF(TRIM(G985&amp;"")=TRIM(F985&amp;""),"IGUAL","DIVERGENTE")))</f>
        <v/>
      </c>
      <c r="J985" s="4" t="n"/>
    </row>
    <row r="986">
      <c r="A986" s="3" t="n">
        <v>69</v>
      </c>
      <c r="B986" s="3" t="inlineStr">
        <is>
          <t>MAPA DE LOCALIZAÇÃO POR R$/M²</t>
        </is>
      </c>
      <c r="C986" s="3" t="inlineStr">
        <is>
          <t>Tabela 1</t>
        </is>
      </c>
      <c r="D986" s="3" t="inlineStr"/>
      <c r="E986" s="3" t="inlineStr">
        <is>
          <t>Coluna 2</t>
        </is>
      </c>
      <c r="F986" s="3" t="inlineStr">
        <is>
          <t>Até R$/m² 5.000</t>
        </is>
      </c>
      <c r="G986" s="3" t="n"/>
      <c r="H986" s="3" t="n"/>
      <c r="I986" s="3">
        <f>IF(G986="","PENDENTE",IF(AND(ISNUMBER(F986),ISNUMBER(G986)),IF(ABS(G986-F986)&lt;=H986,"IGUAL","DIVERGENTE"),IF(TRIM(G986&amp;"")=TRIM(F986&amp;""),"IGUAL","DIVERGENTE")))</f>
        <v/>
      </c>
      <c r="J986" s="3" t="n"/>
    </row>
  </sheetData>
  <autoFilter ref="A1:J986"/>
  <conditionalFormatting sqref="I2:I986">
    <cfRule type="expression" priority="1" dxfId="0">
      <formula>I2="IGUAL"</formula>
    </cfRule>
    <cfRule type="expression" priority="2" dxfId="1">
      <formula>I2="DIVERGENTE"</formula>
    </cfRule>
    <cfRule type="expression" priority="3" dxfId="2">
      <formula>I2="PENDENTE"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22" customWidth="1" min="3" max="3"/>
    <col width="19" customWidth="1" min="4" max="4"/>
    <col width="8" customWidth="1" min="5" max="5"/>
    <col width="18" customWidth="1" min="6" max="6"/>
    <col width="7" customWidth="1" min="7" max="7"/>
    <col width="6" customWidth="1" min="8" max="8"/>
    <col width="14" customWidth="1" min="9" max="9"/>
    <col width="12" customWidth="1" min="10" max="10"/>
  </cols>
  <sheetData>
    <row r="1">
      <c r="A1" s="2" t="inlineStr">
        <is>
          <t>Slide</t>
        </is>
      </c>
      <c r="B1" s="2" t="inlineStr">
        <is>
          <t>Título</t>
        </is>
      </c>
      <c r="C1" s="2" t="inlineStr">
        <is>
          <t>Tem números nativos?</t>
        </is>
      </c>
      <c r="D1" s="2" t="inlineStr">
        <is>
          <t>Conteúdo</t>
        </is>
      </c>
      <c r="E1" s="2" t="inlineStr">
        <is>
          <t>Layout</t>
        </is>
      </c>
      <c r="F1" s="2" t="inlineStr">
        <is>
          <t>Gráfico / tabela</t>
        </is>
      </c>
      <c r="G1" s="2" t="inlineStr">
        <is>
          <t>Texto</t>
        </is>
      </c>
      <c r="H1" s="2" t="inlineStr">
        <is>
          <t>Mapa</t>
        </is>
      </c>
      <c r="I1" s="2" t="inlineStr">
        <is>
          <t>Status geral</t>
        </is>
      </c>
      <c r="J1" s="2" t="inlineStr">
        <is>
          <t>Observação</t>
        </is>
      </c>
    </row>
    <row r="2">
      <c r="A2" s="3" t="n">
        <v>1</v>
      </c>
      <c r="B2" s="3" t="inlineStr">
        <is>
          <t>Slide 1</t>
        </is>
      </c>
      <c r="C2" s="3" t="inlineStr">
        <is>
          <t>NÃO</t>
        </is>
      </c>
      <c r="D2" s="3" t="inlineStr">
        <is>
          <t>VISUAL / RASTER</t>
        </is>
      </c>
      <c r="E2" s="3" t="n"/>
      <c r="F2" s="3" t="n"/>
      <c r="G2" s="3" t="n"/>
      <c r="H2" s="3" t="n"/>
      <c r="I2" s="3" t="inlineStr">
        <is>
          <t>PENDENTE</t>
        </is>
      </c>
      <c r="J2" s="3" t="n"/>
    </row>
    <row r="3">
      <c r="A3" s="4" t="n">
        <v>2</v>
      </c>
      <c r="B3" s="4" t="inlineStr">
        <is>
          <t>RM DE PORTO ALEGRE</t>
        </is>
      </c>
      <c r="C3" s="4" t="inlineStr">
        <is>
          <t>NÃO</t>
        </is>
      </c>
      <c r="D3" s="4" t="inlineStr">
        <is>
          <t>VISUAL / RASTER</t>
        </is>
      </c>
      <c r="E3" s="4" t="n"/>
      <c r="F3" s="4" t="n"/>
      <c r="G3" s="4" t="n"/>
      <c r="H3" s="4" t="n"/>
      <c r="I3" s="4" t="inlineStr">
        <is>
          <t>PENDENTE</t>
        </is>
      </c>
      <c r="J3" s="4" t="n"/>
    </row>
    <row r="4">
      <c r="A4" s="3" t="n">
        <v>3</v>
      </c>
      <c r="B4" s="3" t="inlineStr">
        <is>
          <t>Slide 3</t>
        </is>
      </c>
      <c r="C4" s="3" t="inlineStr">
        <is>
          <t>NÃO</t>
        </is>
      </c>
      <c r="D4" s="3" t="inlineStr">
        <is>
          <t>VISUAL / RASTER</t>
        </is>
      </c>
      <c r="E4" s="3" t="n"/>
      <c r="F4" s="3" t="n"/>
      <c r="G4" s="3" t="n"/>
      <c r="H4" s="3" t="n"/>
      <c r="I4" s="3" t="inlineStr">
        <is>
          <t>PENDENTE</t>
        </is>
      </c>
      <c r="J4" s="3" t="n"/>
    </row>
    <row r="5">
      <c r="A5" s="4" t="n">
        <v>4</v>
      </c>
      <c r="B5" s="4" t="inlineStr">
        <is>
          <t>Slide 4</t>
        </is>
      </c>
      <c r="C5" s="4" t="inlineStr">
        <is>
          <t>NÃO</t>
        </is>
      </c>
      <c r="D5" s="4" t="inlineStr">
        <is>
          <t>VISUAL / RASTER</t>
        </is>
      </c>
      <c r="E5" s="4" t="n"/>
      <c r="F5" s="4" t="n"/>
      <c r="G5" s="4" t="n"/>
      <c r="H5" s="4" t="n"/>
      <c r="I5" s="4" t="inlineStr">
        <is>
          <t>PENDENTE</t>
        </is>
      </c>
      <c r="J5" s="4" t="n"/>
    </row>
    <row r="6">
      <c r="A6" s="3" t="n">
        <v>5</v>
      </c>
      <c r="B6" s="3" t="inlineStr">
        <is>
          <t>Slide 5</t>
        </is>
      </c>
      <c r="C6" s="3" t="inlineStr">
        <is>
          <t>NÃO</t>
        </is>
      </c>
      <c r="D6" s="3" t="inlineStr">
        <is>
          <t>VISUAL / RASTER</t>
        </is>
      </c>
      <c r="E6" s="3" t="n"/>
      <c r="F6" s="3" t="n"/>
      <c r="G6" s="3" t="n"/>
      <c r="H6" s="3" t="n"/>
      <c r="I6" s="3" t="inlineStr">
        <is>
          <t>PENDENTE</t>
        </is>
      </c>
      <c r="J6" s="3" t="n"/>
    </row>
    <row r="7">
      <c r="A7" s="4" t="n">
        <v>6</v>
      </c>
      <c r="B7" s="4" t="inlineStr">
        <is>
          <t>SUMÁRIO</t>
        </is>
      </c>
      <c r="C7" s="4" t="inlineStr">
        <is>
          <t>NÃO</t>
        </is>
      </c>
      <c r="D7" s="4" t="inlineStr">
        <is>
          <t>VISUAL / RASTER</t>
        </is>
      </c>
      <c r="E7" s="4" t="n"/>
      <c r="F7" s="4" t="n"/>
      <c r="G7" s="4" t="n"/>
      <c r="H7" s="4" t="n"/>
      <c r="I7" s="4" t="inlineStr">
        <is>
          <t>PENDENTE</t>
        </is>
      </c>
      <c r="J7" s="4" t="n"/>
    </row>
    <row r="8">
      <c r="A8" s="3" t="n">
        <v>7</v>
      </c>
      <c r="B8" s="3" t="inlineStr">
        <is>
          <t>As cidades analisadas nesse estudo representam: 16,7% da População Total do Estado 13% do Potencial de Consumo do Estado</t>
        </is>
      </c>
      <c r="C8" s="3" t="inlineStr">
        <is>
          <t>NÃO</t>
        </is>
      </c>
      <c r="D8" s="3" t="inlineStr">
        <is>
          <t>VISUAL / RASTER</t>
        </is>
      </c>
      <c r="E8" s="3" t="n"/>
      <c r="F8" s="3" t="n"/>
      <c r="G8" s="3" t="n"/>
      <c r="H8" s="3" t="n"/>
      <c r="I8" s="3" t="inlineStr">
        <is>
          <t>PENDENTE</t>
        </is>
      </c>
      <c r="J8" s="3" t="n"/>
    </row>
    <row r="9">
      <c r="A9" s="4" t="n">
        <v>8</v>
      </c>
      <c r="B9" s="4" t="inlineStr">
        <is>
          <t>LANÇAMENTOS VERTICAIS</t>
        </is>
      </c>
      <c r="C9" s="4" t="inlineStr">
        <is>
          <t>NÃO</t>
        </is>
      </c>
      <c r="D9" s="4" t="inlineStr">
        <is>
          <t>VISUAL / RASTER</t>
        </is>
      </c>
      <c r="E9" s="4" t="n"/>
      <c r="F9" s="4" t="n"/>
      <c r="G9" s="4" t="n"/>
      <c r="H9" s="4" t="n"/>
      <c r="I9" s="4" t="inlineStr">
        <is>
          <t>PENDENTE</t>
        </is>
      </c>
      <c r="J9" s="4" t="n"/>
    </row>
    <row r="10">
      <c r="A10" s="3" t="n">
        <v>9</v>
      </c>
      <c r="B10" s="3" t="inlineStr">
        <is>
          <t>EMPREENDIMENTOS VERTICAIS LANÇADOS POR TRIMESTRE</t>
        </is>
      </c>
      <c r="C10" s="3" t="inlineStr">
        <is>
          <t>SIM</t>
        </is>
      </c>
      <c r="D10" s="3" t="inlineStr">
        <is>
          <t>NUMÉRICO + VISUAL</t>
        </is>
      </c>
      <c r="E10" s="3" t="n"/>
      <c r="F10" s="3" t="n"/>
      <c r="G10" s="3" t="n"/>
      <c r="H10" s="3" t="n"/>
      <c r="I10" s="3" t="inlineStr">
        <is>
          <t>PENDENTE</t>
        </is>
      </c>
      <c r="J10" s="3" t="n"/>
    </row>
    <row r="11">
      <c r="A11" s="4" t="n">
        <v>10</v>
      </c>
      <c r="B11" s="4" t="inlineStr">
        <is>
          <t>EMPREENDIMENTOS VERTICAIS LANÇADOS POR PADRÃO</t>
        </is>
      </c>
      <c r="C11" s="4" t="inlineStr">
        <is>
          <t>SIM</t>
        </is>
      </c>
      <c r="D11" s="4" t="inlineStr">
        <is>
          <t>NUMÉRICO + VISUAL</t>
        </is>
      </c>
      <c r="E11" s="4" t="n"/>
      <c r="F11" s="4" t="n"/>
      <c r="G11" s="4" t="n"/>
      <c r="H11" s="4" t="n"/>
      <c r="I11" s="4" t="inlineStr">
        <is>
          <t>PENDENTE</t>
        </is>
      </c>
      <c r="J11" s="4" t="n"/>
    </row>
    <row r="12">
      <c r="A12" s="3" t="n">
        <v>11</v>
      </c>
      <c r="B12" s="3" t="inlineStr">
        <is>
          <t>EMPREENDIMENTOS VERTICAIS LANÇADOS ACUMULADO 12 MESES</t>
        </is>
      </c>
      <c r="C12" s="3" t="inlineStr">
        <is>
          <t>SIM</t>
        </is>
      </c>
      <c r="D12" s="3" t="inlineStr">
        <is>
          <t>NUMÉRICO + VISUAL</t>
        </is>
      </c>
      <c r="E12" s="3" t="n"/>
      <c r="F12" s="3" t="n"/>
      <c r="G12" s="3" t="n"/>
      <c r="H12" s="3" t="n"/>
      <c r="I12" s="3" t="inlineStr">
        <is>
          <t>PENDENTE</t>
        </is>
      </c>
      <c r="J12" s="3" t="n"/>
    </row>
    <row r="13">
      <c r="A13" s="4" t="n">
        <v>12</v>
      </c>
      <c r="B13" s="4" t="inlineStr">
        <is>
          <t>UNIDADES VERTICAIS LANÇADAS POR TRIMESTRE</t>
        </is>
      </c>
      <c r="C13" s="4" t="inlineStr">
        <is>
          <t>SIM</t>
        </is>
      </c>
      <c r="D13" s="4" t="inlineStr">
        <is>
          <t>NUMÉRICO + VISUAL</t>
        </is>
      </c>
      <c r="E13" s="4" t="n"/>
      <c r="F13" s="4" t="n"/>
      <c r="G13" s="4" t="n"/>
      <c r="H13" s="4" t="n"/>
      <c r="I13" s="4" t="inlineStr">
        <is>
          <t>PENDENTE</t>
        </is>
      </c>
      <c r="J13" s="4" t="n"/>
    </row>
    <row r="14">
      <c r="A14" s="3" t="n">
        <v>13</v>
      </c>
      <c r="B14" s="3" t="inlineStr">
        <is>
          <t>UNIDADES VERTICAIS LANÇADAS POR PADRÃO</t>
        </is>
      </c>
      <c r="C14" s="3" t="inlineStr">
        <is>
          <t>SIM</t>
        </is>
      </c>
      <c r="D14" s="3" t="inlineStr">
        <is>
          <t>NUMÉRICO + VISUAL</t>
        </is>
      </c>
      <c r="E14" s="3" t="n"/>
      <c r="F14" s="3" t="n"/>
      <c r="G14" s="3" t="n"/>
      <c r="H14" s="3" t="n"/>
      <c r="I14" s="3" t="inlineStr">
        <is>
          <t>PENDENTE</t>
        </is>
      </c>
      <c r="J14" s="3" t="n"/>
    </row>
    <row r="15">
      <c r="A15" s="4" t="n">
        <v>14</v>
      </c>
      <c r="B15" s="4" t="inlineStr">
        <is>
          <t>UNIDADES VERTICAIS LANÇADAS ACUMULADO 12 MESES</t>
        </is>
      </c>
      <c r="C15" s="4" t="inlineStr">
        <is>
          <t>SIM</t>
        </is>
      </c>
      <c r="D15" s="4" t="inlineStr">
        <is>
          <t>NUMÉRICO + VISUAL</t>
        </is>
      </c>
      <c r="E15" s="4" t="n"/>
      <c r="F15" s="4" t="n"/>
      <c r="G15" s="4" t="n"/>
      <c r="H15" s="4" t="n"/>
      <c r="I15" s="4" t="inlineStr">
        <is>
          <t>PENDENTE</t>
        </is>
      </c>
      <c r="J15" s="4" t="n"/>
    </row>
    <row r="16">
      <c r="A16" s="3" t="n">
        <v>15</v>
      </c>
      <c r="B16" s="3" t="inlineStr">
        <is>
          <t>UNIDADES VERTICAIS LANÇADAS POR TRIMESTRE</t>
        </is>
      </c>
      <c r="C16" s="3" t="inlineStr">
        <is>
          <t>SIM</t>
        </is>
      </c>
      <c r="D16" s="3" t="inlineStr">
        <is>
          <t>NUMÉRICO + VISUAL</t>
        </is>
      </c>
      <c r="E16" s="3" t="n"/>
      <c r="F16" s="3" t="n"/>
      <c r="G16" s="3" t="n"/>
      <c r="H16" s="3" t="n"/>
      <c r="I16" s="3" t="inlineStr">
        <is>
          <t>PENDENTE</t>
        </is>
      </c>
      <c r="J16" s="3" t="n"/>
    </row>
    <row r="17">
      <c r="A17" s="4" t="n">
        <v>16</v>
      </c>
      <c r="B17" s="4" t="inlineStr">
        <is>
          <t>UNIDADES VERTICAIS LANÇADAS ACUMULADO 12 MESES</t>
        </is>
      </c>
      <c r="C17" s="4" t="inlineStr">
        <is>
          <t>SIM</t>
        </is>
      </c>
      <c r="D17" s="4" t="inlineStr">
        <is>
          <t>NUMÉRICO + VISUAL</t>
        </is>
      </c>
      <c r="E17" s="4" t="n"/>
      <c r="F17" s="4" t="n"/>
      <c r="G17" s="4" t="n"/>
      <c r="H17" s="4" t="n"/>
      <c r="I17" s="4" t="inlineStr">
        <is>
          <t>PENDENTE</t>
        </is>
      </c>
      <c r="J17" s="4" t="n"/>
    </row>
    <row r="18">
      <c r="A18" s="3" t="n">
        <v>17</v>
      </c>
      <c r="B18" s="3" t="inlineStr">
        <is>
          <t>UNIDADES VERTICAIS LANÇADAS POR TIPOLOGIA</t>
        </is>
      </c>
      <c r="C18" s="3" t="inlineStr">
        <is>
          <t>SIM</t>
        </is>
      </c>
      <c r="D18" s="3" t="inlineStr">
        <is>
          <t>NUMÉRICO + VISUAL</t>
        </is>
      </c>
      <c r="E18" s="3" t="n"/>
      <c r="F18" s="3" t="n"/>
      <c r="G18" s="3" t="n"/>
      <c r="H18" s="3" t="n"/>
      <c r="I18" s="3" t="inlineStr">
        <is>
          <t>PENDENTE</t>
        </is>
      </c>
      <c r="J18" s="3" t="n"/>
    </row>
    <row r="19">
      <c r="A19" s="4" t="n">
        <v>18</v>
      </c>
      <c r="B19" s="4" t="inlineStr">
        <is>
          <t>UNIDADES VERTICAIS LANÇADAS POR PADRÃO</t>
        </is>
      </c>
      <c r="C19" s="4" t="inlineStr">
        <is>
          <t>SIM</t>
        </is>
      </c>
      <c r="D19" s="4" t="inlineStr">
        <is>
          <t>NUMÉRICO + VISUAL</t>
        </is>
      </c>
      <c r="E19" s="4" t="n"/>
      <c r="F19" s="4" t="n"/>
      <c r="G19" s="4" t="n"/>
      <c r="H19" s="4" t="n"/>
      <c r="I19" s="4" t="inlineStr">
        <is>
          <t>PENDENTE</t>
        </is>
      </c>
      <c r="J19" s="4" t="n"/>
    </row>
    <row r="20">
      <c r="A20" s="3" t="n">
        <v>19</v>
      </c>
      <c r="B20" s="3" t="inlineStr">
        <is>
          <t>UNIDADES VERTICAIS LANÇADAS POR BAIRRO E CIDADE</t>
        </is>
      </c>
      <c r="C20" s="3" t="inlineStr">
        <is>
          <t>SIM</t>
        </is>
      </c>
      <c r="D20" s="3" t="inlineStr">
        <is>
          <t>NUMÉRICO + VISUAL</t>
        </is>
      </c>
      <c r="E20" s="3" t="n"/>
      <c r="F20" s="3" t="n"/>
      <c r="G20" s="3" t="n"/>
      <c r="H20" s="3" t="n"/>
      <c r="I20" s="3" t="inlineStr">
        <is>
          <t>PENDENTE</t>
        </is>
      </c>
      <c r="J20" s="3" t="n"/>
    </row>
    <row r="21">
      <c r="A21" s="4" t="n">
        <v>20</v>
      </c>
      <c r="B21" s="4" t="inlineStr">
        <is>
          <t>VGV LANÇADO VERTICAL (R$ MILHÕES)</t>
        </is>
      </c>
      <c r="C21" s="4" t="inlineStr">
        <is>
          <t>SIM</t>
        </is>
      </c>
      <c r="D21" s="4" t="inlineStr">
        <is>
          <t>NUMÉRICO + VISUAL</t>
        </is>
      </c>
      <c r="E21" s="4" t="n"/>
      <c r="F21" s="4" t="n"/>
      <c r="G21" s="4" t="n"/>
      <c r="H21" s="4" t="n"/>
      <c r="I21" s="4" t="inlineStr">
        <is>
          <t>PENDENTE</t>
        </is>
      </c>
      <c r="J21" s="4" t="n"/>
    </row>
    <row r="22">
      <c r="A22" s="3" t="n">
        <v>21</v>
      </c>
      <c r="B22" s="3" t="inlineStr">
        <is>
          <t>VGV LANÇADO VERTICAL POR PADRÃO</t>
        </is>
      </c>
      <c r="C22" s="3" t="inlineStr">
        <is>
          <t>SIM</t>
        </is>
      </c>
      <c r="D22" s="3" t="inlineStr">
        <is>
          <t>NUMÉRICO + VISUAL</t>
        </is>
      </c>
      <c r="E22" s="3" t="n"/>
      <c r="F22" s="3" t="n"/>
      <c r="G22" s="3" t="n"/>
      <c r="H22" s="3" t="n"/>
      <c r="I22" s="3" t="inlineStr">
        <is>
          <t>PENDENTE</t>
        </is>
      </c>
      <c r="J22" s="3" t="n"/>
    </row>
    <row r="23">
      <c r="A23" s="4" t="n">
        <v>22</v>
      </c>
      <c r="B23" s="4" t="inlineStr">
        <is>
          <t>VGV LANÇADO VERTICAL (R$ EM MILHÕES) ACUMULADO 12 MESES</t>
        </is>
      </c>
      <c r="C23" s="4" t="inlineStr">
        <is>
          <t>SIM</t>
        </is>
      </c>
      <c r="D23" s="4" t="inlineStr">
        <is>
          <t>NUMÉRICO + VISUAL</t>
        </is>
      </c>
      <c r="E23" s="4" t="n"/>
      <c r="F23" s="4" t="n"/>
      <c r="G23" s="4" t="n"/>
      <c r="H23" s="4" t="n"/>
      <c r="I23" s="4" t="inlineStr">
        <is>
          <t>PENDENTE</t>
        </is>
      </c>
      <c r="J23" s="4" t="n"/>
    </row>
    <row r="24">
      <c r="A24" s="3" t="n">
        <v>23</v>
      </c>
      <c r="B24" s="3" t="inlineStr">
        <is>
          <t>VENDAS VERTICAIS</t>
        </is>
      </c>
      <c r="C24" s="3" t="inlineStr">
        <is>
          <t>NÃO</t>
        </is>
      </c>
      <c r="D24" s="3" t="inlineStr">
        <is>
          <t>VISUAL / RASTER</t>
        </is>
      </c>
      <c r="E24" s="3" t="n"/>
      <c r="F24" s="3" t="n"/>
      <c r="G24" s="3" t="n"/>
      <c r="H24" s="3" t="n"/>
      <c r="I24" s="3" t="inlineStr">
        <is>
          <t>PENDENTE</t>
        </is>
      </c>
      <c r="J24" s="3" t="n"/>
    </row>
    <row r="25">
      <c r="A25" s="4" t="n">
        <v>24</v>
      </c>
      <c r="B25" s="4" t="inlineStr">
        <is>
          <t>UNIDADES VERTICAIS VENDIDAS POR TRIMESTRE</t>
        </is>
      </c>
      <c r="C25" s="4" t="inlineStr">
        <is>
          <t>SIM</t>
        </is>
      </c>
      <c r="D25" s="4" t="inlineStr">
        <is>
          <t>NUMÉRICO + VISUAL</t>
        </is>
      </c>
      <c r="E25" s="4" t="n"/>
      <c r="F25" s="4" t="n"/>
      <c r="G25" s="4" t="n"/>
      <c r="H25" s="4" t="n"/>
      <c r="I25" s="4" t="inlineStr">
        <is>
          <t>PENDENTE</t>
        </is>
      </c>
      <c r="J25" s="4" t="n"/>
    </row>
    <row r="26">
      <c r="A26" s="3" t="n">
        <v>25</v>
      </c>
      <c r="B26" s="3" t="inlineStr">
        <is>
          <t>UNIDADES VERTICAIS VENDIDAS POR PADRÃO</t>
        </is>
      </c>
      <c r="C26" s="3" t="inlineStr">
        <is>
          <t>SIM</t>
        </is>
      </c>
      <c r="D26" s="3" t="inlineStr">
        <is>
          <t>NUMÉRICO + VISUAL</t>
        </is>
      </c>
      <c r="E26" s="3" t="n"/>
      <c r="F26" s="3" t="n"/>
      <c r="G26" s="3" t="n"/>
      <c r="H26" s="3" t="n"/>
      <c r="I26" s="3" t="inlineStr">
        <is>
          <t>PENDENTE</t>
        </is>
      </c>
      <c r="J26" s="3" t="n"/>
    </row>
    <row r="27">
      <c r="A27" s="4" t="n">
        <v>26</v>
      </c>
      <c r="B27" s="4" t="inlineStr">
        <is>
          <t>UNIDADES VERTICAIS VENDIDAS ACUMULADO 12 MESES</t>
        </is>
      </c>
      <c r="C27" s="4" t="inlineStr">
        <is>
          <t>SIM</t>
        </is>
      </c>
      <c r="D27" s="4" t="inlineStr">
        <is>
          <t>NUMÉRICO + VISUAL</t>
        </is>
      </c>
      <c r="E27" s="4" t="n"/>
      <c r="F27" s="4" t="n"/>
      <c r="G27" s="4" t="n"/>
      <c r="H27" s="4" t="n"/>
      <c r="I27" s="4" t="inlineStr">
        <is>
          <t>PENDENTE</t>
        </is>
      </c>
      <c r="J27" s="4" t="n"/>
    </row>
    <row r="28">
      <c r="A28" s="3" t="n">
        <v>27</v>
      </c>
      <c r="B28" s="3" t="inlineStr">
        <is>
          <t>UNIDADES VERTICAIS VENDIDAS POR TRIMESTRE</t>
        </is>
      </c>
      <c r="C28" s="3" t="inlineStr">
        <is>
          <t>SIM</t>
        </is>
      </c>
      <c r="D28" s="3" t="inlineStr">
        <is>
          <t>NUMÉRICO + VISUAL</t>
        </is>
      </c>
      <c r="E28" s="3" t="n"/>
      <c r="F28" s="3" t="n"/>
      <c r="G28" s="3" t="n"/>
      <c r="H28" s="3" t="n"/>
      <c r="I28" s="3" t="inlineStr">
        <is>
          <t>PENDENTE</t>
        </is>
      </c>
      <c r="J28" s="3" t="n"/>
    </row>
    <row r="29">
      <c r="A29" s="4" t="n">
        <v>28</v>
      </c>
      <c r="B29" s="4" t="inlineStr">
        <is>
          <t>UNIDADES VERTICAIS VENDIDAS ACUMULADO 12 MESES</t>
        </is>
      </c>
      <c r="C29" s="4" t="inlineStr">
        <is>
          <t>SIM</t>
        </is>
      </c>
      <c r="D29" s="4" t="inlineStr">
        <is>
          <t>NUMÉRICO + VISUAL</t>
        </is>
      </c>
      <c r="E29" s="4" t="n"/>
      <c r="F29" s="4" t="n"/>
      <c r="G29" s="4" t="n"/>
      <c r="H29" s="4" t="n"/>
      <c r="I29" s="4" t="inlineStr">
        <is>
          <t>PENDENTE</t>
        </is>
      </c>
      <c r="J29" s="4" t="n"/>
    </row>
    <row r="30">
      <c r="A30" s="3" t="n">
        <v>29</v>
      </c>
      <c r="B30" s="3" t="inlineStr">
        <is>
          <t>UNIDADES VERTICAIS VENDIDAS POR TIPOLOGIA</t>
        </is>
      </c>
      <c r="C30" s="3" t="inlineStr">
        <is>
          <t>SIM</t>
        </is>
      </c>
      <c r="D30" s="3" t="inlineStr">
        <is>
          <t>NUMÉRICO + VISUAL</t>
        </is>
      </c>
      <c r="E30" s="3" t="n"/>
      <c r="F30" s="3" t="n"/>
      <c r="G30" s="3" t="n"/>
      <c r="H30" s="3" t="n"/>
      <c r="I30" s="3" t="inlineStr">
        <is>
          <t>PENDENTE</t>
        </is>
      </c>
      <c r="J30" s="3" t="n"/>
    </row>
    <row r="31">
      <c r="A31" s="4" t="n">
        <v>30</v>
      </c>
      <c r="B31" s="4" t="inlineStr">
        <is>
          <t>UNIDADES VERTICAIS VENDIDAS POR PADRÃO</t>
        </is>
      </c>
      <c r="C31" s="4" t="inlineStr">
        <is>
          <t>SIM</t>
        </is>
      </c>
      <c r="D31" s="4" t="inlineStr">
        <is>
          <t>NUMÉRICO + VISUAL</t>
        </is>
      </c>
      <c r="E31" s="4" t="n"/>
      <c r="F31" s="4" t="n"/>
      <c r="G31" s="4" t="n"/>
      <c r="H31" s="4" t="n"/>
      <c r="I31" s="4" t="inlineStr">
        <is>
          <t>PENDENTE</t>
        </is>
      </c>
      <c r="J31" s="4" t="n"/>
    </row>
    <row r="32">
      <c r="A32" s="3" t="n">
        <v>31</v>
      </c>
      <c r="B32" s="3" t="inlineStr">
        <is>
          <t>UNIDADES VERTICAIS VENDIDAS POR BAIRRO E CIDADE</t>
        </is>
      </c>
      <c r="C32" s="3" t="inlineStr">
        <is>
          <t>SIM</t>
        </is>
      </c>
      <c r="D32" s="3" t="inlineStr">
        <is>
          <t>NUMÉRICO + VISUAL</t>
        </is>
      </c>
      <c r="E32" s="3" t="n"/>
      <c r="F32" s="3" t="n"/>
      <c r="G32" s="3" t="n"/>
      <c r="H32" s="3" t="n"/>
      <c r="I32" s="3" t="inlineStr">
        <is>
          <t>PENDENTE</t>
        </is>
      </c>
      <c r="J32" s="3" t="n"/>
    </row>
    <row r="33">
      <c r="A33" s="4" t="n">
        <v>32</v>
      </c>
      <c r="B33" s="4" t="inlineStr">
        <is>
          <t>VGV VENDIDO VERTICAL (R$ MILHÕES)</t>
        </is>
      </c>
      <c r="C33" s="4" t="inlineStr">
        <is>
          <t>SIM</t>
        </is>
      </c>
      <c r="D33" s="4" t="inlineStr">
        <is>
          <t>NUMÉRICO + VISUAL</t>
        </is>
      </c>
      <c r="E33" s="4" t="n"/>
      <c r="F33" s="4" t="n"/>
      <c r="G33" s="4" t="n"/>
      <c r="H33" s="4" t="n"/>
      <c r="I33" s="4" t="inlineStr">
        <is>
          <t>PENDENTE</t>
        </is>
      </c>
      <c r="J33" s="4" t="n"/>
    </row>
    <row r="34">
      <c r="A34" s="3" t="n">
        <v>33</v>
      </c>
      <c r="B34" s="3" t="inlineStr">
        <is>
          <t>VGV VENDIDO VERTICAL ACUMULADO 12 MESES</t>
        </is>
      </c>
      <c r="C34" s="3" t="inlineStr">
        <is>
          <t>SIM</t>
        </is>
      </c>
      <c r="D34" s="3" t="inlineStr">
        <is>
          <t>NUMÉRICO + VISUAL</t>
        </is>
      </c>
      <c r="E34" s="3" t="n"/>
      <c r="F34" s="3" t="n"/>
      <c r="G34" s="3" t="n"/>
      <c r="H34" s="3" t="n"/>
      <c r="I34" s="3" t="inlineStr">
        <is>
          <t>PENDENTE</t>
        </is>
      </c>
      <c r="J34" s="3" t="n"/>
    </row>
    <row r="35">
      <c r="A35" s="4" t="n">
        <v>34</v>
      </c>
      <c r="B35" s="4" t="inlineStr">
        <is>
          <t>OFERTA</t>
        </is>
      </c>
      <c r="C35" s="4" t="inlineStr">
        <is>
          <t>NÃO</t>
        </is>
      </c>
      <c r="D35" s="4" t="inlineStr">
        <is>
          <t>VISUAL / RASTER</t>
        </is>
      </c>
      <c r="E35" s="4" t="n"/>
      <c r="F35" s="4" t="n"/>
      <c r="G35" s="4" t="n"/>
      <c r="H35" s="4" t="n"/>
      <c r="I35" s="4" t="inlineStr">
        <is>
          <t>PENDENTE</t>
        </is>
      </c>
      <c r="J35" s="4" t="n"/>
    </row>
    <row r="36">
      <c r="A36" s="3" t="n">
        <v>35</v>
      </c>
      <c r="B36" s="3" t="inlineStr">
        <is>
          <t>OFERTA FINAL VERTICAL POR TRIMESTRE</t>
        </is>
      </c>
      <c r="C36" s="3" t="inlineStr">
        <is>
          <t>SIM</t>
        </is>
      </c>
      <c r="D36" s="3" t="inlineStr">
        <is>
          <t>NUMÉRICO + VISUAL</t>
        </is>
      </c>
      <c r="E36" s="3" t="n"/>
      <c r="F36" s="3" t="n"/>
      <c r="G36" s="3" t="n"/>
      <c r="H36" s="3" t="n"/>
      <c r="I36" s="3" t="inlineStr">
        <is>
          <t>PENDENTE</t>
        </is>
      </c>
      <c r="J36" s="3" t="n"/>
    </row>
    <row r="37">
      <c r="A37" s="4" t="n">
        <v>36</v>
      </c>
      <c r="B37" s="4" t="inlineStr">
        <is>
          <t>OFERTA FINAL POR TIPOLOGIA</t>
        </is>
      </c>
      <c r="C37" s="4" t="inlineStr">
        <is>
          <t>SIM</t>
        </is>
      </c>
      <c r="D37" s="4" t="inlineStr">
        <is>
          <t>NUMÉRICO + VISUAL</t>
        </is>
      </c>
      <c r="E37" s="4" t="n"/>
      <c r="F37" s="4" t="n"/>
      <c r="G37" s="4" t="n"/>
      <c r="H37" s="4" t="n"/>
      <c r="I37" s="4" t="inlineStr">
        <is>
          <t>PENDENTE</t>
        </is>
      </c>
      <c r="J37" s="4" t="n"/>
    </row>
    <row r="38">
      <c r="A38" s="3" t="n">
        <v>37</v>
      </c>
      <c r="B38" s="3" t="inlineStr">
        <is>
          <t>OFERTA FINAL POR PADRÃO</t>
        </is>
      </c>
      <c r="C38" s="3" t="inlineStr">
        <is>
          <t>SIM</t>
        </is>
      </c>
      <c r="D38" s="3" t="inlineStr">
        <is>
          <t>NUMÉRICO + VISUAL</t>
        </is>
      </c>
      <c r="E38" s="3" t="n"/>
      <c r="F38" s="3" t="n"/>
      <c r="G38" s="3" t="n"/>
      <c r="H38" s="3" t="n"/>
      <c r="I38" s="3" t="inlineStr">
        <is>
          <t>PENDENTE</t>
        </is>
      </c>
      <c r="J38" s="3" t="n"/>
    </row>
    <row r="39">
      <c r="A39" s="4" t="n">
        <v>38</v>
      </c>
      <c r="B39" s="4" t="inlineStr">
        <is>
          <t>VSO / IVV</t>
        </is>
      </c>
      <c r="C39" s="4" t="inlineStr">
        <is>
          <t>NÃO</t>
        </is>
      </c>
      <c r="D39" s="4" t="inlineStr">
        <is>
          <t>VISUAL / RASTER</t>
        </is>
      </c>
      <c r="E39" s="4" t="n"/>
      <c r="F39" s="4" t="n"/>
      <c r="G39" s="4" t="n"/>
      <c r="H39" s="4" t="n"/>
      <c r="I39" s="4" t="inlineStr">
        <is>
          <t>PENDENTE</t>
        </is>
      </c>
      <c r="J39" s="4" t="n"/>
    </row>
    <row r="40">
      <c r="A40" s="3" t="n">
        <v>39</v>
      </c>
      <c r="B40" s="3" t="inlineStr">
        <is>
          <t>IVV (%) POR TRIMESTRE</t>
        </is>
      </c>
      <c r="C40" s="3" t="inlineStr">
        <is>
          <t>SIM</t>
        </is>
      </c>
      <c r="D40" s="3" t="inlineStr">
        <is>
          <t>NUMÉRICO + VISUAL</t>
        </is>
      </c>
      <c r="E40" s="3" t="n"/>
      <c r="F40" s="3" t="n"/>
      <c r="G40" s="3" t="n"/>
      <c r="H40" s="3" t="n"/>
      <c r="I40" s="3" t="inlineStr">
        <is>
          <t>PENDENTE</t>
        </is>
      </c>
      <c r="J40" s="3" t="n"/>
    </row>
    <row r="41">
      <c r="A41" s="4" t="n">
        <v>40</v>
      </c>
      <c r="B41" s="4" t="inlineStr">
        <is>
          <t>IVV POR ÁREA ÚTIL EM M² VERTICAL ÚLTIMO TRIMESTRE</t>
        </is>
      </c>
      <c r="C41" s="4" t="inlineStr">
        <is>
          <t>NÃO</t>
        </is>
      </c>
      <c r="D41" s="4" t="inlineStr">
        <is>
          <t>VISUAL / RASTER</t>
        </is>
      </c>
      <c r="E41" s="4" t="n"/>
      <c r="F41" s="4" t="n"/>
      <c r="G41" s="4" t="n"/>
      <c r="H41" s="4" t="n"/>
      <c r="I41" s="4" t="inlineStr">
        <is>
          <t>PENDENTE</t>
        </is>
      </c>
      <c r="J41" s="4" t="n"/>
    </row>
    <row r="42">
      <c r="A42" s="3" t="n">
        <v>41</v>
      </c>
      <c r="B42" s="3" t="inlineStr">
        <is>
          <t>IVV POR ÁREA ÚTIL EM M² VERTICAL ÚLTIMO ANO</t>
        </is>
      </c>
      <c r="C42" s="3" t="inlineStr">
        <is>
          <t>NÃO</t>
        </is>
      </c>
      <c r="D42" s="3" t="inlineStr">
        <is>
          <t>VISUAL / RASTER</t>
        </is>
      </c>
      <c r="E42" s="3" t="n"/>
      <c r="F42" s="3" t="n"/>
      <c r="G42" s="3" t="n"/>
      <c r="H42" s="3" t="n"/>
      <c r="I42" s="3" t="inlineStr">
        <is>
          <t>PENDENTE</t>
        </is>
      </c>
      <c r="J42" s="3" t="n"/>
    </row>
    <row r="43">
      <c r="A43" s="4" t="n">
        <v>42</v>
      </c>
      <c r="B43" s="4" t="inlineStr">
        <is>
          <t>EVOLUÇÃO DOS PREÇOS</t>
        </is>
      </c>
      <c r="C43" s="4" t="inlineStr">
        <is>
          <t>NÃO</t>
        </is>
      </c>
      <c r="D43" s="4" t="inlineStr">
        <is>
          <t>VISUAL / RASTER</t>
        </is>
      </c>
      <c r="E43" s="4" t="n"/>
      <c r="F43" s="4" t="n"/>
      <c r="G43" s="4" t="n"/>
      <c r="H43" s="4" t="n"/>
      <c r="I43" s="4" t="inlineStr">
        <is>
          <t>PENDENTE</t>
        </is>
      </c>
      <c r="J43" s="4" t="n"/>
    </row>
    <row r="44">
      <c r="A44" s="3" t="n">
        <v>43</v>
      </c>
      <c r="B44" s="3" t="inlineStr">
        <is>
          <t>EVOLUÇÃO DOS PREÇOS R$/M² VERTICAL</t>
        </is>
      </c>
      <c r="C44" s="3" t="inlineStr">
        <is>
          <t>SIM</t>
        </is>
      </c>
      <c r="D44" s="3" t="inlineStr">
        <is>
          <t>NUMÉRICO + VISUAL</t>
        </is>
      </c>
      <c r="E44" s="3" t="n"/>
      <c r="F44" s="3" t="n"/>
      <c r="G44" s="3" t="n"/>
      <c r="H44" s="3" t="n"/>
      <c r="I44" s="3" t="inlineStr">
        <is>
          <t>PENDENTE</t>
        </is>
      </c>
      <c r="J44" s="3" t="n"/>
    </row>
    <row r="45">
      <c r="A45" s="4" t="n">
        <v>44</v>
      </c>
      <c r="B45" s="4" t="inlineStr">
        <is>
          <t>1 DORMITÓRIO</t>
        </is>
      </c>
      <c r="C45" s="4" t="inlineStr">
        <is>
          <t>SIM</t>
        </is>
      </c>
      <c r="D45" s="4" t="inlineStr">
        <is>
          <t>NUMÉRICO + VISUAL</t>
        </is>
      </c>
      <c r="E45" s="4" t="n"/>
      <c r="F45" s="4" t="n"/>
      <c r="G45" s="4" t="n"/>
      <c r="H45" s="4" t="n"/>
      <c r="I45" s="4" t="inlineStr">
        <is>
          <t>PENDENTE</t>
        </is>
      </c>
      <c r="J45" s="4" t="n"/>
    </row>
    <row r="46">
      <c r="A46" s="3" t="n">
        <v>45</v>
      </c>
      <c r="B46" s="3" t="inlineStr">
        <is>
          <t>2 DORMITÓRIOS</t>
        </is>
      </c>
      <c r="C46" s="3" t="inlineStr">
        <is>
          <t>SIM</t>
        </is>
      </c>
      <c r="D46" s="3" t="inlineStr">
        <is>
          <t>NUMÉRICO + VISUAL</t>
        </is>
      </c>
      <c r="E46" s="3" t="n"/>
      <c r="F46" s="3" t="n"/>
      <c r="G46" s="3" t="n"/>
      <c r="H46" s="3" t="n"/>
      <c r="I46" s="3" t="inlineStr">
        <is>
          <t>PENDENTE</t>
        </is>
      </c>
      <c r="J46" s="3" t="n"/>
    </row>
    <row r="47">
      <c r="A47" s="4" t="n">
        <v>46</v>
      </c>
      <c r="B47" s="4" t="inlineStr">
        <is>
          <t>3 DORMITÓRIOS</t>
        </is>
      </c>
      <c r="C47" s="4" t="inlineStr">
        <is>
          <t>SIM</t>
        </is>
      </c>
      <c r="D47" s="4" t="inlineStr">
        <is>
          <t>NUMÉRICO + VISUAL</t>
        </is>
      </c>
      <c r="E47" s="4" t="n"/>
      <c r="F47" s="4" t="n"/>
      <c r="G47" s="4" t="n"/>
      <c r="H47" s="4" t="n"/>
      <c r="I47" s="4" t="inlineStr">
        <is>
          <t>PENDENTE</t>
        </is>
      </c>
      <c r="J47" s="4" t="n"/>
    </row>
    <row r="48">
      <c r="A48" s="3" t="n">
        <v>47</v>
      </c>
      <c r="B48" s="3" t="inlineStr">
        <is>
          <t>4 DORMITÓRIOS</t>
        </is>
      </c>
      <c r="C48" s="3" t="inlineStr">
        <is>
          <t>SIM</t>
        </is>
      </c>
      <c r="D48" s="3" t="inlineStr">
        <is>
          <t>NUMÉRICO + VISUAL</t>
        </is>
      </c>
      <c r="E48" s="3" t="n"/>
      <c r="F48" s="3" t="n"/>
      <c r="G48" s="3" t="n"/>
      <c r="H48" s="3" t="n"/>
      <c r="I48" s="3" t="inlineStr">
        <is>
          <t>PENDENTE</t>
        </is>
      </c>
      <c r="J48" s="3" t="n"/>
    </row>
    <row r="49">
      <c r="A49" s="4" t="n">
        <v>48</v>
      </c>
      <c r="B49" s="4" t="inlineStr">
        <is>
          <t>PREÇOS POR TIPOLOGIA E PADRÃO</t>
        </is>
      </c>
      <c r="C49" s="4" t="inlineStr">
        <is>
          <t>NÃO</t>
        </is>
      </c>
      <c r="D49" s="4" t="inlineStr">
        <is>
          <t>VISUAL / RASTER</t>
        </is>
      </c>
      <c r="E49" s="4" t="n"/>
      <c r="F49" s="4" t="n"/>
      <c r="G49" s="4" t="n"/>
      <c r="H49" s="4" t="n"/>
      <c r="I49" s="4" t="inlineStr">
        <is>
          <t>PENDENTE</t>
        </is>
      </c>
      <c r="J49" s="4" t="n"/>
    </row>
    <row r="50">
      <c r="A50" s="3" t="n">
        <v>49</v>
      </c>
      <c r="B50" s="3" t="inlineStr">
        <is>
          <t>TICKET MÉDIO (R$ Mil) POR PADRÃO RESIDENCIAL</t>
        </is>
      </c>
      <c r="C50" s="3" t="inlineStr">
        <is>
          <t>SIM</t>
        </is>
      </c>
      <c r="D50" s="3" t="inlineStr">
        <is>
          <t>NUMÉRICO + VISUAL</t>
        </is>
      </c>
      <c r="E50" s="3" t="n"/>
      <c r="F50" s="3" t="n"/>
      <c r="G50" s="3" t="n"/>
      <c r="H50" s="3" t="n"/>
      <c r="I50" s="3" t="inlineStr">
        <is>
          <t>PENDENTE</t>
        </is>
      </c>
      <c r="J50" s="3" t="n"/>
    </row>
    <row r="51">
      <c r="A51" s="4" t="n">
        <v>50</v>
      </c>
      <c r="B51" s="4" t="inlineStr">
        <is>
          <t>PREÇO MÉDIO M²/PRIVATIVO POR PADRÃO RESIDENCIAL</t>
        </is>
      </c>
      <c r="C51" s="4" t="inlineStr">
        <is>
          <t>SIM</t>
        </is>
      </c>
      <c r="D51" s="4" t="inlineStr">
        <is>
          <t>NUMÉRICO + VISUAL</t>
        </is>
      </c>
      <c r="E51" s="4" t="n"/>
      <c r="F51" s="4" t="n"/>
      <c r="G51" s="4" t="n"/>
      <c r="H51" s="4" t="n"/>
      <c r="I51" s="4" t="inlineStr">
        <is>
          <t>PENDENTE</t>
        </is>
      </c>
      <c r="J51" s="4" t="n"/>
    </row>
    <row r="52">
      <c r="A52" s="3" t="n">
        <v>51</v>
      </c>
      <c r="B52" s="3" t="inlineStr">
        <is>
          <t>TICKET MÉDIO (R$) POR TIPOLOGIA RESIDENCIAL</t>
        </is>
      </c>
      <c r="C52" s="3" t="inlineStr">
        <is>
          <t>SIM</t>
        </is>
      </c>
      <c r="D52" s="3" t="inlineStr">
        <is>
          <t>NUMÉRICO + VISUAL</t>
        </is>
      </c>
      <c r="E52" s="3" t="n"/>
      <c r="F52" s="3" t="n"/>
      <c r="G52" s="3" t="n"/>
      <c r="H52" s="3" t="n"/>
      <c r="I52" s="3" t="inlineStr">
        <is>
          <t>PENDENTE</t>
        </is>
      </c>
      <c r="J52" s="3" t="n"/>
    </row>
    <row r="53">
      <c r="A53" s="4" t="n">
        <v>52</v>
      </c>
      <c r="B53" s="4" t="inlineStr">
        <is>
          <t>PREÇO MÉDIO M²/PRIVATIVO POR TIPOLOGIA RESIDENCIAL</t>
        </is>
      </c>
      <c r="C53" s="4" t="inlineStr">
        <is>
          <t>SIM</t>
        </is>
      </c>
      <c r="D53" s="4" t="inlineStr">
        <is>
          <t>NUMÉRICO + VISUAL</t>
        </is>
      </c>
      <c r="E53" s="4" t="n"/>
      <c r="F53" s="4" t="n"/>
      <c r="G53" s="4" t="n"/>
      <c r="H53" s="4" t="n"/>
      <c r="I53" s="4" t="inlineStr">
        <is>
          <t>PENDENTE</t>
        </is>
      </c>
      <c r="J53" s="4" t="n"/>
    </row>
    <row r="54">
      <c r="A54" s="3" t="n">
        <v>53</v>
      </c>
      <c r="B54" s="3" t="inlineStr">
        <is>
          <t>ESTADO ATUAL DO MERCADO RESIDENCIAL VERTICAL</t>
        </is>
      </c>
      <c r="C54" s="3" t="inlineStr">
        <is>
          <t>NÃO</t>
        </is>
      </c>
      <c r="D54" s="3" t="inlineStr">
        <is>
          <t>VISUAL / RASTER</t>
        </is>
      </c>
      <c r="E54" s="3" t="n"/>
      <c r="F54" s="3" t="n"/>
      <c r="G54" s="3" t="n"/>
      <c r="H54" s="3" t="n"/>
      <c r="I54" s="3" t="inlineStr">
        <is>
          <t>PENDENTE</t>
        </is>
      </c>
      <c r="J54" s="3" t="n"/>
    </row>
    <row r="55">
      <c r="A55" s="4" t="n">
        <v>54</v>
      </c>
      <c r="B55" s="4" t="inlineStr">
        <is>
          <t>OFERTA FINAL POR ANO DE LANÇAMENTO</t>
        </is>
      </c>
      <c r="C55" s="4" t="inlineStr">
        <is>
          <t>SIM</t>
        </is>
      </c>
      <c r="D55" s="4" t="inlineStr">
        <is>
          <t>NUMÉRICO + VISUAL</t>
        </is>
      </c>
      <c r="E55" s="4" t="n"/>
      <c r="F55" s="4" t="n"/>
      <c r="G55" s="4" t="n"/>
      <c r="H55" s="4" t="n"/>
      <c r="I55" s="4" t="inlineStr">
        <is>
          <t>PENDENTE</t>
        </is>
      </c>
      <c r="J55" s="4" t="n"/>
    </row>
    <row r="56">
      <c r="A56" s="3" t="n">
        <v>55</v>
      </c>
      <c r="B56" s="3" t="inlineStr">
        <is>
          <t>OFERTA FINAL POR PADRÃO</t>
        </is>
      </c>
      <c r="C56" s="3" t="inlineStr">
        <is>
          <t>SIM</t>
        </is>
      </c>
      <c r="D56" s="3" t="inlineStr">
        <is>
          <t>NUMÉRICO + VISUAL</t>
        </is>
      </c>
      <c r="E56" s="3" t="n"/>
      <c r="F56" s="3" t="n"/>
      <c r="G56" s="3" t="n"/>
      <c r="H56" s="3" t="n"/>
      <c r="I56" s="3" t="inlineStr">
        <is>
          <t>PENDENTE</t>
        </is>
      </c>
      <c r="J56" s="3" t="n"/>
    </row>
    <row r="57">
      <c r="A57" s="4" t="n">
        <v>56</v>
      </c>
      <c r="B57" s="4" t="inlineStr">
        <is>
          <t>OFERTA FINAL POR TIPOLOGIA</t>
        </is>
      </c>
      <c r="C57" s="4" t="inlineStr">
        <is>
          <t>SIM</t>
        </is>
      </c>
      <c r="D57" s="4" t="inlineStr">
        <is>
          <t>NUMÉRICO + VISUAL</t>
        </is>
      </c>
      <c r="E57" s="4" t="n"/>
      <c r="F57" s="4" t="n"/>
      <c r="G57" s="4" t="n"/>
      <c r="H57" s="4" t="n"/>
      <c r="I57" s="4" t="inlineStr">
        <is>
          <t>PENDENTE</t>
        </is>
      </c>
      <c r="J57" s="4" t="n"/>
    </row>
    <row r="58">
      <c r="A58" s="3" t="n">
        <v>57</v>
      </c>
      <c r="B58" s="3" t="inlineStr">
        <is>
          <t>OFERTA FINAL POR TIPOLOGIA E METRAGEM</t>
        </is>
      </c>
      <c r="C58" s="3" t="inlineStr">
        <is>
          <t>SIM</t>
        </is>
      </c>
      <c r="D58" s="3" t="inlineStr">
        <is>
          <t>NUMÉRICO + VISUAL</t>
        </is>
      </c>
      <c r="E58" s="3" t="n"/>
      <c r="F58" s="3" t="n"/>
      <c r="G58" s="3" t="n"/>
      <c r="H58" s="3" t="n"/>
      <c r="I58" s="3" t="inlineStr">
        <is>
          <t>PENDENTE</t>
        </is>
      </c>
      <c r="J58" s="3" t="n"/>
    </row>
    <row r="59">
      <c r="A59" s="4" t="n">
        <v>58</v>
      </c>
      <c r="B59" s="4" t="inlineStr">
        <is>
          <t>MÍNIMO, MÉDIA E MÁXIMO DO PREÇO POR TIPOLOGIA RM DE PORTO ALEGRE</t>
        </is>
      </c>
      <c r="C59" s="4" t="inlineStr">
        <is>
          <t>SIM</t>
        </is>
      </c>
      <c r="D59" s="4" t="inlineStr">
        <is>
          <t>NUMÉRICO + VISUAL</t>
        </is>
      </c>
      <c r="E59" s="4" t="n"/>
      <c r="F59" s="4" t="n"/>
      <c r="G59" s="4" t="n"/>
      <c r="H59" s="4" t="n"/>
      <c r="I59" s="4" t="inlineStr">
        <is>
          <t>PENDENTE</t>
        </is>
      </c>
      <c r="J59" s="4" t="n"/>
    </row>
    <row r="60">
      <c r="A60" s="3" t="n">
        <v>59</v>
      </c>
      <c r="B60" s="3" t="inlineStr">
        <is>
          <t>TEMPO MÉDIO DA OFERTA LANÇADA E FINAL POR TIPOLOGIA RM DE PORTO ALEGRE</t>
        </is>
      </c>
      <c r="C60" s="3" t="inlineStr">
        <is>
          <t>SIM</t>
        </is>
      </c>
      <c r="D60" s="3" t="inlineStr">
        <is>
          <t>NUMÉRICO + VISUAL</t>
        </is>
      </c>
      <c r="E60" s="3" t="n"/>
      <c r="F60" s="3" t="n"/>
      <c r="G60" s="3" t="n"/>
      <c r="H60" s="3" t="n"/>
      <c r="I60" s="3" t="inlineStr">
        <is>
          <t>PENDENTE</t>
        </is>
      </c>
      <c r="J60" s="3" t="n"/>
    </row>
    <row r="61">
      <c r="A61" s="4" t="n">
        <v>60</v>
      </c>
      <c r="B61" s="4" t="inlineStr">
        <is>
          <t>TEMPO MÉDIO DA OFERTA LANÇADA FINAL POR PADRÃO RM DE PORTO ALEGRE</t>
        </is>
      </c>
      <c r="C61" s="4" t="inlineStr">
        <is>
          <t>SIM</t>
        </is>
      </c>
      <c r="D61" s="4" t="inlineStr">
        <is>
          <t>NUMÉRICO + VISUAL</t>
        </is>
      </c>
      <c r="E61" s="4" t="n"/>
      <c r="F61" s="4" t="n"/>
      <c r="G61" s="4" t="n"/>
      <c r="H61" s="4" t="n"/>
      <c r="I61" s="4" t="inlineStr">
        <is>
          <t>PENDENTE</t>
        </is>
      </c>
      <c r="J61" s="4" t="n"/>
    </row>
    <row r="62">
      <c r="A62" s="3" t="n">
        <v>61</v>
      </c>
      <c r="B62" s="3" t="inlineStr">
        <is>
          <t>VGV OFERTADO E DISPONÍVEL POR PADRÃO RM DE PORTO ALEGRE</t>
        </is>
      </c>
      <c r="C62" s="3" t="inlineStr">
        <is>
          <t>SIM</t>
        </is>
      </c>
      <c r="D62" s="3" t="inlineStr">
        <is>
          <t>NUMÉRICO + VISUAL</t>
        </is>
      </c>
      <c r="E62" s="3" t="n"/>
      <c r="F62" s="3" t="n"/>
      <c r="G62" s="3" t="n"/>
      <c r="H62" s="3" t="n"/>
      <c r="I62" s="3" t="inlineStr">
        <is>
          <t>PENDENTE</t>
        </is>
      </c>
      <c r="J62" s="3" t="n"/>
    </row>
    <row r="63">
      <c r="A63" s="4" t="n">
        <v>62</v>
      </c>
      <c r="B63" s="4" t="inlineStr">
        <is>
          <t>ESTADO ATUAL DO MERCADO RESIDENCIAL HORIZONTAL</t>
        </is>
      </c>
      <c r="C63" s="4" t="inlineStr">
        <is>
          <t>NÃO</t>
        </is>
      </c>
      <c r="D63" s="4" t="inlineStr">
        <is>
          <t>VISUAL / RASTER</t>
        </is>
      </c>
      <c r="E63" s="4" t="n"/>
      <c r="F63" s="4" t="n"/>
      <c r="G63" s="4" t="n"/>
      <c r="H63" s="4" t="n"/>
      <c r="I63" s="4" t="inlineStr">
        <is>
          <t>PENDENTE</t>
        </is>
      </c>
      <c r="J63" s="4" t="n"/>
    </row>
    <row r="64">
      <c r="A64" s="3" t="n">
        <v>63</v>
      </c>
      <c r="B64" s="3" t="inlineStr">
        <is>
          <t>OFERTA LANÇADA E FINAL POR TIPO</t>
        </is>
      </c>
      <c r="C64" s="3" t="inlineStr">
        <is>
          <t>NÃO</t>
        </is>
      </c>
      <c r="D64" s="3" t="inlineStr">
        <is>
          <t>VISUAL / RASTER</t>
        </is>
      </c>
      <c r="E64" s="3" t="n"/>
      <c r="F64" s="3" t="n"/>
      <c r="G64" s="3" t="n"/>
      <c r="H64" s="3" t="n"/>
      <c r="I64" s="3" t="inlineStr">
        <is>
          <t>PENDENTE</t>
        </is>
      </c>
      <c r="J64" s="3" t="n"/>
    </row>
    <row r="65">
      <c r="A65" s="4" t="n">
        <v>64</v>
      </c>
      <c r="B65" s="4" t="inlineStr">
        <is>
          <t>OFERTA FINAL POR ANO DE LANÇAMENTO</t>
        </is>
      </c>
      <c r="C65" s="4" t="inlineStr">
        <is>
          <t>NÃO</t>
        </is>
      </c>
      <c r="D65" s="4" t="inlineStr">
        <is>
          <t>VISUAL / RASTER</t>
        </is>
      </c>
      <c r="E65" s="4" t="n"/>
      <c r="F65" s="4" t="n"/>
      <c r="G65" s="4" t="n"/>
      <c r="H65" s="4" t="n"/>
      <c r="I65" s="4" t="inlineStr">
        <is>
          <t>PENDENTE</t>
        </is>
      </c>
      <c r="J65" s="4" t="n"/>
    </row>
    <row r="66">
      <c r="A66" s="3" t="n">
        <v>65</v>
      </c>
      <c r="B66" s="3" t="inlineStr">
        <is>
          <t>PREÇO MÉDIO POR TIPO</t>
        </is>
      </c>
      <c r="C66" s="3" t="inlineStr">
        <is>
          <t>NÃO</t>
        </is>
      </c>
      <c r="D66" s="3" t="inlineStr">
        <is>
          <t>VISUAL / RASTER</t>
        </is>
      </c>
      <c r="E66" s="3" t="n"/>
      <c r="F66" s="3" t="n"/>
      <c r="G66" s="3" t="n"/>
      <c r="H66" s="3" t="n"/>
      <c r="I66" s="3" t="inlineStr">
        <is>
          <t>PENDENTE</t>
        </is>
      </c>
      <c r="J66" s="3" t="n"/>
    </row>
    <row r="67">
      <c r="A67" s="4" t="n">
        <v>66</v>
      </c>
      <c r="B67" s="4" t="inlineStr">
        <is>
          <t>MINÍMO, MÉDIA E MÁXIMA</t>
        </is>
      </c>
      <c r="C67" s="4" t="inlineStr">
        <is>
          <t>NÃO</t>
        </is>
      </c>
      <c r="D67" s="4" t="inlineStr">
        <is>
          <t>VISUAL / RASTER</t>
        </is>
      </c>
      <c r="E67" s="4" t="n"/>
      <c r="F67" s="4" t="n"/>
      <c r="G67" s="4" t="n"/>
      <c r="H67" s="4" t="n"/>
      <c r="I67" s="4" t="inlineStr">
        <is>
          <t>PENDENTE</t>
        </is>
      </c>
      <c r="J67" s="4" t="n"/>
    </row>
    <row r="68">
      <c r="A68" s="3" t="n">
        <v>67</v>
      </c>
      <c r="B68" s="3" t="inlineStr">
        <is>
          <t>MAPA DE LOCALIZAÇÃO POR PADRÃO</t>
        </is>
      </c>
      <c r="C68" s="3" t="inlineStr">
        <is>
          <t>SIM</t>
        </is>
      </c>
      <c r="D68" s="3" t="inlineStr">
        <is>
          <t>NUMÉRICO + VISUAL</t>
        </is>
      </c>
      <c r="E68" s="3" t="n"/>
      <c r="F68" s="3" t="n"/>
      <c r="G68" s="3" t="n"/>
      <c r="H68" s="3" t="n"/>
      <c r="I68" s="3" t="inlineStr">
        <is>
          <t>PENDENTE</t>
        </is>
      </c>
      <c r="J68" s="3" t="n"/>
    </row>
    <row r="69">
      <c r="A69" s="4" t="n">
        <v>68</v>
      </c>
      <c r="B69" s="4" t="inlineStr">
        <is>
          <t>MAPA DE LOCALIZAÇÃO POR ESTOQUE</t>
        </is>
      </c>
      <c r="C69" s="4" t="inlineStr">
        <is>
          <t>SIM</t>
        </is>
      </c>
      <c r="D69" s="4" t="inlineStr">
        <is>
          <t>NUMÉRICO + VISUAL</t>
        </is>
      </c>
      <c r="E69" s="4" t="n"/>
      <c r="F69" s="4" t="n"/>
      <c r="G69" s="4" t="n"/>
      <c r="H69" s="4" t="n"/>
      <c r="I69" s="4" t="inlineStr">
        <is>
          <t>PENDENTE</t>
        </is>
      </c>
      <c r="J69" s="4" t="n"/>
    </row>
    <row r="70">
      <c r="A70" s="3" t="n">
        <v>69</v>
      </c>
      <c r="B70" s="3" t="inlineStr">
        <is>
          <t>MAPA DE LOCALIZAÇÃO POR R$/M²</t>
        </is>
      </c>
      <c r="C70" s="3" t="inlineStr">
        <is>
          <t>SIM</t>
        </is>
      </c>
      <c r="D70" s="3" t="inlineStr">
        <is>
          <t>NUMÉRICO + VISUAL</t>
        </is>
      </c>
      <c r="E70" s="3" t="n"/>
      <c r="F70" s="3" t="n"/>
      <c r="G70" s="3" t="n"/>
      <c r="H70" s="3" t="n"/>
      <c r="I70" s="3" t="inlineStr">
        <is>
          <t>PENDENTE</t>
        </is>
      </c>
      <c r="J70" s="3" t="n"/>
    </row>
    <row r="71">
      <c r="A71" s="4" t="n">
        <v>70</v>
      </c>
      <c r="B71" s="4" t="inlineStr">
        <is>
          <t>CONSULTORES DO ESTUDO</t>
        </is>
      </c>
      <c r="C71" s="4" t="inlineStr">
        <is>
          <t>NÃO</t>
        </is>
      </c>
      <c r="D71" s="4" t="inlineStr">
        <is>
          <t>VISUAL / RASTER</t>
        </is>
      </c>
      <c r="E71" s="4" t="n"/>
      <c r="F71" s="4" t="n"/>
      <c r="G71" s="4" t="n"/>
      <c r="H71" s="4" t="n"/>
      <c r="I71" s="4" t="inlineStr">
        <is>
          <t>PENDENTE</t>
        </is>
      </c>
      <c r="J71" s="4" t="n"/>
    </row>
    <row r="72">
      <c r="A72" s="3" t="n">
        <v>71</v>
      </c>
      <c r="B72" s="3" t="inlineStr">
        <is>
          <t>EQUIPE TÉCNICA</t>
        </is>
      </c>
      <c r="C72" s="3" t="inlineStr">
        <is>
          <t>NÃO</t>
        </is>
      </c>
      <c r="D72" s="3" t="inlineStr">
        <is>
          <t>VISUAL / RASTER</t>
        </is>
      </c>
      <c r="E72" s="3" t="n"/>
      <c r="F72" s="3" t="n"/>
      <c r="G72" s="3" t="n"/>
      <c r="H72" s="3" t="n"/>
      <c r="I72" s="3" t="inlineStr">
        <is>
          <t>PENDENTE</t>
        </is>
      </c>
      <c r="J72" s="3" t="n"/>
    </row>
    <row r="73">
      <c r="A73" s="4" t="n">
        <v>72</v>
      </c>
      <c r="B73" s="4" t="inlineStr">
        <is>
          <t>Slide 72</t>
        </is>
      </c>
      <c r="C73" s="4" t="inlineStr">
        <is>
          <t>NÃO</t>
        </is>
      </c>
      <c r="D73" s="4" t="inlineStr">
        <is>
          <t>VISUAL / RASTER</t>
        </is>
      </c>
      <c r="E73" s="4" t="n"/>
      <c r="F73" s="4" t="n"/>
      <c r="G73" s="4" t="n"/>
      <c r="H73" s="4" t="n"/>
      <c r="I73" s="4" t="inlineStr">
        <is>
          <t>PENDENTE</t>
        </is>
      </c>
      <c r="J73" s="4" t="n"/>
    </row>
    <row r="74">
      <c r="A74" s="3" t="n">
        <v>73</v>
      </c>
      <c r="B74" s="3" t="inlineStr">
        <is>
          <t>Slide 73</t>
        </is>
      </c>
      <c r="C74" s="3" t="inlineStr">
        <is>
          <t>NÃO</t>
        </is>
      </c>
      <c r="D74" s="3" t="inlineStr">
        <is>
          <t>VISUAL / RASTER</t>
        </is>
      </c>
      <c r="E74" s="3" t="n"/>
      <c r="F74" s="3" t="n"/>
      <c r="G74" s="3" t="n"/>
      <c r="H74" s="3" t="n"/>
      <c r="I74" s="3" t="inlineStr">
        <is>
          <t>PENDENTE</t>
        </is>
      </c>
      <c r="J74" s="3" t="n"/>
    </row>
    <row r="75">
      <c r="A75" s="4" t="n">
        <v>74</v>
      </c>
      <c r="B75" s="4" t="inlineStr">
        <is>
          <t>Slide 74</t>
        </is>
      </c>
      <c r="C75" s="4" t="inlineStr">
        <is>
          <t>NÃO</t>
        </is>
      </c>
      <c r="D75" s="4" t="inlineStr">
        <is>
          <t>VISUAL / RASTER</t>
        </is>
      </c>
      <c r="E75" s="4" t="n"/>
      <c r="F75" s="4" t="n"/>
      <c r="G75" s="4" t="n"/>
      <c r="H75" s="4" t="n"/>
      <c r="I75" s="4" t="inlineStr">
        <is>
          <t>PENDENTE</t>
        </is>
      </c>
      <c r="J75" s="4" t="n"/>
    </row>
    <row r="76">
      <c r="A76" s="3" t="n">
        <v>75</v>
      </c>
      <c r="B76" s="3" t="inlineStr">
        <is>
          <t>Slide 75</t>
        </is>
      </c>
      <c r="C76" s="3" t="inlineStr">
        <is>
          <t>NÃO</t>
        </is>
      </c>
      <c r="D76" s="3" t="inlineStr">
        <is>
          <t>VISUAL / RASTER</t>
        </is>
      </c>
      <c r="E76" s="3" t="n"/>
      <c r="F76" s="3" t="n"/>
      <c r="G76" s="3" t="n"/>
      <c r="H76" s="3" t="n"/>
      <c r="I76" s="3" t="inlineStr">
        <is>
          <t>PENDENTE</t>
        </is>
      </c>
      <c r="J76" s="3" t="n"/>
    </row>
  </sheetData>
  <autoFilter ref="A1:J76"/>
  <conditionalFormatting sqref="I2:I76">
    <cfRule type="expression" priority="1" dxfId="0">
      <formula>I2="IGUAL"</formula>
    </cfRule>
    <cfRule type="expression" priority="2" dxfId="1">
      <formula>I2="DIVERGENTE"</formula>
    </cfRule>
    <cfRule type="expression" priority="3" dxfId="2">
      <formula>I2="PENDENTE"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2" customWidth="1" min="2" max="2"/>
    <col width="9" customWidth="1" min="3" max="3"/>
    <col width="10" customWidth="1" min="4" max="4"/>
    <col width="9" customWidth="1" min="5" max="5"/>
    <col width="15" customWidth="1" min="6" max="6"/>
    <col width="56" customWidth="1" min="7" max="7"/>
  </cols>
  <sheetData>
    <row r="1">
      <c r="A1" s="2" t="inlineStr">
        <is>
          <t>Slide</t>
        </is>
      </c>
      <c r="B1" s="2" t="inlineStr">
        <is>
          <t>Título</t>
        </is>
      </c>
      <c r="C1" s="2" t="inlineStr">
        <is>
          <t>Tabelas</t>
        </is>
      </c>
      <c r="D1" s="2" t="inlineStr">
        <is>
          <t>Gráficos</t>
        </is>
      </c>
      <c r="E1" s="2" t="inlineStr">
        <is>
          <t>Imagens</t>
        </is>
      </c>
      <c r="F1" s="2" t="inlineStr">
        <is>
          <t>Modo primário</t>
        </is>
      </c>
      <c r="G1" s="2" t="inlineStr">
        <is>
          <t>Limite / ação</t>
        </is>
      </c>
    </row>
    <row r="2">
      <c r="A2" s="3" t="n">
        <v>1</v>
      </c>
      <c r="B2" s="3" t="inlineStr">
        <is>
          <t>Slide 1</t>
        </is>
      </c>
      <c r="C2" s="3" t="n">
        <v>0</v>
      </c>
      <c r="D2" s="3" t="n">
        <v>0</v>
      </c>
      <c r="E2" s="3" t="n">
        <v>1</v>
      </c>
      <c r="F2" s="3" t="inlineStr">
        <is>
          <t>VISUAL</t>
        </is>
      </c>
      <c r="G2" s="3" t="inlineStr">
        <is>
          <t>Comparar visualmente</t>
        </is>
      </c>
    </row>
    <row r="3">
      <c r="A3" s="4" t="n">
        <v>2</v>
      </c>
      <c r="B3" s="4" t="inlineStr">
        <is>
          <t>RM DE PORTO ALEGRE</t>
        </is>
      </c>
      <c r="C3" s="4" t="n">
        <v>0</v>
      </c>
      <c r="D3" s="4" t="n">
        <v>0</v>
      </c>
      <c r="E3" s="4" t="n">
        <v>2</v>
      </c>
      <c r="F3" s="4" t="inlineStr">
        <is>
          <t>VISUAL</t>
        </is>
      </c>
      <c r="G3" s="4" t="inlineStr">
        <is>
          <t>Comparar visualmente</t>
        </is>
      </c>
    </row>
    <row r="4">
      <c r="A4" s="3" t="n">
        <v>3</v>
      </c>
      <c r="B4" s="3" t="inlineStr">
        <is>
          <t>Slide 3</t>
        </is>
      </c>
      <c r="C4" s="3" t="n">
        <v>0</v>
      </c>
      <c r="D4" s="3" t="n">
        <v>0</v>
      </c>
      <c r="E4" s="3" t="n">
        <v>1</v>
      </c>
      <c r="F4" s="3" t="inlineStr">
        <is>
          <t>VISUAL</t>
        </is>
      </c>
      <c r="G4" s="3" t="inlineStr">
        <is>
          <t>Comparar visualmente</t>
        </is>
      </c>
    </row>
    <row r="5">
      <c r="A5" s="4" t="n">
        <v>4</v>
      </c>
      <c r="B5" s="4" t="inlineStr">
        <is>
          <t>Slide 4</t>
        </is>
      </c>
      <c r="C5" s="4" t="n">
        <v>0</v>
      </c>
      <c r="D5" s="4" t="n">
        <v>0</v>
      </c>
      <c r="E5" s="4" t="n">
        <v>1</v>
      </c>
      <c r="F5" s="4" t="inlineStr">
        <is>
          <t>VISUAL</t>
        </is>
      </c>
      <c r="G5" s="4" t="inlineStr">
        <is>
          <t>Comparar visualmente</t>
        </is>
      </c>
    </row>
    <row r="6">
      <c r="A6" s="3" t="n">
        <v>5</v>
      </c>
      <c r="B6" s="3" t="inlineStr">
        <is>
          <t>Slide 5</t>
        </is>
      </c>
      <c r="C6" s="3" t="n">
        <v>0</v>
      </c>
      <c r="D6" s="3" t="n">
        <v>0</v>
      </c>
      <c r="E6" s="3" t="n">
        <v>1</v>
      </c>
      <c r="F6" s="3" t="inlineStr">
        <is>
          <t>VISUAL</t>
        </is>
      </c>
      <c r="G6" s="3" t="inlineStr">
        <is>
          <t>Comparar visualmente</t>
        </is>
      </c>
    </row>
    <row r="7">
      <c r="A7" s="4" t="n">
        <v>6</v>
      </c>
      <c r="B7" s="4" t="inlineStr">
        <is>
          <t>SUMÁRIO</t>
        </is>
      </c>
      <c r="C7" s="4" t="n">
        <v>0</v>
      </c>
      <c r="D7" s="4" t="n">
        <v>0</v>
      </c>
      <c r="E7" s="4" t="n">
        <v>1</v>
      </c>
      <c r="F7" s="4" t="inlineStr">
        <is>
          <t>VISUAL</t>
        </is>
      </c>
      <c r="G7" s="4" t="inlineStr">
        <is>
          <t>Comparar visualmente</t>
        </is>
      </c>
    </row>
    <row r="8">
      <c r="A8" s="3" t="n">
        <v>7</v>
      </c>
      <c r="B8" s="3" t="inlineStr">
        <is>
          <t>As cidades analisadas nesse estudo representam: 16,7% da População Total do Estado 13% do Potencial de Consumo do Estado</t>
        </is>
      </c>
      <c r="C8" s="3" t="n">
        <v>0</v>
      </c>
      <c r="D8" s="3" t="n">
        <v>0</v>
      </c>
      <c r="E8" s="3" t="n">
        <v>1</v>
      </c>
      <c r="F8" s="3" t="inlineStr">
        <is>
          <t>VISUAL</t>
        </is>
      </c>
      <c r="G8" s="3" t="inlineStr">
        <is>
          <t>Comparar visualmente</t>
        </is>
      </c>
    </row>
    <row r="9">
      <c r="A9" s="4" t="n">
        <v>8</v>
      </c>
      <c r="B9" s="4" t="inlineStr">
        <is>
          <t>LANÇAMENTOS VERTICAIS</t>
        </is>
      </c>
      <c r="C9" s="4" t="n">
        <v>0</v>
      </c>
      <c r="D9" s="4" t="n">
        <v>0</v>
      </c>
      <c r="E9" s="4" t="n">
        <v>1</v>
      </c>
      <c r="F9" s="4" t="inlineStr">
        <is>
          <t>VISUAL</t>
        </is>
      </c>
      <c r="G9" s="4" t="inlineStr">
        <is>
          <t>Comparar visualmente</t>
        </is>
      </c>
    </row>
    <row r="10">
      <c r="A10" s="3" t="n">
        <v>9</v>
      </c>
      <c r="B10" s="3" t="inlineStr">
        <is>
          <t>EMPREENDIMENTOS VERTICAIS LANÇADOS POR TRIMESTRE</t>
        </is>
      </c>
      <c r="C10" s="3" t="n">
        <v>1</v>
      </c>
      <c r="D10" s="3" t="n">
        <v>2</v>
      </c>
      <c r="E10" s="3" t="n">
        <v>1</v>
      </c>
      <c r="F10" s="3" t="inlineStr">
        <is>
          <t>NUMERIC</t>
        </is>
      </c>
      <c r="G10" s="3" t="inlineStr">
        <is>
          <t>Comparar valores + visual</t>
        </is>
      </c>
    </row>
    <row r="11">
      <c r="A11" s="4" t="n">
        <v>10</v>
      </c>
      <c r="B11" s="4" t="inlineStr">
        <is>
          <t>EMPREENDIMENTOS VERTICAIS LANÇADOS POR PADRÃO</t>
        </is>
      </c>
      <c r="C11" s="4" t="n">
        <v>0</v>
      </c>
      <c r="D11" s="4" t="n">
        <v>1</v>
      </c>
      <c r="E11" s="4" t="n">
        <v>1</v>
      </c>
      <c r="F11" s="4" t="inlineStr">
        <is>
          <t>NUMERIC</t>
        </is>
      </c>
      <c r="G11" s="4" t="inlineStr">
        <is>
          <t>Comparar valores + visual</t>
        </is>
      </c>
    </row>
    <row r="12">
      <c r="A12" s="3" t="n">
        <v>11</v>
      </c>
      <c r="B12" s="3" t="inlineStr">
        <is>
          <t>EMPREENDIMENTOS VERTICAIS LANÇADOS ACUMULADO 12 MESES</t>
        </is>
      </c>
      <c r="C12" s="3" t="n">
        <v>1</v>
      </c>
      <c r="D12" s="3" t="n">
        <v>1</v>
      </c>
      <c r="E12" s="3" t="n">
        <v>2</v>
      </c>
      <c r="F12" s="3" t="inlineStr">
        <is>
          <t>NUMERIC</t>
        </is>
      </c>
      <c r="G12" s="3" t="inlineStr">
        <is>
          <t>Comparar valores + visual</t>
        </is>
      </c>
    </row>
    <row r="13">
      <c r="A13" s="4" t="n">
        <v>12</v>
      </c>
      <c r="B13" s="4" t="inlineStr">
        <is>
          <t>UNIDADES VERTICAIS LANÇADAS POR TRIMESTRE</t>
        </is>
      </c>
      <c r="C13" s="4" t="n">
        <v>1</v>
      </c>
      <c r="D13" s="4" t="n">
        <v>2</v>
      </c>
      <c r="E13" s="4" t="n">
        <v>1</v>
      </c>
      <c r="F13" s="4" t="inlineStr">
        <is>
          <t>NUMERIC</t>
        </is>
      </c>
      <c r="G13" s="4" t="inlineStr">
        <is>
          <t>Comparar valores + visual</t>
        </is>
      </c>
    </row>
    <row r="14">
      <c r="A14" s="3" t="n">
        <v>13</v>
      </c>
      <c r="B14" s="3" t="inlineStr">
        <is>
          <t>UNIDADES VERTICAIS LANÇADAS POR PADRÃO</t>
        </is>
      </c>
      <c r="C14" s="3" t="n">
        <v>0</v>
      </c>
      <c r="D14" s="3" t="n">
        <v>1</v>
      </c>
      <c r="E14" s="3" t="n">
        <v>1</v>
      </c>
      <c r="F14" s="3" t="inlineStr">
        <is>
          <t>NUMERIC</t>
        </is>
      </c>
      <c r="G14" s="3" t="inlineStr">
        <is>
          <t>Comparar valores + visual</t>
        </is>
      </c>
    </row>
    <row r="15">
      <c r="A15" s="4" t="n">
        <v>14</v>
      </c>
      <c r="B15" s="4" t="inlineStr">
        <is>
          <t>UNIDADES VERTICAIS LANÇADAS ACUMULADO 12 MESES</t>
        </is>
      </c>
      <c r="C15" s="4" t="n">
        <v>1</v>
      </c>
      <c r="D15" s="4" t="n">
        <v>1</v>
      </c>
      <c r="E15" s="4" t="n">
        <v>2</v>
      </c>
      <c r="F15" s="4" t="inlineStr">
        <is>
          <t>NUMERIC</t>
        </is>
      </c>
      <c r="G15" s="4" t="inlineStr">
        <is>
          <t>Comparar valores + visual</t>
        </is>
      </c>
    </row>
    <row r="16">
      <c r="A16" s="3" t="n">
        <v>15</v>
      </c>
      <c r="B16" s="3" t="inlineStr">
        <is>
          <t>UNIDADES VERTICAIS LANÇADAS POR TRIMESTRE</t>
        </is>
      </c>
      <c r="C16" s="3" t="n">
        <v>1</v>
      </c>
      <c r="D16" s="3" t="n">
        <v>2</v>
      </c>
      <c r="E16" s="3" t="n">
        <v>2</v>
      </c>
      <c r="F16" s="3" t="inlineStr">
        <is>
          <t>NUMERIC</t>
        </is>
      </c>
      <c r="G16" s="3" t="inlineStr">
        <is>
          <t>Comparar valores + visual</t>
        </is>
      </c>
    </row>
    <row r="17">
      <c r="A17" s="4" t="n">
        <v>16</v>
      </c>
      <c r="B17" s="4" t="inlineStr">
        <is>
          <t>UNIDADES VERTICAIS LANÇADAS ACUMULADO 12 MESES</t>
        </is>
      </c>
      <c r="C17" s="4" t="n">
        <v>1</v>
      </c>
      <c r="D17" s="4" t="n">
        <v>1</v>
      </c>
      <c r="E17" s="4" t="n">
        <v>2</v>
      </c>
      <c r="F17" s="4" t="inlineStr">
        <is>
          <t>NUMERIC</t>
        </is>
      </c>
      <c r="G17" s="4" t="inlineStr">
        <is>
          <t>Comparar valores + visual</t>
        </is>
      </c>
    </row>
    <row r="18">
      <c r="A18" s="3" t="n">
        <v>17</v>
      </c>
      <c r="B18" s="3" t="inlineStr">
        <is>
          <t>UNIDADES VERTICAIS LANÇADAS POR TIPOLOGIA</t>
        </is>
      </c>
      <c r="C18" s="3" t="n">
        <v>0</v>
      </c>
      <c r="D18" s="3" t="n">
        <v>1</v>
      </c>
      <c r="E18" s="3" t="n">
        <v>1</v>
      </c>
      <c r="F18" s="3" t="inlineStr">
        <is>
          <t>NUMERIC</t>
        </is>
      </c>
      <c r="G18" s="3" t="inlineStr">
        <is>
          <t>Comparar valores + visual</t>
        </is>
      </c>
    </row>
    <row r="19">
      <c r="A19" s="4" t="n">
        <v>18</v>
      </c>
      <c r="B19" s="4" t="inlineStr">
        <is>
          <t>UNIDADES VERTICAIS LANÇADAS POR PADRÃO</t>
        </is>
      </c>
      <c r="C19" s="4" t="n">
        <v>0</v>
      </c>
      <c r="D19" s="4" t="n">
        <v>1</v>
      </c>
      <c r="E19" s="4" t="n">
        <v>1</v>
      </c>
      <c r="F19" s="4" t="inlineStr">
        <is>
          <t>NUMERIC</t>
        </is>
      </c>
      <c r="G19" s="4" t="inlineStr">
        <is>
          <t>Comparar valores + visual</t>
        </is>
      </c>
    </row>
    <row r="20">
      <c r="A20" s="3" t="n">
        <v>19</v>
      </c>
      <c r="B20" s="3" t="inlineStr">
        <is>
          <t>UNIDADES VERTICAIS LANÇADAS POR BAIRRO E CIDADE</t>
        </is>
      </c>
      <c r="C20" s="3" t="n">
        <v>0</v>
      </c>
      <c r="D20" s="3" t="n">
        <v>2</v>
      </c>
      <c r="E20" s="3" t="n">
        <v>1</v>
      </c>
      <c r="F20" s="3" t="inlineStr">
        <is>
          <t>NUMERIC</t>
        </is>
      </c>
      <c r="G20" s="3" t="inlineStr">
        <is>
          <t>Comparar valores + visual</t>
        </is>
      </c>
    </row>
    <row r="21">
      <c r="A21" s="4" t="n">
        <v>20</v>
      </c>
      <c r="B21" s="4" t="inlineStr">
        <is>
          <t>VGV LANÇADO VERTICAL (R$ MILHÕES)</t>
        </is>
      </c>
      <c r="C21" s="4" t="n">
        <v>1</v>
      </c>
      <c r="D21" s="4" t="n">
        <v>2</v>
      </c>
      <c r="E21" s="4" t="n">
        <v>1</v>
      </c>
      <c r="F21" s="4" t="inlineStr">
        <is>
          <t>NUMERIC</t>
        </is>
      </c>
      <c r="G21" s="4" t="inlineStr">
        <is>
          <t>Comparar valores + visual</t>
        </is>
      </c>
    </row>
    <row r="22">
      <c r="A22" s="3" t="n">
        <v>21</v>
      </c>
      <c r="B22" s="3" t="inlineStr">
        <is>
          <t>VGV LANÇADO VERTICAL POR PADRÃO</t>
        </is>
      </c>
      <c r="C22" s="3" t="n">
        <v>0</v>
      </c>
      <c r="D22" s="3" t="n">
        <v>1</v>
      </c>
      <c r="E22" s="3" t="n">
        <v>1</v>
      </c>
      <c r="F22" s="3" t="inlineStr">
        <is>
          <t>NUMERIC</t>
        </is>
      </c>
      <c r="G22" s="3" t="inlineStr">
        <is>
          <t>Comparar valores + visual</t>
        </is>
      </c>
    </row>
    <row r="23">
      <c r="A23" s="4" t="n">
        <v>22</v>
      </c>
      <c r="B23" s="4" t="inlineStr">
        <is>
          <t>VGV LANÇADO VERTICAL (R$ EM MILHÕES) ACUMULADO 12 MESES</t>
        </is>
      </c>
      <c r="C23" s="4" t="n">
        <v>1</v>
      </c>
      <c r="D23" s="4" t="n">
        <v>1</v>
      </c>
      <c r="E23" s="4" t="n">
        <v>2</v>
      </c>
      <c r="F23" s="4" t="inlineStr">
        <is>
          <t>NUMERIC</t>
        </is>
      </c>
      <c r="G23" s="4" t="inlineStr">
        <is>
          <t>Comparar valores + visual</t>
        </is>
      </c>
    </row>
    <row r="24">
      <c r="A24" s="3" t="n">
        <v>23</v>
      </c>
      <c r="B24" s="3" t="inlineStr">
        <is>
          <t>VENDAS VERTICAIS</t>
        </is>
      </c>
      <c r="C24" s="3" t="n">
        <v>0</v>
      </c>
      <c r="D24" s="3" t="n">
        <v>0</v>
      </c>
      <c r="E24" s="3" t="n">
        <v>1</v>
      </c>
      <c r="F24" s="3" t="inlineStr">
        <is>
          <t>VISUAL</t>
        </is>
      </c>
      <c r="G24" s="3" t="inlineStr">
        <is>
          <t>Comparar visualmente</t>
        </is>
      </c>
    </row>
    <row r="25">
      <c r="A25" s="4" t="n">
        <v>24</v>
      </c>
      <c r="B25" s="4" t="inlineStr">
        <is>
          <t>UNIDADES VERTICAIS VENDIDAS POR TRIMESTRE</t>
        </is>
      </c>
      <c r="C25" s="4" t="n">
        <v>1</v>
      </c>
      <c r="D25" s="4" t="n">
        <v>2</v>
      </c>
      <c r="E25" s="4" t="n">
        <v>1</v>
      </c>
      <c r="F25" s="4" t="inlineStr">
        <is>
          <t>NUMERIC</t>
        </is>
      </c>
      <c r="G25" s="4" t="inlineStr">
        <is>
          <t>Comparar valores + visual</t>
        </is>
      </c>
    </row>
    <row r="26">
      <c r="A26" s="3" t="n">
        <v>25</v>
      </c>
      <c r="B26" s="3" t="inlineStr">
        <is>
          <t>UNIDADES VERTICAIS VENDIDAS POR PADRÃO</t>
        </is>
      </c>
      <c r="C26" s="3" t="n">
        <v>0</v>
      </c>
      <c r="D26" s="3" t="n">
        <v>1</v>
      </c>
      <c r="E26" s="3" t="n">
        <v>1</v>
      </c>
      <c r="F26" s="3" t="inlineStr">
        <is>
          <t>NUMERIC</t>
        </is>
      </c>
      <c r="G26" s="3" t="inlineStr">
        <is>
          <t>Comparar valores + visual</t>
        </is>
      </c>
    </row>
    <row r="27">
      <c r="A27" s="4" t="n">
        <v>26</v>
      </c>
      <c r="B27" s="4" t="inlineStr">
        <is>
          <t>UNIDADES VERTICAIS VENDIDAS ACUMULADO 12 MESES</t>
        </is>
      </c>
      <c r="C27" s="4" t="n">
        <v>1</v>
      </c>
      <c r="D27" s="4" t="n">
        <v>1</v>
      </c>
      <c r="E27" s="4" t="n">
        <v>2</v>
      </c>
      <c r="F27" s="4" t="inlineStr">
        <is>
          <t>NUMERIC</t>
        </is>
      </c>
      <c r="G27" s="4" t="inlineStr">
        <is>
          <t>Comparar valores + visual</t>
        </is>
      </c>
    </row>
    <row r="28">
      <c r="A28" s="3" t="n">
        <v>27</v>
      </c>
      <c r="B28" s="3" t="inlineStr">
        <is>
          <t>UNIDADES VERTICAIS VENDIDAS POR TRIMESTRE</t>
        </is>
      </c>
      <c r="C28" s="3" t="n">
        <v>1</v>
      </c>
      <c r="D28" s="3" t="n">
        <v>2</v>
      </c>
      <c r="E28" s="3" t="n">
        <v>2</v>
      </c>
      <c r="F28" s="3" t="inlineStr">
        <is>
          <t>NUMERIC</t>
        </is>
      </c>
      <c r="G28" s="3" t="inlineStr">
        <is>
          <t>Comparar valores + visual</t>
        </is>
      </c>
    </row>
    <row r="29">
      <c r="A29" s="4" t="n">
        <v>28</v>
      </c>
      <c r="B29" s="4" t="inlineStr">
        <is>
          <t>UNIDADES VERTICAIS VENDIDAS ACUMULADO 12 MESES</t>
        </is>
      </c>
      <c r="C29" s="4" t="n">
        <v>1</v>
      </c>
      <c r="D29" s="4" t="n">
        <v>1</v>
      </c>
      <c r="E29" s="4" t="n">
        <v>2</v>
      </c>
      <c r="F29" s="4" t="inlineStr">
        <is>
          <t>NUMERIC</t>
        </is>
      </c>
      <c r="G29" s="4" t="inlineStr">
        <is>
          <t>Comparar valores + visual</t>
        </is>
      </c>
    </row>
    <row r="30">
      <c r="A30" s="3" t="n">
        <v>29</v>
      </c>
      <c r="B30" s="3" t="inlineStr">
        <is>
          <t>UNIDADES VERTICAIS VENDIDAS POR TIPOLOGIA</t>
        </is>
      </c>
      <c r="C30" s="3" t="n">
        <v>0</v>
      </c>
      <c r="D30" s="3" t="n">
        <v>1</v>
      </c>
      <c r="E30" s="3" t="n">
        <v>1</v>
      </c>
      <c r="F30" s="3" t="inlineStr">
        <is>
          <t>NUMERIC</t>
        </is>
      </c>
      <c r="G30" s="3" t="inlineStr">
        <is>
          <t>Comparar valores + visual</t>
        </is>
      </c>
    </row>
    <row r="31">
      <c r="A31" s="4" t="n">
        <v>30</v>
      </c>
      <c r="B31" s="4" t="inlineStr">
        <is>
          <t>UNIDADES VERTICAIS VENDIDAS POR PADRÃO</t>
        </is>
      </c>
      <c r="C31" s="4" t="n">
        <v>0</v>
      </c>
      <c r="D31" s="4" t="n">
        <v>1</v>
      </c>
      <c r="E31" s="4" t="n">
        <v>1</v>
      </c>
      <c r="F31" s="4" t="inlineStr">
        <is>
          <t>NUMERIC</t>
        </is>
      </c>
      <c r="G31" s="4" t="inlineStr">
        <is>
          <t>Comparar valores + visual</t>
        </is>
      </c>
    </row>
    <row r="32">
      <c r="A32" s="3" t="n">
        <v>31</v>
      </c>
      <c r="B32" s="3" t="inlineStr">
        <is>
          <t>UNIDADES VERTICAIS VENDIDAS POR BAIRRO E CIDADE</t>
        </is>
      </c>
      <c r="C32" s="3" t="n">
        <v>0</v>
      </c>
      <c r="D32" s="3" t="n">
        <v>2</v>
      </c>
      <c r="E32" s="3" t="n">
        <v>1</v>
      </c>
      <c r="F32" s="3" t="inlineStr">
        <is>
          <t>NUMERIC</t>
        </is>
      </c>
      <c r="G32" s="3" t="inlineStr">
        <is>
          <t>Comparar valores + visual</t>
        </is>
      </c>
    </row>
    <row r="33">
      <c r="A33" s="4" t="n">
        <v>32</v>
      </c>
      <c r="B33" s="4" t="inlineStr">
        <is>
          <t>VGV VENDIDO VERTICAL (R$ MILHÕES)</t>
        </is>
      </c>
      <c r="C33" s="4" t="n">
        <v>1</v>
      </c>
      <c r="D33" s="4" t="n">
        <v>2</v>
      </c>
      <c r="E33" s="4" t="n">
        <v>1</v>
      </c>
      <c r="F33" s="4" t="inlineStr">
        <is>
          <t>NUMERIC</t>
        </is>
      </c>
      <c r="G33" s="4" t="inlineStr">
        <is>
          <t>Comparar valores + visual</t>
        </is>
      </c>
    </row>
    <row r="34">
      <c r="A34" s="3" t="n">
        <v>33</v>
      </c>
      <c r="B34" s="3" t="inlineStr">
        <is>
          <t>VGV VENDIDO VERTICAL ACUMULADO 12 MESES</t>
        </is>
      </c>
      <c r="C34" s="3" t="n">
        <v>1</v>
      </c>
      <c r="D34" s="3" t="n">
        <v>1</v>
      </c>
      <c r="E34" s="3" t="n">
        <v>2</v>
      </c>
      <c r="F34" s="3" t="inlineStr">
        <is>
          <t>NUMERIC</t>
        </is>
      </c>
      <c r="G34" s="3" t="inlineStr">
        <is>
          <t>Comparar valores + visual</t>
        </is>
      </c>
    </row>
    <row r="35">
      <c r="A35" s="4" t="n">
        <v>34</v>
      </c>
      <c r="B35" s="4" t="inlineStr">
        <is>
          <t>OFERTA</t>
        </is>
      </c>
      <c r="C35" s="4" t="n">
        <v>0</v>
      </c>
      <c r="D35" s="4" t="n">
        <v>0</v>
      </c>
      <c r="E35" s="4" t="n">
        <v>1</v>
      </c>
      <c r="F35" s="4" t="inlineStr">
        <is>
          <t>VISUAL</t>
        </is>
      </c>
      <c r="G35" s="4" t="inlineStr">
        <is>
          <t>Comparar visualmente</t>
        </is>
      </c>
    </row>
    <row r="36">
      <c r="A36" s="3" t="n">
        <v>35</v>
      </c>
      <c r="B36" s="3" t="inlineStr">
        <is>
          <t>OFERTA FINAL VERTICAL POR TRIMESTRE</t>
        </is>
      </c>
      <c r="C36" s="3" t="n">
        <v>1</v>
      </c>
      <c r="D36" s="3" t="n">
        <v>1</v>
      </c>
      <c r="E36" s="3" t="n">
        <v>1</v>
      </c>
      <c r="F36" s="3" t="inlineStr">
        <is>
          <t>NUMERIC</t>
        </is>
      </c>
      <c r="G36" s="3" t="inlineStr">
        <is>
          <t>Comparar valores + visual</t>
        </is>
      </c>
    </row>
    <row r="37">
      <c r="A37" s="4" t="n">
        <v>36</v>
      </c>
      <c r="B37" s="4" t="inlineStr">
        <is>
          <t>OFERTA FINAL POR TIPOLOGIA</t>
        </is>
      </c>
      <c r="C37" s="4" t="n">
        <v>0</v>
      </c>
      <c r="D37" s="4" t="n">
        <v>1</v>
      </c>
      <c r="E37" s="4" t="n">
        <v>1</v>
      </c>
      <c r="F37" s="4" t="inlineStr">
        <is>
          <t>NUMERIC</t>
        </is>
      </c>
      <c r="G37" s="4" t="inlineStr">
        <is>
          <t>Comparar valores + visual</t>
        </is>
      </c>
    </row>
    <row r="38">
      <c r="A38" s="3" t="n">
        <v>37</v>
      </c>
      <c r="B38" s="3" t="inlineStr">
        <is>
          <t>OFERTA FINAL POR PADRÃO</t>
        </is>
      </c>
      <c r="C38" s="3" t="n">
        <v>0</v>
      </c>
      <c r="D38" s="3" t="n">
        <v>1</v>
      </c>
      <c r="E38" s="3" t="n">
        <v>1</v>
      </c>
      <c r="F38" s="3" t="inlineStr">
        <is>
          <t>NUMERIC</t>
        </is>
      </c>
      <c r="G38" s="3" t="inlineStr">
        <is>
          <t>Comparar valores + visual</t>
        </is>
      </c>
    </row>
    <row r="39">
      <c r="A39" s="4" t="n">
        <v>38</v>
      </c>
      <c r="B39" s="4" t="inlineStr">
        <is>
          <t>VSO / IVV</t>
        </is>
      </c>
      <c r="C39" s="4" t="n">
        <v>0</v>
      </c>
      <c r="D39" s="4" t="n">
        <v>0</v>
      </c>
      <c r="E39" s="4" t="n">
        <v>1</v>
      </c>
      <c r="F39" s="4" t="inlineStr">
        <is>
          <t>VISUAL</t>
        </is>
      </c>
      <c r="G39" s="4" t="inlineStr">
        <is>
          <t>Comparar visualmente</t>
        </is>
      </c>
    </row>
    <row r="40">
      <c r="A40" s="3" t="n">
        <v>39</v>
      </c>
      <c r="B40" s="3" t="inlineStr">
        <is>
          <t>IVV (%) POR TRIMESTRE</t>
        </is>
      </c>
      <c r="C40" s="3" t="n">
        <v>0</v>
      </c>
      <c r="D40" s="3" t="n">
        <v>1</v>
      </c>
      <c r="E40" s="3" t="n">
        <v>1</v>
      </c>
      <c r="F40" s="3" t="inlineStr">
        <is>
          <t>NUMERIC</t>
        </is>
      </c>
      <c r="G40" s="3" t="inlineStr">
        <is>
          <t>Comparar valores + visual</t>
        </is>
      </c>
    </row>
    <row r="41">
      <c r="A41" s="4" t="n">
        <v>40</v>
      </c>
      <c r="B41" s="4" t="inlineStr">
        <is>
          <t>IVV POR ÁREA ÚTIL EM M² VERTICAL ÚLTIMO TRIMESTRE</t>
        </is>
      </c>
      <c r="C41" s="4" t="n">
        <v>0</v>
      </c>
      <c r="D41" s="4" t="n">
        <v>0</v>
      </c>
      <c r="E41" s="4" t="n">
        <v>2</v>
      </c>
      <c r="F41" s="4" t="inlineStr">
        <is>
          <t>VISUAL</t>
        </is>
      </c>
      <c r="G41" s="4" t="inlineStr">
        <is>
          <t>Comparar visualmente</t>
        </is>
      </c>
    </row>
    <row r="42">
      <c r="A42" s="3" t="n">
        <v>41</v>
      </c>
      <c r="B42" s="3" t="inlineStr">
        <is>
          <t>IVV POR ÁREA ÚTIL EM M² VERTICAL ÚLTIMO ANO</t>
        </is>
      </c>
      <c r="C42" s="3" t="n">
        <v>0</v>
      </c>
      <c r="D42" s="3" t="n">
        <v>0</v>
      </c>
      <c r="E42" s="3" t="n">
        <v>2</v>
      </c>
      <c r="F42" s="3" t="inlineStr">
        <is>
          <t>VISUAL</t>
        </is>
      </c>
      <c r="G42" s="3" t="inlineStr">
        <is>
          <t>Comparar visualmente</t>
        </is>
      </c>
    </row>
    <row r="43">
      <c r="A43" s="4" t="n">
        <v>42</v>
      </c>
      <c r="B43" s="4" t="inlineStr">
        <is>
          <t>EVOLUÇÃO DOS PREÇOS</t>
        </is>
      </c>
      <c r="C43" s="4" t="n">
        <v>0</v>
      </c>
      <c r="D43" s="4" t="n">
        <v>0</v>
      </c>
      <c r="E43" s="4" t="n">
        <v>1</v>
      </c>
      <c r="F43" s="4" t="inlineStr">
        <is>
          <t>VISUAL</t>
        </is>
      </c>
      <c r="G43" s="4" t="inlineStr">
        <is>
          <t>Comparar visualmente</t>
        </is>
      </c>
    </row>
    <row r="44">
      <c r="A44" s="3" t="n">
        <v>43</v>
      </c>
      <c r="B44" s="3" t="inlineStr">
        <is>
          <t>EVOLUÇÃO DOS PREÇOS R$/M² VERTICAL</t>
        </is>
      </c>
      <c r="C44" s="3" t="n">
        <v>0</v>
      </c>
      <c r="D44" s="3" t="n">
        <v>1</v>
      </c>
      <c r="E44" s="3" t="n">
        <v>1</v>
      </c>
      <c r="F44" s="3" t="inlineStr">
        <is>
          <t>NUMERIC</t>
        </is>
      </c>
      <c r="G44" s="3" t="inlineStr">
        <is>
          <t>Comparar valores + visual</t>
        </is>
      </c>
    </row>
    <row r="45">
      <c r="A45" s="4" t="n">
        <v>44</v>
      </c>
      <c r="B45" s="4" t="inlineStr">
        <is>
          <t>1 DORMITÓRIO</t>
        </is>
      </c>
      <c r="C45" s="4" t="n">
        <v>0</v>
      </c>
      <c r="D45" s="4" t="n">
        <v>1</v>
      </c>
      <c r="E45" s="4" t="n">
        <v>1</v>
      </c>
      <c r="F45" s="4" t="inlineStr">
        <is>
          <t>NUMERIC</t>
        </is>
      </c>
      <c r="G45" s="4" t="inlineStr">
        <is>
          <t>Comparar valores + visual</t>
        </is>
      </c>
    </row>
    <row r="46">
      <c r="A46" s="3" t="n">
        <v>45</v>
      </c>
      <c r="B46" s="3" t="inlineStr">
        <is>
          <t>2 DORMITÓRIOS</t>
        </is>
      </c>
      <c r="C46" s="3" t="n">
        <v>0</v>
      </c>
      <c r="D46" s="3" t="n">
        <v>1</v>
      </c>
      <c r="E46" s="3" t="n">
        <v>1</v>
      </c>
      <c r="F46" s="3" t="inlineStr">
        <is>
          <t>NUMERIC</t>
        </is>
      </c>
      <c r="G46" s="3" t="inlineStr">
        <is>
          <t>Comparar valores + visual</t>
        </is>
      </c>
    </row>
    <row r="47">
      <c r="A47" s="4" t="n">
        <v>46</v>
      </c>
      <c r="B47" s="4" t="inlineStr">
        <is>
          <t>3 DORMITÓRIOS</t>
        </is>
      </c>
      <c r="C47" s="4" t="n">
        <v>0</v>
      </c>
      <c r="D47" s="4" t="n">
        <v>1</v>
      </c>
      <c r="E47" s="4" t="n">
        <v>1</v>
      </c>
      <c r="F47" s="4" t="inlineStr">
        <is>
          <t>NUMERIC</t>
        </is>
      </c>
      <c r="G47" s="4" t="inlineStr">
        <is>
          <t>Comparar valores + visual</t>
        </is>
      </c>
    </row>
    <row r="48">
      <c r="A48" s="3" t="n">
        <v>47</v>
      </c>
      <c r="B48" s="3" t="inlineStr">
        <is>
          <t>4 DORMITÓRIOS</t>
        </is>
      </c>
      <c r="C48" s="3" t="n">
        <v>0</v>
      </c>
      <c r="D48" s="3" t="n">
        <v>1</v>
      </c>
      <c r="E48" s="3" t="n">
        <v>1</v>
      </c>
      <c r="F48" s="3" t="inlineStr">
        <is>
          <t>NUMERIC</t>
        </is>
      </c>
      <c r="G48" s="3" t="inlineStr">
        <is>
          <t>Comparar valores + visual</t>
        </is>
      </c>
    </row>
    <row r="49">
      <c r="A49" s="4" t="n">
        <v>48</v>
      </c>
      <c r="B49" s="4" t="inlineStr">
        <is>
          <t>PREÇOS POR TIPOLOGIA E PADRÃO</t>
        </is>
      </c>
      <c r="C49" s="4" t="n">
        <v>0</v>
      </c>
      <c r="D49" s="4" t="n">
        <v>0</v>
      </c>
      <c r="E49" s="4" t="n">
        <v>1</v>
      </c>
      <c r="F49" s="4" t="inlineStr">
        <is>
          <t>VISUAL</t>
        </is>
      </c>
      <c r="G49" s="4" t="inlineStr">
        <is>
          <t>Comparar visualmente</t>
        </is>
      </c>
    </row>
    <row r="50">
      <c r="A50" s="3" t="n">
        <v>49</v>
      </c>
      <c r="B50" s="3" t="inlineStr">
        <is>
          <t>TICKET MÉDIO (R$ Mil) POR PADRÃO RESIDENCIAL</t>
        </is>
      </c>
      <c r="C50" s="3" t="n">
        <v>0</v>
      </c>
      <c r="D50" s="3" t="n">
        <v>1</v>
      </c>
      <c r="E50" s="3" t="n">
        <v>1</v>
      </c>
      <c r="F50" s="3" t="inlineStr">
        <is>
          <t>NUMERIC</t>
        </is>
      </c>
      <c r="G50" s="3" t="inlineStr">
        <is>
          <t>Comparar valores + visual</t>
        </is>
      </c>
    </row>
    <row r="51">
      <c r="A51" s="4" t="n">
        <v>50</v>
      </c>
      <c r="B51" s="4" t="inlineStr">
        <is>
          <t>PREÇO MÉDIO M²/PRIVATIVO POR PADRÃO RESIDENCIAL</t>
        </is>
      </c>
      <c r="C51" s="4" t="n">
        <v>0</v>
      </c>
      <c r="D51" s="4" t="n">
        <v>1</v>
      </c>
      <c r="E51" s="4" t="n">
        <v>1</v>
      </c>
      <c r="F51" s="4" t="inlineStr">
        <is>
          <t>NUMERIC</t>
        </is>
      </c>
      <c r="G51" s="4" t="inlineStr">
        <is>
          <t>Comparar valores + visual</t>
        </is>
      </c>
    </row>
    <row r="52">
      <c r="A52" s="3" t="n">
        <v>51</v>
      </c>
      <c r="B52" s="3" t="inlineStr">
        <is>
          <t>TICKET MÉDIO (R$) POR TIPOLOGIA RESIDENCIAL</t>
        </is>
      </c>
      <c r="C52" s="3" t="n">
        <v>0</v>
      </c>
      <c r="D52" s="3" t="n">
        <v>1</v>
      </c>
      <c r="E52" s="3" t="n">
        <v>1</v>
      </c>
      <c r="F52" s="3" t="inlineStr">
        <is>
          <t>NUMERIC</t>
        </is>
      </c>
      <c r="G52" s="3" t="inlineStr">
        <is>
          <t>Comparar valores + visual</t>
        </is>
      </c>
    </row>
    <row r="53">
      <c r="A53" s="4" t="n">
        <v>52</v>
      </c>
      <c r="B53" s="4" t="inlineStr">
        <is>
          <t>PREÇO MÉDIO M²/PRIVATIVO POR TIPOLOGIA RESIDENCIAL</t>
        </is>
      </c>
      <c r="C53" s="4" t="n">
        <v>0</v>
      </c>
      <c r="D53" s="4" t="n">
        <v>1</v>
      </c>
      <c r="E53" s="4" t="n">
        <v>1</v>
      </c>
      <c r="F53" s="4" t="inlineStr">
        <is>
          <t>NUMERIC</t>
        </is>
      </c>
      <c r="G53" s="4" t="inlineStr">
        <is>
          <t>Comparar valores + visual</t>
        </is>
      </c>
    </row>
    <row r="54">
      <c r="A54" s="3" t="n">
        <v>53</v>
      </c>
      <c r="B54" s="3" t="inlineStr">
        <is>
          <t>ESTADO ATUAL DO MERCADO RESIDENCIAL VERTICAL</t>
        </is>
      </c>
      <c r="C54" s="3" t="n">
        <v>0</v>
      </c>
      <c r="D54" s="3" t="n">
        <v>0</v>
      </c>
      <c r="E54" s="3" t="n">
        <v>1</v>
      </c>
      <c r="F54" s="3" t="inlineStr">
        <is>
          <t>VISUAL</t>
        </is>
      </c>
      <c r="G54" s="3" t="inlineStr">
        <is>
          <t>Comparar visualmente</t>
        </is>
      </c>
    </row>
    <row r="55">
      <c r="A55" s="4" t="n">
        <v>54</v>
      </c>
      <c r="B55" s="4" t="inlineStr">
        <is>
          <t>OFERTA FINAL POR ANO DE LANÇAMENTO</t>
        </is>
      </c>
      <c r="C55" s="4" t="n">
        <v>1</v>
      </c>
      <c r="D55" s="4" t="n">
        <v>0</v>
      </c>
      <c r="E55" s="4" t="n">
        <v>1</v>
      </c>
      <c r="F55" s="4" t="inlineStr">
        <is>
          <t>NUMERIC</t>
        </is>
      </c>
      <c r="G55" s="4" t="inlineStr">
        <is>
          <t>Comparar valores + visual</t>
        </is>
      </c>
    </row>
    <row r="56">
      <c r="A56" s="3" t="n">
        <v>55</v>
      </c>
      <c r="B56" s="3" t="inlineStr">
        <is>
          <t>OFERTA FINAL POR PADRÃO</t>
        </is>
      </c>
      <c r="C56" s="3" t="n">
        <v>1</v>
      </c>
      <c r="D56" s="3" t="n">
        <v>0</v>
      </c>
      <c r="E56" s="3" t="n">
        <v>1</v>
      </c>
      <c r="F56" s="3" t="inlineStr">
        <is>
          <t>NUMERIC</t>
        </is>
      </c>
      <c r="G56" s="3" t="inlineStr">
        <is>
          <t>Comparar valores + visual</t>
        </is>
      </c>
    </row>
    <row r="57">
      <c r="A57" s="4" t="n">
        <v>56</v>
      </c>
      <c r="B57" s="4" t="inlineStr">
        <is>
          <t>OFERTA FINAL POR TIPOLOGIA</t>
        </is>
      </c>
      <c r="C57" s="4" t="n">
        <v>1</v>
      </c>
      <c r="D57" s="4" t="n">
        <v>0</v>
      </c>
      <c r="E57" s="4" t="n">
        <v>1</v>
      </c>
      <c r="F57" s="4" t="inlineStr">
        <is>
          <t>NUMERIC</t>
        </is>
      </c>
      <c r="G57" s="4" t="inlineStr">
        <is>
          <t>Comparar valores + visual</t>
        </is>
      </c>
    </row>
    <row r="58">
      <c r="A58" s="3" t="n">
        <v>57</v>
      </c>
      <c r="B58" s="3" t="inlineStr">
        <is>
          <t>OFERTA FINAL POR TIPOLOGIA E METRAGEM</t>
        </is>
      </c>
      <c r="C58" s="3" t="n">
        <v>1</v>
      </c>
      <c r="D58" s="3" t="n">
        <v>0</v>
      </c>
      <c r="E58" s="3" t="n">
        <v>1</v>
      </c>
      <c r="F58" s="3" t="inlineStr">
        <is>
          <t>NUMERIC</t>
        </is>
      </c>
      <c r="G58" s="3" t="inlineStr">
        <is>
          <t>Comparar valores + visual</t>
        </is>
      </c>
    </row>
    <row r="59">
      <c r="A59" s="4" t="n">
        <v>58</v>
      </c>
      <c r="B59" s="4" t="inlineStr">
        <is>
          <t>MÍNIMO, MÉDIA E MÁXIMO DO PREÇO POR TIPOLOGIA RM DE PORTO ALEGRE</t>
        </is>
      </c>
      <c r="C59" s="4" t="n">
        <v>1</v>
      </c>
      <c r="D59" s="4" t="n">
        <v>0</v>
      </c>
      <c r="E59" s="4" t="n">
        <v>1</v>
      </c>
      <c r="F59" s="4" t="inlineStr">
        <is>
          <t>NUMERIC</t>
        </is>
      </c>
      <c r="G59" s="4" t="inlineStr">
        <is>
          <t>Comparar valores + visual</t>
        </is>
      </c>
    </row>
    <row r="60">
      <c r="A60" s="3" t="n">
        <v>59</v>
      </c>
      <c r="B60" s="3" t="inlineStr">
        <is>
          <t>TEMPO MÉDIO DA OFERTA LANÇADA E FINAL POR TIPOLOGIA RM DE PORTO ALEGRE</t>
        </is>
      </c>
      <c r="C60" s="3" t="n">
        <v>0</v>
      </c>
      <c r="D60" s="3" t="n">
        <v>2</v>
      </c>
      <c r="E60" s="3" t="n">
        <v>1</v>
      </c>
      <c r="F60" s="3" t="inlineStr">
        <is>
          <t>NUMERIC</t>
        </is>
      </c>
      <c r="G60" s="3" t="inlineStr">
        <is>
          <t>Comparar valores + visual</t>
        </is>
      </c>
    </row>
    <row r="61">
      <c r="A61" s="4" t="n">
        <v>60</v>
      </c>
      <c r="B61" s="4" t="inlineStr">
        <is>
          <t>TEMPO MÉDIO DA OFERTA LANÇADA FINAL POR PADRÃO RM DE PORTO ALEGRE</t>
        </is>
      </c>
      <c r="C61" s="4" t="n">
        <v>0</v>
      </c>
      <c r="D61" s="4" t="n">
        <v>2</v>
      </c>
      <c r="E61" s="4" t="n">
        <v>1</v>
      </c>
      <c r="F61" s="4" t="inlineStr">
        <is>
          <t>NUMERIC</t>
        </is>
      </c>
      <c r="G61" s="4" t="inlineStr">
        <is>
          <t>Comparar valores + visual</t>
        </is>
      </c>
    </row>
    <row r="62">
      <c r="A62" s="3" t="n">
        <v>61</v>
      </c>
      <c r="B62" s="3" t="inlineStr">
        <is>
          <t>VGV OFERTADO E DISPONÍVEL POR PADRÃO RM DE PORTO ALEGRE</t>
        </is>
      </c>
      <c r="C62" s="3" t="n">
        <v>1</v>
      </c>
      <c r="D62" s="3" t="n">
        <v>0</v>
      </c>
      <c r="E62" s="3" t="n">
        <v>1</v>
      </c>
      <c r="F62" s="3" t="inlineStr">
        <is>
          <t>NUMERIC</t>
        </is>
      </c>
      <c r="G62" s="3" t="inlineStr">
        <is>
          <t>Comparar valores + visual</t>
        </is>
      </c>
    </row>
    <row r="63">
      <c r="A63" s="4" t="n">
        <v>62</v>
      </c>
      <c r="B63" s="4" t="inlineStr">
        <is>
          <t>ESTADO ATUAL DO MERCADO RESIDENCIAL HORIZONTAL</t>
        </is>
      </c>
      <c r="C63" s="4" t="n">
        <v>0</v>
      </c>
      <c r="D63" s="4" t="n">
        <v>0</v>
      </c>
      <c r="E63" s="4" t="n">
        <v>1</v>
      </c>
      <c r="F63" s="4" t="inlineStr">
        <is>
          <t>VISUAL</t>
        </is>
      </c>
      <c r="G63" s="4" t="inlineStr">
        <is>
          <t>Comparar visualmente</t>
        </is>
      </c>
    </row>
    <row r="64">
      <c r="A64" s="3" t="n">
        <v>63</v>
      </c>
      <c r="B64" s="3" t="inlineStr">
        <is>
          <t>OFERTA LANÇADA E FINAL POR TIPO</t>
        </is>
      </c>
      <c r="C64" s="3" t="n">
        <v>0</v>
      </c>
      <c r="D64" s="3" t="n">
        <v>0</v>
      </c>
      <c r="E64" s="3" t="n">
        <v>2</v>
      </c>
      <c r="F64" s="3" t="inlineStr">
        <is>
          <t>VISUAL</t>
        </is>
      </c>
      <c r="G64" s="3" t="inlineStr">
        <is>
          <t>Horizontal raster: transcrever e comparar manualmente</t>
        </is>
      </c>
    </row>
    <row r="65">
      <c r="A65" s="4" t="n">
        <v>64</v>
      </c>
      <c r="B65" s="4" t="inlineStr">
        <is>
          <t>OFERTA FINAL POR ANO DE LANÇAMENTO</t>
        </is>
      </c>
      <c r="C65" s="4" t="n">
        <v>0</v>
      </c>
      <c r="D65" s="4" t="n">
        <v>0</v>
      </c>
      <c r="E65" s="4" t="n">
        <v>2</v>
      </c>
      <c r="F65" s="4" t="inlineStr">
        <is>
          <t>VISUAL</t>
        </is>
      </c>
      <c r="G65" s="4" t="inlineStr">
        <is>
          <t>Horizontal raster: transcrever e comparar manualmente</t>
        </is>
      </c>
    </row>
    <row r="66">
      <c r="A66" s="3" t="n">
        <v>65</v>
      </c>
      <c r="B66" s="3" t="inlineStr">
        <is>
          <t>PREÇO MÉDIO POR TIPO</t>
        </is>
      </c>
      <c r="C66" s="3" t="n">
        <v>0</v>
      </c>
      <c r="D66" s="3" t="n">
        <v>0</v>
      </c>
      <c r="E66" s="3" t="n">
        <v>2</v>
      </c>
      <c r="F66" s="3" t="inlineStr">
        <is>
          <t>VISUAL</t>
        </is>
      </c>
      <c r="G66" s="3" t="inlineStr">
        <is>
          <t>Horizontal raster: transcrever e comparar manualmente</t>
        </is>
      </c>
    </row>
    <row r="67">
      <c r="A67" s="4" t="n">
        <v>66</v>
      </c>
      <c r="B67" s="4" t="inlineStr">
        <is>
          <t>MINÍMO, MÉDIA E MÁXIMA</t>
        </is>
      </c>
      <c r="C67" s="4" t="n">
        <v>0</v>
      </c>
      <c r="D67" s="4" t="n">
        <v>0</v>
      </c>
      <c r="E67" s="4" t="n">
        <v>2</v>
      </c>
      <c r="F67" s="4" t="inlineStr">
        <is>
          <t>VISUAL</t>
        </is>
      </c>
      <c r="G67" s="4" t="inlineStr">
        <is>
          <t>Horizontal raster: transcrever e comparar manualmente</t>
        </is>
      </c>
    </row>
    <row r="68">
      <c r="A68" s="3" t="n">
        <v>67</v>
      </c>
      <c r="B68" s="3" t="inlineStr">
        <is>
          <t>MAPA DE LOCALIZAÇÃO POR PADRÃO</t>
        </is>
      </c>
      <c r="C68" s="3" t="n">
        <v>1</v>
      </c>
      <c r="D68" s="3" t="n">
        <v>0</v>
      </c>
      <c r="E68" s="3" t="n">
        <v>1</v>
      </c>
      <c r="F68" s="3" t="inlineStr">
        <is>
          <t>NUMERIC</t>
        </is>
      </c>
      <c r="G68" s="3" t="inlineStr">
        <is>
          <t>Mapa: conferir legenda, pontos, enquadramento e escala</t>
        </is>
      </c>
    </row>
    <row r="69">
      <c r="A69" s="4" t="n">
        <v>68</v>
      </c>
      <c r="B69" s="4" t="inlineStr">
        <is>
          <t>MAPA DE LOCALIZAÇÃO POR ESTOQUE</t>
        </is>
      </c>
      <c r="C69" s="4" t="n">
        <v>1</v>
      </c>
      <c r="D69" s="4" t="n">
        <v>0</v>
      </c>
      <c r="E69" s="4" t="n">
        <v>1</v>
      </c>
      <c r="F69" s="4" t="inlineStr">
        <is>
          <t>NUMERIC</t>
        </is>
      </c>
      <c r="G69" s="4" t="inlineStr">
        <is>
          <t>Mapa: conferir legenda, pontos, enquadramento e escala</t>
        </is>
      </c>
    </row>
    <row r="70">
      <c r="A70" s="3" t="n">
        <v>69</v>
      </c>
      <c r="B70" s="3" t="inlineStr">
        <is>
          <t>MAPA DE LOCALIZAÇÃO POR R$/M²</t>
        </is>
      </c>
      <c r="C70" s="3" t="n">
        <v>1</v>
      </c>
      <c r="D70" s="3" t="n">
        <v>0</v>
      </c>
      <c r="E70" s="3" t="n">
        <v>1</v>
      </c>
      <c r="F70" s="3" t="inlineStr">
        <is>
          <t>NUMERIC</t>
        </is>
      </c>
      <c r="G70" s="3" t="inlineStr">
        <is>
          <t>Mapa: conferir legenda, pontos, enquadramento e escala</t>
        </is>
      </c>
    </row>
    <row r="71">
      <c r="A71" s="4" t="n">
        <v>70</v>
      </c>
      <c r="B71" s="4" t="inlineStr">
        <is>
          <t>CONSULTORES DO ESTUDO</t>
        </is>
      </c>
      <c r="C71" s="4" t="n">
        <v>0</v>
      </c>
      <c r="D71" s="4" t="n">
        <v>0</v>
      </c>
      <c r="E71" s="4" t="n">
        <v>1</v>
      </c>
      <c r="F71" s="4" t="inlineStr">
        <is>
          <t>VISUAL</t>
        </is>
      </c>
      <c r="G71" s="4" t="inlineStr">
        <is>
          <t>Comparar visualmente</t>
        </is>
      </c>
    </row>
    <row r="72">
      <c r="A72" s="3" t="n">
        <v>71</v>
      </c>
      <c r="B72" s="3" t="inlineStr">
        <is>
          <t>EQUIPE TÉCNICA</t>
        </is>
      </c>
      <c r="C72" s="3" t="n">
        <v>0</v>
      </c>
      <c r="D72" s="3" t="n">
        <v>0</v>
      </c>
      <c r="E72" s="3" t="n">
        <v>2</v>
      </c>
      <c r="F72" s="3" t="inlineStr">
        <is>
          <t>VISUAL</t>
        </is>
      </c>
      <c r="G72" s="3" t="inlineStr">
        <is>
          <t>Comparar visualmente</t>
        </is>
      </c>
    </row>
    <row r="73">
      <c r="A73" s="4" t="n">
        <v>72</v>
      </c>
      <c r="B73" s="4" t="inlineStr">
        <is>
          <t>Slide 72</t>
        </is>
      </c>
      <c r="C73" s="4" t="n">
        <v>0</v>
      </c>
      <c r="D73" s="4" t="n">
        <v>0</v>
      </c>
      <c r="E73" s="4" t="n">
        <v>1</v>
      </c>
      <c r="F73" s="4" t="inlineStr">
        <is>
          <t>VISUAL</t>
        </is>
      </c>
      <c r="G73" s="4" t="inlineStr">
        <is>
          <t>Comparar visualmente</t>
        </is>
      </c>
    </row>
    <row r="74">
      <c r="A74" s="3" t="n">
        <v>73</v>
      </c>
      <c r="B74" s="3" t="inlineStr">
        <is>
          <t>Slide 73</t>
        </is>
      </c>
      <c r="C74" s="3" t="n">
        <v>0</v>
      </c>
      <c r="D74" s="3" t="n">
        <v>0</v>
      </c>
      <c r="E74" s="3" t="n">
        <v>1</v>
      </c>
      <c r="F74" s="3" t="inlineStr">
        <is>
          <t>VISUAL</t>
        </is>
      </c>
      <c r="G74" s="3" t="inlineStr">
        <is>
          <t>Comparar visualmente</t>
        </is>
      </c>
    </row>
    <row r="75">
      <c r="A75" s="4" t="n">
        <v>74</v>
      </c>
      <c r="B75" s="4" t="inlineStr">
        <is>
          <t>Slide 74</t>
        </is>
      </c>
      <c r="C75" s="4" t="n">
        <v>0</v>
      </c>
      <c r="D75" s="4" t="n">
        <v>0</v>
      </c>
      <c r="E75" s="4" t="n">
        <v>1</v>
      </c>
      <c r="F75" s="4" t="inlineStr">
        <is>
          <t>VISUAL</t>
        </is>
      </c>
      <c r="G75" s="4" t="inlineStr">
        <is>
          <t>Comparar visualmente</t>
        </is>
      </c>
    </row>
    <row r="76">
      <c r="A76" s="3" t="n">
        <v>75</v>
      </c>
      <c r="B76" s="3" t="inlineStr">
        <is>
          <t>Slide 75</t>
        </is>
      </c>
      <c r="C76" s="3" t="n">
        <v>0</v>
      </c>
      <c r="D76" s="3" t="n">
        <v>0</v>
      </c>
      <c r="E76" s="3" t="n">
        <v>1</v>
      </c>
      <c r="F76" s="3" t="inlineStr">
        <is>
          <t>VISUAL</t>
        </is>
      </c>
      <c r="G76" s="3" t="inlineStr">
        <is>
          <t>Comparar visualmente</t>
        </is>
      </c>
    </row>
  </sheetData>
  <autoFilter ref="A1:G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2026-09-22T18:00:25Z</dcterms:created>
  <dcterms:modified xmlns:dcterms="http://purl.org/dc/terms/" xmlns:xsi="http://www.w3.org/2001/XMLSchema-instance" xsi:type="dcterms:W3CDTF">2026-09-22T18:00:26Z</dcterms:modified>
</cp:coreProperties>
</file>